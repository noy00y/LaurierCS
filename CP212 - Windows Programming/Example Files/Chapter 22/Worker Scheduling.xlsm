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2\"/>
    </mc:Choice>
  </mc:AlternateContent>
  <bookViews>
    <workbookView xWindow="360" yWindow="120" windowWidth="11340" windowHeight="5520"/>
  </bookViews>
  <sheets>
    <sheet name="Explanation" sheetId="2" r:id="rId1"/>
    <sheet name="Model" sheetId="1" state="hidden" r:id="rId2"/>
    <sheet name="Report" sheetId="3" state="hidden" r:id="rId3"/>
    <sheet name="Chart" sheetId="4" state="hidden" r:id="rId4"/>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Assignments">Model!$C$8:$C$28</definedName>
    <definedName name="Available">Model!$B$32:$H$32</definedName>
    <definedName name="AvailFri">Model!$C$8:$C$10,Model!$C$12:$C$15,Model!$C$17:$C$19,Model!$C$21:$C$22,Model!$C$24:$C$25,Model!$C$28</definedName>
    <definedName name="AvailMon">Model!$C$14:$C$28</definedName>
    <definedName name="AvailSat">Model!$C$8:$C$11,Model!$C$13:$C$16,Model!$C$18:$C$20,Model!$C$22:$C$23,Model!$C$25,Model!$C$27</definedName>
    <definedName name="AvailSun">Model!$C$8:$C$12,Model!$C$14:$C$17,Model!$C$19:$C$21,Model!$C$23:$C$24,Model!$C$26</definedName>
    <definedName name="AvailThu">Model!$C$8:$C$9,Model!$C$11:$C$14,Model!$C$16:$C$18,Model!$C$20:$C$22,Model!$C$26:$C$28</definedName>
    <definedName name="AvailTue">Model!$C$9:$C$13,Model!$C$19:$C$28</definedName>
    <definedName name="AvailWed">Model!$C$8,Model!$C$10:$C$13,Model!$C$15:$C$18,Model!$C$23:$C$28</definedName>
    <definedName name="Consecutive">Model!$B$8:$B$28</definedName>
    <definedName name="MaxNonconsec">Model!$B$39</definedName>
    <definedName name="MaxPct">Model!$B$4</definedName>
    <definedName name="Nonconsec">Model!$B$37</definedName>
    <definedName name="_xlnm.Print_Area" localSheetId="1">Model!$A$1:$H$44</definedName>
    <definedName name="_xlnm.Print_Area" localSheetId="2">Report!$A$1:$J$16</definedName>
    <definedName name="Required">Model!$B$34:$H$34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 hidden="1">Model!$C$8:$C$28</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bd" localSheetId="1" hidden="1">2</definedName>
    <definedName name="solver_itr" localSheetId="1" hidden="1">1000</definedName>
    <definedName name="solver_lhs1" localSheetId="1" hidden="1">Model!$C$8:$C$28</definedName>
    <definedName name="solver_lhs2" localSheetId="1" hidden="1">Model!$B$32:$H$32</definedName>
    <definedName name="solver_lhs3" localSheetId="1" hidden="1">Model!$B$37</definedName>
    <definedName name="solver_lin" localSheetId="1" hidden="1">1</definedName>
    <definedName name="solver_lva" localSheetId="1" hidden="1">2</definedName>
    <definedName name="solver_mip" localSheetId="1" hidden="1">5000</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5000</definedName>
    <definedName name="solver_num" localSheetId="1" hidden="1">3</definedName>
    <definedName name="solver_nwt" localSheetId="1" hidden="1">1</definedName>
    <definedName name="solver_ofx" localSheetId="1" hidden="1">2</definedName>
    <definedName name="solver_opt" localSheetId="1" hidden="1">Model!$B$44</definedName>
    <definedName name="solver_piv" localSheetId="1" hidden="1">0.000001</definedName>
    <definedName name="solver_pre" localSheetId="1" hidden="1">0.000001</definedName>
    <definedName name="solver_pro" localSheetId="1" hidden="1">2</definedName>
    <definedName name="solver_rbv" localSheetId="1" hidden="1">1</definedName>
    <definedName name="solver_red" localSheetId="1" hidden="1">0.000001</definedName>
    <definedName name="solver_rel1" localSheetId="1" hidden="1">4</definedName>
    <definedName name="solver_rel2" localSheetId="1" hidden="1">3</definedName>
    <definedName name="solver_rel3" localSheetId="1" hidden="1">1</definedName>
    <definedName name="solver_reo" localSheetId="1" hidden="1">2</definedName>
    <definedName name="solver_rep" localSheetId="1" hidden="1">2</definedName>
    <definedName name="solver_rhs1" localSheetId="1" hidden="1">integer</definedName>
    <definedName name="solver_rhs2" localSheetId="1" hidden="1">Required</definedName>
    <definedName name="solver_rhs3" localSheetId="1" hidden="1">MaxNonconsec</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std" localSheetId="1" hidden="1">1</definedName>
    <definedName name="solver_tim" localSheetId="1" hidden="1">100</definedName>
    <definedName name="solver_tol" localSheetId="1" hidden="1">0.01</definedName>
    <definedName name="solver_typ" localSheetId="1" hidden="1">2</definedName>
    <definedName name="solver_val" localSheetId="1" hidden="1">0</definedName>
    <definedName name="solver_ver" localSheetId="1" hidden="1">3</definedName>
    <definedName name="TotalCost">Model!$B$44</definedName>
    <definedName name="TotalWorkers">Model!$C$29</definedName>
    <definedName name="WeekdayRate">Model!$G$4</definedName>
    <definedName name="WeekendRate">Model!$G$5</definedName>
  </definedNames>
  <calcPr calcId="152511"/>
</workbook>
</file>

<file path=xl/calcChain.xml><?xml version="1.0" encoding="utf-8"?>
<calcChain xmlns="http://schemas.openxmlformats.org/spreadsheetml/2006/main">
  <c r="C32" i="1" l="1"/>
  <c r="C29" i="1"/>
  <c r="B39" i="1" s="1"/>
  <c r="B32" i="1"/>
  <c r="D32" i="1"/>
  <c r="E32" i="1"/>
  <c r="F32" i="1"/>
  <c r="G32" i="1"/>
  <c r="H32" i="1"/>
  <c r="F5" i="3" a="1"/>
  <c r="F5" i="3" s="1"/>
  <c r="B37" i="1" l="1"/>
  <c r="J5" i="3" s="1"/>
  <c r="J6" i="3"/>
  <c r="B43" i="1"/>
  <c r="B5" i="3" s="1"/>
  <c r="F10" i="3"/>
  <c r="F8" i="3"/>
  <c r="F6" i="3"/>
  <c r="F11" i="3"/>
  <c r="F9" i="3"/>
  <c r="F7" i="3"/>
  <c r="E5" i="3" a="1"/>
  <c r="E7" i="3" s="1"/>
  <c r="B42" i="1"/>
  <c r="J4" i="3" l="1"/>
  <c r="B44" i="1"/>
  <c r="B6" i="3" s="1"/>
  <c r="B4" i="3"/>
  <c r="E9" i="3"/>
  <c r="E8" i="3"/>
  <c r="E11" i="3"/>
  <c r="E5" i="3"/>
  <c r="E10" i="3"/>
  <c r="E6" i="3"/>
</calcChain>
</file>

<file path=xl/comments1.xml><?xml version="1.0" encoding="utf-8"?>
<comments xmlns="http://schemas.openxmlformats.org/spreadsheetml/2006/main">
  <authors>
    <author>Chris Albright</author>
  </authors>
  <commentList>
    <comment ref="B7" authorId="0" shapeId="0">
      <text>
        <r>
          <rPr>
            <b/>
            <sz val="8"/>
            <color indexed="81"/>
            <rFont val="Tahoma"/>
            <family val="2"/>
          </rPr>
          <t>1 if days off are consecutive; 0 otherwise</t>
        </r>
        <r>
          <rPr>
            <sz val="8"/>
            <color indexed="81"/>
            <rFont val="Tahoma"/>
            <family val="2"/>
          </rPr>
          <t xml:space="preserve">
</t>
        </r>
      </text>
    </comment>
    <comment ref="C7" authorId="0" shapeId="0">
      <text>
        <r>
          <rPr>
            <b/>
            <sz val="8"/>
            <color indexed="81"/>
            <rFont val="Tahoma"/>
            <family val="2"/>
          </rPr>
          <t>Number of workers with this days-off pair</t>
        </r>
        <r>
          <rPr>
            <sz val="8"/>
            <color indexed="81"/>
            <rFont val="Tahoma"/>
            <family val="2"/>
          </rPr>
          <t xml:space="preserve">
</t>
        </r>
      </text>
    </comment>
  </commentList>
</comments>
</file>

<file path=xl/sharedStrings.xml><?xml version="1.0" encoding="utf-8"?>
<sst xmlns="http://schemas.openxmlformats.org/spreadsheetml/2006/main" count="91" uniqueCount="62">
  <si>
    <t>Mon, Tue</t>
  </si>
  <si>
    <t>Mon, Wed</t>
  </si>
  <si>
    <t>Days off</t>
  </si>
  <si>
    <t>Consecutive</t>
  </si>
  <si>
    <t>Mon, Thu</t>
  </si>
  <si>
    <t>Mon, Fri</t>
  </si>
  <si>
    <t>Mon, Sat</t>
  </si>
  <si>
    <t>Mon, Sun</t>
  </si>
  <si>
    <t>Tue, Wed</t>
  </si>
  <si>
    <t>Tue, Thu</t>
  </si>
  <si>
    <t>Tue, Fri</t>
  </si>
  <si>
    <t>Tue, Sat</t>
  </si>
  <si>
    <t>Tue, Sun</t>
  </si>
  <si>
    <t>Wed, Thu</t>
  </si>
  <si>
    <t>Wed, Fri</t>
  </si>
  <si>
    <t>Wed, Sat</t>
  </si>
  <si>
    <t>Wed</t>
  </si>
  <si>
    <t>Wed, Sun</t>
  </si>
  <si>
    <t>Thu, Fri</t>
  </si>
  <si>
    <t>Thu, Sat</t>
  </si>
  <si>
    <t>Thu, Sun</t>
  </si>
  <si>
    <t>Fri, Sat</t>
  </si>
  <si>
    <t>Fri, Sun</t>
  </si>
  <si>
    <t>Sat, Sun</t>
  </si>
  <si>
    <t>Daily constraints on workers</t>
  </si>
  <si>
    <t>Available</t>
  </si>
  <si>
    <t>Required</t>
  </si>
  <si>
    <t>Mon</t>
  </si>
  <si>
    <t>Tue</t>
  </si>
  <si>
    <t>Thu</t>
  </si>
  <si>
    <t>Fri</t>
  </si>
  <si>
    <t>Sat</t>
  </si>
  <si>
    <t>Sun</t>
  </si>
  <si>
    <t>&gt;=</t>
  </si>
  <si>
    <t>Maximum percent with nonconsecutive days off</t>
  </si>
  <si>
    <t>Consecutive days off constraint</t>
  </si>
  <si>
    <t>Number nonconsecutive</t>
  </si>
  <si>
    <t>Maximum</t>
  </si>
  <si>
    <t>Assignments</t>
  </si>
  <si>
    <t>Assignment of workers to days off pairs</t>
  </si>
  <si>
    <t>&lt;=</t>
  </si>
  <si>
    <t>Report of optimal solution</t>
  </si>
  <si>
    <t>Worker availabilities</t>
  </si>
  <si>
    <t>Day</t>
  </si>
  <si>
    <t>Number assigned</t>
  </si>
  <si>
    <t>Optimal assignments (positive assignments only)</t>
  </si>
  <si>
    <t xml:space="preserve">Number of workers: </t>
  </si>
  <si>
    <t>Sensitivity of solutions to maxpct</t>
  </si>
  <si>
    <t>MaxPct</t>
  </si>
  <si>
    <t>Total</t>
  </si>
  <si>
    <t>Scheduling Workers</t>
  </si>
  <si>
    <t>Weekly costs</t>
  </si>
  <si>
    <t>Weekday</t>
  </si>
  <si>
    <t>Weekend</t>
  </si>
  <si>
    <t>With consecutive days off</t>
  </si>
  <si>
    <t>With nonconsecutive days off</t>
  </si>
  <si>
    <t>Payroll</t>
  </si>
  <si>
    <t>Hourly wage rates</t>
  </si>
  <si>
    <t>&lt;-- Total workers</t>
  </si>
  <si>
    <t>Nonconsec</t>
  </si>
  <si>
    <t>Total workers</t>
  </si>
  <si>
    <t>Worker scheduling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</si>
</sst>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quot;$&quot;#,##0"/>
    <numFmt numFmtId="165" formatCode="&quot;$&quot;#,##0.00;\-&quot;$&quot;#,##0.00"/>
  </numFmts>
  <fonts count="8" x14ac:knownFonts="1">
    <font>
      <sz val="10"/>
      <name val="Arial"/>
    </font>
    <font>
      <sz val="10"/>
      <name val="Arial"/>
      <family val="2"/>
    </font>
    <font>
      <sz val="8"/>
      <color indexed="81"/>
      <name val="Tahoma"/>
      <family val="2"/>
    </font>
    <font>
      <b/>
      <sz val="8"/>
      <color indexed="81"/>
      <name val="Tahoma"/>
      <family val="2"/>
    </font>
    <font>
      <b/>
      <sz val="11"/>
      <name val="Calibri"/>
      <family val="2"/>
      <scheme val="minor"/>
    </font>
    <font>
      <sz val="11"/>
      <name val="Calibri"/>
      <family val="2"/>
      <scheme val="minor"/>
    </font>
    <font>
      <b/>
      <sz val="14"/>
      <name val="Calibri"/>
      <family val="2"/>
      <scheme val="minor"/>
    </font>
    <font>
      <sz val="11"/>
      <color rgb="FF000000"/>
      <name val="Calibri"/>
      <family val="2"/>
    </font>
  </fonts>
  <fills count="5">
    <fill>
      <patternFill patternType="none"/>
    </fill>
    <fill>
      <patternFill patternType="gray125"/>
    </fill>
    <fill>
      <patternFill patternType="solid">
        <fgColor theme="4" tint="0.59996337778862885"/>
        <bgColor indexed="64"/>
      </patternFill>
    </fill>
    <fill>
      <patternFill patternType="solid">
        <fgColor theme="5" tint="0.59996337778862885"/>
        <bgColor indexed="64"/>
      </patternFill>
    </fill>
    <fill>
      <patternFill patternType="solid">
        <fgColor theme="0" tint="-0.2499465926084170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5" fillId="0" borderId="0" xfId="0" applyFont="1" applyFill="1"/>
    <xf numFmtId="0" fontId="4" fillId="0" borderId="0" xfId="0" applyFont="1" applyFill="1" applyAlignment="1">
      <alignment horizontal="left"/>
    </xf>
    <xf numFmtId="0" fontId="4" fillId="0" borderId="0" xfId="0" applyFont="1" applyFill="1" applyAlignment="1">
      <alignment horizontal="center"/>
    </xf>
    <xf numFmtId="0" fontId="4" fillId="0" borderId="0" xfId="0" applyFont="1" applyFill="1"/>
    <xf numFmtId="164" fontId="5" fillId="0" borderId="0" xfId="0" applyNumberFormat="1" applyFont="1" applyFill="1"/>
    <xf numFmtId="1" fontId="5" fillId="0" borderId="0" xfId="0" applyNumberFormat="1" applyFont="1" applyFill="1"/>
    <xf numFmtId="0" fontId="5" fillId="0" borderId="0" xfId="0" applyFont="1" applyFill="1" applyAlignment="1">
      <alignment horizontal="left"/>
    </xf>
    <xf numFmtId="0" fontId="5" fillId="0" borderId="0" xfId="0" applyFont="1" applyFill="1" applyAlignment="1">
      <alignment horizontal="right"/>
    </xf>
    <xf numFmtId="0" fontId="4" fillId="0" borderId="0" xfId="0" applyFont="1"/>
    <xf numFmtId="0" fontId="5" fillId="0" borderId="0" xfId="0" applyFont="1"/>
    <xf numFmtId="0" fontId="5" fillId="0" borderId="0" xfId="0" applyFont="1" applyAlignment="1">
      <alignment horizontal="right"/>
    </xf>
    <xf numFmtId="9" fontId="5" fillId="0" borderId="0" xfId="1" applyFont="1"/>
    <xf numFmtId="9" fontId="5" fillId="2" borderId="0" xfId="0" applyNumberFormat="1" applyFont="1" applyFill="1" applyBorder="1"/>
    <xf numFmtId="165" fontId="5" fillId="2" borderId="0" xfId="0" applyNumberFormat="1" applyFont="1" applyFill="1" applyBorder="1"/>
    <xf numFmtId="0" fontId="5" fillId="0" borderId="0" xfId="0" applyFont="1" applyAlignment="1">
      <alignment horizontal="left"/>
    </xf>
    <xf numFmtId="1" fontId="5" fillId="3" borderId="0" xfId="0" applyNumberFormat="1" applyFont="1" applyFill="1" applyBorder="1"/>
    <xf numFmtId="0" fontId="5" fillId="0" borderId="0" xfId="0" applyFont="1" applyBorder="1"/>
    <xf numFmtId="0" fontId="5" fillId="0" borderId="0" xfId="0" applyFont="1" applyAlignment="1">
      <alignment horizontal="left" indent="1"/>
    </xf>
    <xf numFmtId="1" fontId="5" fillId="0" borderId="0" xfId="0" applyNumberFormat="1" applyFont="1"/>
    <xf numFmtId="0" fontId="5" fillId="2" borderId="0" xfId="0" applyFont="1" applyFill="1" applyBorder="1"/>
    <xf numFmtId="0" fontId="5" fillId="0" borderId="0" xfId="0" applyFont="1" applyBorder="1" applyAlignment="1">
      <alignment horizontal="right"/>
    </xf>
    <xf numFmtId="2" fontId="5" fillId="0" borderId="0" xfId="0" applyNumberFormat="1" applyFont="1" applyBorder="1"/>
    <xf numFmtId="164" fontId="5" fillId="0" borderId="0" xfId="0" applyNumberFormat="1" applyFont="1" applyBorder="1"/>
    <xf numFmtId="164" fontId="5" fillId="0" borderId="0" xfId="0" applyNumberFormat="1" applyFont="1"/>
    <xf numFmtId="164" fontId="5" fillId="4" borderId="0" xfId="0" applyNumberFormat="1" applyFont="1" applyFill="1" applyBorder="1"/>
    <xf numFmtId="0" fontId="6"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hartsheet" Target="chartsheets/sheet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Sensitivity to Max Pct Nonconsecutive Constraint</a:t>
            </a:r>
          </a:p>
        </c:rich>
      </c:tx>
      <c:layout>
        <c:manualLayout>
          <c:xMode val="edge"/>
          <c:yMode val="edge"/>
          <c:x val="0.28856825749167592"/>
          <c:y val="1.9575856443719428E-2"/>
        </c:manualLayout>
      </c:layout>
      <c:overlay val="0"/>
      <c:spPr>
        <a:noFill/>
        <a:ln w="25400">
          <a:noFill/>
        </a:ln>
      </c:spPr>
    </c:title>
    <c:autoTitleDeleted val="0"/>
    <c:plotArea>
      <c:layout>
        <c:manualLayout>
          <c:layoutTarget val="inner"/>
          <c:xMode val="edge"/>
          <c:yMode val="edge"/>
          <c:x val="6.5482796892341946E-2"/>
          <c:y val="0.12234910277324638"/>
          <c:w val="0.79467258601553825"/>
          <c:h val="0.77324632952691652"/>
        </c:manualLayout>
      </c:layout>
      <c:barChart>
        <c:barDir val="col"/>
        <c:grouping val="clustered"/>
        <c:varyColors val="0"/>
        <c:ser>
          <c:idx val="1"/>
          <c:order val="0"/>
          <c:tx>
            <c:v>Nonconsecutive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Model!$AB$3:$AB$13</c:f>
              <c:numCache>
                <c:formatCode>General</c:formatCode>
                <c:ptCount val="11"/>
                <c:pt idx="0">
                  <c:v>0</c:v>
                </c:pt>
                <c:pt idx="1">
                  <c:v>2</c:v>
                </c:pt>
                <c:pt idx="2">
                  <c:v>5</c:v>
                </c:pt>
                <c:pt idx="3">
                  <c:v>7</c:v>
                </c:pt>
                <c:pt idx="4">
                  <c:v>10</c:v>
                </c:pt>
                <c:pt idx="5">
                  <c:v>13</c:v>
                </c:pt>
                <c:pt idx="6">
                  <c:v>15</c:v>
                </c:pt>
                <c:pt idx="7">
                  <c:v>18</c:v>
                </c:pt>
                <c:pt idx="8">
                  <c:v>19</c:v>
                </c:pt>
                <c:pt idx="9">
                  <c:v>19</c:v>
                </c:pt>
                <c:pt idx="10">
                  <c:v>19</c:v>
                </c:pt>
              </c:numCache>
            </c:numRef>
          </c:val>
        </c:ser>
        <c:ser>
          <c:idx val="2"/>
          <c:order val="1"/>
          <c:tx>
            <c:v>Total</c:v>
          </c:tx>
          <c:spPr>
            <a:solidFill>
              <a:srgbClr val="FFFFCC"/>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Model!$AC$3:$AC$13</c:f>
              <c:numCache>
                <c:formatCode>General</c:formatCode>
                <c:ptCount val="11"/>
                <c:pt idx="0">
                  <c:v>29</c:v>
                </c:pt>
                <c:pt idx="1">
                  <c:v>28</c:v>
                </c:pt>
                <c:pt idx="2">
                  <c:v>27</c:v>
                </c:pt>
                <c:pt idx="3">
                  <c:v>26</c:v>
                </c:pt>
                <c:pt idx="4">
                  <c:v>26</c:v>
                </c:pt>
                <c:pt idx="5">
                  <c:v>26</c:v>
                </c:pt>
                <c:pt idx="6">
                  <c:v>26</c:v>
                </c:pt>
                <c:pt idx="7">
                  <c:v>26</c:v>
                </c:pt>
                <c:pt idx="8">
                  <c:v>26</c:v>
                </c:pt>
                <c:pt idx="9">
                  <c:v>26</c:v>
                </c:pt>
                <c:pt idx="10">
                  <c:v>26</c:v>
                </c:pt>
              </c:numCache>
            </c:numRef>
          </c:val>
        </c:ser>
        <c:dLbls>
          <c:showLegendKey val="0"/>
          <c:showVal val="0"/>
          <c:showCatName val="0"/>
          <c:showSerName val="0"/>
          <c:showPercent val="0"/>
          <c:showBubbleSize val="0"/>
        </c:dLbls>
        <c:gapWidth val="150"/>
        <c:axId val="404981816"/>
        <c:axId val="404986520"/>
      </c:barChart>
      <c:catAx>
        <c:axId val="404981816"/>
        <c:scaling>
          <c:orientation val="minMax"/>
        </c:scaling>
        <c:delete val="0"/>
        <c:axPos val="b"/>
        <c:title>
          <c:tx>
            <c:rich>
              <a:bodyPr/>
              <a:lstStyle/>
              <a:p>
                <a:pPr>
                  <a:defRPr sz="925" b="1" i="0" u="none" strike="noStrike" baseline="0">
                    <a:solidFill>
                      <a:srgbClr val="000000"/>
                    </a:solidFill>
                    <a:latin typeface="Arial"/>
                    <a:ea typeface="Arial"/>
                    <a:cs typeface="Arial"/>
                  </a:defRPr>
                </a:pPr>
                <a:r>
                  <a:rPr lang="en-US"/>
                  <a:t>Maximum Pct Nonconsecutive Allowed</a:t>
                </a:r>
              </a:p>
            </c:rich>
          </c:tx>
          <c:layout>
            <c:manualLayout>
              <c:xMode val="edge"/>
              <c:yMode val="edge"/>
              <c:x val="0.33851276359600491"/>
              <c:y val="0.9461663947797714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04986520"/>
        <c:crosses val="autoZero"/>
        <c:auto val="1"/>
        <c:lblAlgn val="ctr"/>
        <c:lblOffset val="100"/>
        <c:tickLblSkip val="1"/>
        <c:tickMarkSkip val="1"/>
        <c:noMultiLvlLbl val="0"/>
      </c:catAx>
      <c:valAx>
        <c:axId val="404986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Number of workers</a:t>
                </a:r>
              </a:p>
            </c:rich>
          </c:tx>
          <c:layout>
            <c:manualLayout>
              <c:xMode val="edge"/>
              <c:yMode val="edge"/>
              <c:x val="1.2208657047724751E-2"/>
              <c:y val="0.4159869494290378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04981816"/>
        <c:crosses val="autoZero"/>
        <c:crossBetween val="between"/>
      </c:valAx>
      <c:spPr>
        <a:solidFill>
          <a:srgbClr val="C0C0C0"/>
        </a:solidFill>
        <a:ln w="12700">
          <a:solidFill>
            <a:srgbClr val="808080"/>
          </a:solidFill>
          <a:prstDash val="solid"/>
        </a:ln>
      </c:spPr>
    </c:plotArea>
    <c:legend>
      <c:legendPos val="r"/>
      <c:layout>
        <c:manualLayout>
          <c:xMode val="edge"/>
          <c:yMode val="edge"/>
          <c:x val="0.87236403995560452"/>
          <c:y val="0.47471451876019577"/>
          <c:w val="0.1231964483906771"/>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Sensitivity"/>
  <sheetViews>
    <sheetView zoomScale="116" workbookViewId="0" zoomToFit="1"/>
  </sheetViews>
  <pageMargins left="0.75" right="0.75" top="1" bottom="1" header="0.5" footer="0.5"/>
  <pageSetup orientation="landscape" horizontalDpi="1200" verticalDpi="1200"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495300</xdr:colOff>
      <xdr:row>5</xdr:row>
      <xdr:rowOff>101600</xdr:rowOff>
    </xdr:from>
    <xdr:to>
      <xdr:col>9</xdr:col>
      <xdr:colOff>295275</xdr:colOff>
      <xdr:row>18</xdr:row>
      <xdr:rowOff>114300</xdr:rowOff>
    </xdr:to>
    <xdr:sp macro="" textlink="">
      <xdr:nvSpPr>
        <xdr:cNvPr id="3" name="TextBox 2"/>
        <xdr:cNvSpPr txBox="1"/>
      </xdr:nvSpPr>
      <xdr:spPr>
        <a:xfrm>
          <a:off x="495300" y="1101725"/>
          <a:ext cx="5286375" cy="2489200"/>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The purpose of this application is to determine an optimal schedule for workers.  All workers must work 5 days out of every 7-day week, and their 2 days off can be either consecutive or nonconsecutive.  However, there is a constraint (an upper limit) on the percentage of workers who can have nonconsecutive days off.  The model also allows the weekday wage rate to be different from the weekend rate.  The objective is to meet given daily requirements at minimal weekly payroll cost.  
The application allows you to view/change the inputs (daily requirements, hourly wage rates for weekdays and weekends, and maximum percentage of nonconsecutive days off) and then optimize the model with these inputs. Then you can perform a sensitivity analysis, with this maximum percentage nonconsecutive as the input varied, in which case the results are shown in graphical form.</a:t>
          </a:r>
        </a:p>
      </xdr:txBody>
    </xdr:sp>
    <xdr:clientData/>
  </xdr:twoCellAnchor>
  <mc:AlternateContent xmlns:mc="http://schemas.openxmlformats.org/markup-compatibility/2006">
    <mc:Choice xmlns:a14="http://schemas.microsoft.com/office/drawing/2010/main" Requires="a14">
      <xdr:twoCellAnchor>
        <xdr:from>
          <xdr:col>3</xdr:col>
          <xdr:colOff>504825</xdr:colOff>
          <xdr:row>2</xdr:row>
          <xdr:rowOff>104775</xdr:rowOff>
        </xdr:from>
        <xdr:to>
          <xdr:col>6</xdr:col>
          <xdr:colOff>142875</xdr:colOff>
          <xdr:row>4</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342900</xdr:colOff>
          <xdr:row>12</xdr:row>
          <xdr:rowOff>95250</xdr:rowOff>
        </xdr:from>
        <xdr:to>
          <xdr:col>5</xdr:col>
          <xdr:colOff>619125</xdr:colOff>
          <xdr:row>13</xdr:row>
          <xdr:rowOff>152400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Return to Explanation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12</xdr:row>
          <xdr:rowOff>85725</xdr:rowOff>
        </xdr:from>
        <xdr:to>
          <xdr:col>8</xdr:col>
          <xdr:colOff>152400</xdr:colOff>
          <xdr:row>13</xdr:row>
          <xdr:rowOff>142875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Perform Sensitivity Analysis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72500" cy="5829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0.0075</cdr:x>
      <cdr:y>0</cdr:y>
    </cdr:from>
    <cdr:to>
      <cdr:x>0.2495</cdr:x>
      <cdr:y>0.06525</cdr:y>
    </cdr:to>
    <cdr:sp macro="" textlink="">
      <cdr:nvSpPr>
        <cdr:cNvPr id="4098" name="Text Box 2"/>
        <cdr:cNvSpPr txBox="1">
          <a:spLocks xmlns:a="http://schemas.openxmlformats.org/drawingml/2006/main" noChangeArrowheads="1"/>
        </cdr:cNvSpPr>
      </cdr:nvSpPr>
      <cdr:spPr bwMode="auto">
        <a:xfrm xmlns:a="http://schemas.openxmlformats.org/drawingml/2006/main">
          <a:off x="64365" y="0"/>
          <a:ext cx="2076850" cy="380983"/>
        </a:xfrm>
        <a:prstGeom xmlns:a="http://schemas.openxmlformats.org/drawingml/2006/main" prst="rect">
          <a:avLst/>
        </a:prstGeom>
        <a:noFill xmlns:a="http://schemas.openxmlformats.org/drawingml/2006/main"/>
        <a:ln xmlns:a="http://schemas.openxmlformats.org/drawingml/2006/main" w="9525">
          <a:noFill/>
          <a:miter lim="800000"/>
          <a:headEnd/>
          <a:tailEnd/>
        </a:ln>
      </cdr:spPr>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B2:I2"/>
  <sheetViews>
    <sheetView showGridLines="0" showRowColHeaders="0" tabSelected="1" workbookViewId="0"/>
  </sheetViews>
  <sheetFormatPr defaultRowHeight="15" x14ac:dyDescent="0.25"/>
  <cols>
    <col min="1" max="16384" width="9.140625" style="1"/>
  </cols>
  <sheetData>
    <row r="2" spans="2:9" ht="18.75" x14ac:dyDescent="0.3">
      <c r="B2" s="26" t="s">
        <v>50</v>
      </c>
      <c r="C2" s="26"/>
      <c r="D2" s="26"/>
      <c r="E2" s="26"/>
      <c r="F2" s="26"/>
      <c r="G2" s="26"/>
      <c r="H2" s="26"/>
      <c r="I2" s="26"/>
    </row>
  </sheetData>
  <mergeCells count="1">
    <mergeCell ref="B2:I2"/>
  </mergeCells>
  <phoneticPr fontId="0" type="noConversion"/>
  <pageMargins left="0.75" right="0.75" top="1" bottom="1" header="0.5" footer="0.5"/>
  <pageSetup scale="9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MainScheduling">
                <anchor moveWithCells="1" sizeWithCells="1">
                  <from>
                    <xdr:col>3</xdr:col>
                    <xdr:colOff>504825</xdr:colOff>
                    <xdr:row>2</xdr:row>
                    <xdr:rowOff>104775</xdr:rowOff>
                  </from>
                  <to>
                    <xdr:col>6</xdr:col>
                    <xdr:colOff>142875</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AC44"/>
  <sheetViews>
    <sheetView workbookViewId="0">
      <selection activeCell="A2" sqref="A2"/>
    </sheetView>
  </sheetViews>
  <sheetFormatPr defaultRowHeight="15" x14ac:dyDescent="0.25"/>
  <cols>
    <col min="1" max="1" width="22.5703125" style="10" customWidth="1"/>
    <col min="2" max="2" width="11.85546875" style="10" bestFit="1" customWidth="1"/>
    <col min="3" max="3" width="11.85546875" style="10" customWidth="1"/>
    <col min="4" max="5" width="9.140625" style="10"/>
    <col min="6" max="6" width="10.140625" style="10" customWidth="1"/>
    <col min="7" max="7" width="11.42578125" style="10" customWidth="1"/>
    <col min="8" max="26" width="9.140625" style="10"/>
    <col min="27" max="27" width="10.7109375" style="10" customWidth="1"/>
    <col min="28" max="28" width="11.28515625" style="10" customWidth="1"/>
    <col min="29" max="29" width="13.140625" style="10" bestFit="1" customWidth="1"/>
    <col min="30" max="16384" width="9.140625" style="10"/>
  </cols>
  <sheetData>
    <row r="1" spans="1:29" x14ac:dyDescent="0.25">
      <c r="A1" s="9" t="s">
        <v>61</v>
      </c>
      <c r="AA1" s="9" t="s">
        <v>47</v>
      </c>
    </row>
    <row r="2" spans="1:29" x14ac:dyDescent="0.25">
      <c r="AA2" s="11" t="s">
        <v>48</v>
      </c>
      <c r="AB2" s="11" t="s">
        <v>59</v>
      </c>
      <c r="AC2" s="11" t="s">
        <v>60</v>
      </c>
    </row>
    <row r="3" spans="1:29" x14ac:dyDescent="0.25">
      <c r="A3" s="9" t="s">
        <v>34</v>
      </c>
      <c r="F3" s="9" t="s">
        <v>57</v>
      </c>
      <c r="AA3" s="12">
        <v>0</v>
      </c>
      <c r="AB3" s="10">
        <v>0</v>
      </c>
      <c r="AC3" s="10">
        <v>29</v>
      </c>
    </row>
    <row r="4" spans="1:29" x14ac:dyDescent="0.25">
      <c r="B4" s="13">
        <v>1</v>
      </c>
      <c r="F4" s="10" t="s">
        <v>52</v>
      </c>
      <c r="G4" s="14">
        <v>8</v>
      </c>
      <c r="AA4" s="12">
        <v>0.1</v>
      </c>
      <c r="AB4" s="10">
        <v>2</v>
      </c>
      <c r="AC4" s="10">
        <v>28</v>
      </c>
    </row>
    <row r="5" spans="1:29" x14ac:dyDescent="0.25">
      <c r="F5" s="10" t="s">
        <v>53</v>
      </c>
      <c r="G5" s="14">
        <v>12</v>
      </c>
      <c r="AA5" s="12">
        <v>0.2</v>
      </c>
      <c r="AB5" s="10">
        <v>5</v>
      </c>
      <c r="AC5" s="10">
        <v>27</v>
      </c>
    </row>
    <row r="6" spans="1:29" x14ac:dyDescent="0.25">
      <c r="A6" s="9" t="s">
        <v>39</v>
      </c>
      <c r="AA6" s="12">
        <v>0.3</v>
      </c>
      <c r="AB6" s="10">
        <v>7</v>
      </c>
      <c r="AC6" s="10">
        <v>26</v>
      </c>
    </row>
    <row r="7" spans="1:29" x14ac:dyDescent="0.25">
      <c r="A7" s="15" t="s">
        <v>2</v>
      </c>
      <c r="B7" s="11" t="s">
        <v>3</v>
      </c>
      <c r="C7" s="11" t="s">
        <v>38</v>
      </c>
      <c r="AA7" s="12">
        <v>0.4</v>
      </c>
      <c r="AB7" s="10">
        <v>10</v>
      </c>
      <c r="AC7" s="10">
        <v>26</v>
      </c>
    </row>
    <row r="8" spans="1:29" x14ac:dyDescent="0.25">
      <c r="A8" s="10" t="s">
        <v>0</v>
      </c>
      <c r="B8" s="10">
        <v>1</v>
      </c>
      <c r="C8" s="16">
        <v>0</v>
      </c>
      <c r="F8" s="17"/>
      <c r="AA8" s="12">
        <v>0.5</v>
      </c>
      <c r="AB8" s="10">
        <v>13</v>
      </c>
      <c r="AC8" s="10">
        <v>26</v>
      </c>
    </row>
    <row r="9" spans="1:29" x14ac:dyDescent="0.25">
      <c r="A9" s="10" t="s">
        <v>1</v>
      </c>
      <c r="B9" s="10">
        <v>0</v>
      </c>
      <c r="C9" s="16">
        <v>0</v>
      </c>
      <c r="F9" s="17"/>
      <c r="AA9" s="12">
        <v>0.6</v>
      </c>
      <c r="AB9" s="10">
        <v>15</v>
      </c>
      <c r="AC9" s="10">
        <v>26</v>
      </c>
    </row>
    <row r="10" spans="1:29" x14ac:dyDescent="0.25">
      <c r="A10" s="10" t="s">
        <v>4</v>
      </c>
      <c r="B10" s="10">
        <v>0</v>
      </c>
      <c r="C10" s="16">
        <v>0</v>
      </c>
      <c r="F10" s="17"/>
      <c r="AA10" s="12">
        <v>0.7</v>
      </c>
      <c r="AB10" s="10">
        <v>18</v>
      </c>
      <c r="AC10" s="10">
        <v>26</v>
      </c>
    </row>
    <row r="11" spans="1:29" x14ac:dyDescent="0.25">
      <c r="A11" s="10" t="s">
        <v>5</v>
      </c>
      <c r="B11" s="10">
        <v>0</v>
      </c>
      <c r="C11" s="16">
        <v>0</v>
      </c>
      <c r="F11" s="17"/>
      <c r="AA11" s="12">
        <v>0.8</v>
      </c>
      <c r="AB11" s="10">
        <v>19</v>
      </c>
      <c r="AC11" s="10">
        <v>26</v>
      </c>
    </row>
    <row r="12" spans="1:29" x14ac:dyDescent="0.25">
      <c r="A12" s="10" t="s">
        <v>6</v>
      </c>
      <c r="B12" s="10">
        <v>0</v>
      </c>
      <c r="C12" s="16">
        <v>0</v>
      </c>
      <c r="F12" s="17"/>
      <c r="AA12" s="12">
        <v>0.9</v>
      </c>
      <c r="AB12" s="10">
        <v>19</v>
      </c>
      <c r="AC12" s="10">
        <v>26</v>
      </c>
    </row>
    <row r="13" spans="1:29" x14ac:dyDescent="0.25">
      <c r="A13" s="10" t="s">
        <v>7</v>
      </c>
      <c r="B13" s="10">
        <v>1</v>
      </c>
      <c r="C13" s="16">
        <v>6</v>
      </c>
      <c r="F13" s="17"/>
      <c r="AA13" s="12">
        <v>1</v>
      </c>
      <c r="AB13" s="10">
        <v>19</v>
      </c>
      <c r="AC13" s="10">
        <v>26</v>
      </c>
    </row>
    <row r="14" spans="1:29" x14ac:dyDescent="0.25">
      <c r="A14" s="10" t="s">
        <v>8</v>
      </c>
      <c r="B14" s="10">
        <v>1</v>
      </c>
      <c r="C14" s="16">
        <v>0</v>
      </c>
      <c r="F14" s="17"/>
      <c r="AA14" s="12"/>
    </row>
    <row r="15" spans="1:29" x14ac:dyDescent="0.25">
      <c r="A15" s="10" t="s">
        <v>9</v>
      </c>
      <c r="B15" s="10">
        <v>0</v>
      </c>
      <c r="C15" s="16">
        <v>0</v>
      </c>
      <c r="F15" s="17"/>
      <c r="AA15" s="12"/>
    </row>
    <row r="16" spans="1:29" x14ac:dyDescent="0.25">
      <c r="A16" s="10" t="s">
        <v>10</v>
      </c>
      <c r="B16" s="10">
        <v>0</v>
      </c>
      <c r="C16" s="16">
        <v>0</v>
      </c>
      <c r="F16" s="17"/>
      <c r="AA16" s="12"/>
    </row>
    <row r="17" spans="1:27" x14ac:dyDescent="0.25">
      <c r="A17" s="10" t="s">
        <v>11</v>
      </c>
      <c r="B17" s="10">
        <v>0</v>
      </c>
      <c r="C17" s="16">
        <v>10</v>
      </c>
      <c r="F17" s="17"/>
      <c r="AA17" s="12"/>
    </row>
    <row r="18" spans="1:27" x14ac:dyDescent="0.25">
      <c r="A18" s="10" t="s">
        <v>12</v>
      </c>
      <c r="B18" s="10">
        <v>0</v>
      </c>
      <c r="C18" s="16">
        <v>1</v>
      </c>
      <c r="F18" s="17"/>
      <c r="AA18" s="12"/>
    </row>
    <row r="19" spans="1:27" x14ac:dyDescent="0.25">
      <c r="A19" s="10" t="s">
        <v>13</v>
      </c>
      <c r="B19" s="10">
        <v>1</v>
      </c>
      <c r="C19" s="16">
        <v>0</v>
      </c>
      <c r="F19" s="17"/>
      <c r="AA19" s="12"/>
    </row>
    <row r="20" spans="1:27" x14ac:dyDescent="0.25">
      <c r="A20" s="10" t="s">
        <v>14</v>
      </c>
      <c r="B20" s="10">
        <v>0</v>
      </c>
      <c r="C20" s="16">
        <v>0</v>
      </c>
      <c r="F20" s="17"/>
      <c r="AA20" s="12"/>
    </row>
    <row r="21" spans="1:27" x14ac:dyDescent="0.25">
      <c r="A21" s="10" t="s">
        <v>15</v>
      </c>
      <c r="B21" s="10">
        <v>0</v>
      </c>
      <c r="C21" s="16">
        <v>0</v>
      </c>
      <c r="F21" s="17"/>
      <c r="AA21" s="12"/>
    </row>
    <row r="22" spans="1:27" x14ac:dyDescent="0.25">
      <c r="A22" s="10" t="s">
        <v>17</v>
      </c>
      <c r="B22" s="10">
        <v>0</v>
      </c>
      <c r="C22" s="16">
        <v>1</v>
      </c>
      <c r="F22" s="17"/>
      <c r="AA22" s="12"/>
    </row>
    <row r="23" spans="1:27" x14ac:dyDescent="0.25">
      <c r="A23" s="10" t="s">
        <v>18</v>
      </c>
      <c r="B23" s="10">
        <v>1</v>
      </c>
      <c r="C23" s="16">
        <v>0</v>
      </c>
      <c r="F23" s="17"/>
      <c r="AA23" s="12"/>
    </row>
    <row r="24" spans="1:27" x14ac:dyDescent="0.25">
      <c r="A24" s="10" t="s">
        <v>19</v>
      </c>
      <c r="B24" s="10">
        <v>0</v>
      </c>
      <c r="C24" s="16">
        <v>0</v>
      </c>
      <c r="F24" s="17"/>
    </row>
    <row r="25" spans="1:27" x14ac:dyDescent="0.25">
      <c r="A25" s="10" t="s">
        <v>20</v>
      </c>
      <c r="B25" s="10">
        <v>0</v>
      </c>
      <c r="C25" s="16">
        <v>6</v>
      </c>
      <c r="F25" s="17"/>
    </row>
    <row r="26" spans="1:27" x14ac:dyDescent="0.25">
      <c r="A26" s="10" t="s">
        <v>21</v>
      </c>
      <c r="B26" s="10">
        <v>1</v>
      </c>
      <c r="C26" s="16">
        <v>0</v>
      </c>
      <c r="F26" s="17"/>
    </row>
    <row r="27" spans="1:27" x14ac:dyDescent="0.25">
      <c r="A27" s="10" t="s">
        <v>22</v>
      </c>
      <c r="B27" s="10">
        <v>0</v>
      </c>
      <c r="C27" s="16">
        <v>1</v>
      </c>
      <c r="F27" s="17"/>
    </row>
    <row r="28" spans="1:27" x14ac:dyDescent="0.25">
      <c r="A28" s="10" t="s">
        <v>23</v>
      </c>
      <c r="B28" s="10">
        <v>1</v>
      </c>
      <c r="C28" s="16">
        <v>1</v>
      </c>
      <c r="F28" s="17"/>
    </row>
    <row r="29" spans="1:27" x14ac:dyDescent="0.25">
      <c r="C29" s="10">
        <f>SUM(Assignments)</f>
        <v>26</v>
      </c>
      <c r="D29" s="18" t="s">
        <v>58</v>
      </c>
    </row>
    <row r="30" spans="1:27" x14ac:dyDescent="0.25">
      <c r="A30" s="9" t="s">
        <v>24</v>
      </c>
    </row>
    <row r="31" spans="1:27" x14ac:dyDescent="0.25">
      <c r="A31" s="9"/>
      <c r="B31" s="11" t="s">
        <v>27</v>
      </c>
      <c r="C31" s="11" t="s">
        <v>28</v>
      </c>
      <c r="D31" s="11" t="s">
        <v>16</v>
      </c>
      <c r="E31" s="11" t="s">
        <v>29</v>
      </c>
      <c r="F31" s="11" t="s">
        <v>30</v>
      </c>
      <c r="G31" s="11" t="s">
        <v>31</v>
      </c>
      <c r="H31" s="11" t="s">
        <v>32</v>
      </c>
    </row>
    <row r="32" spans="1:27" x14ac:dyDescent="0.25">
      <c r="A32" s="10" t="s">
        <v>25</v>
      </c>
      <c r="B32" s="19">
        <f>SUM(AvailMon)</f>
        <v>20</v>
      </c>
      <c r="C32" s="19">
        <f>SUM(AvailTue)</f>
        <v>15</v>
      </c>
      <c r="D32" s="19">
        <f>SUM(AvailWed)</f>
        <v>25</v>
      </c>
      <c r="E32" s="19">
        <f>SUM(AvailThu)</f>
        <v>20</v>
      </c>
      <c r="F32" s="19">
        <f>SUM(AvailFri)</f>
        <v>25</v>
      </c>
      <c r="G32" s="19">
        <f>SUM(AvailSat)</f>
        <v>15</v>
      </c>
      <c r="H32" s="19">
        <f>SUM(AvailSun)</f>
        <v>10</v>
      </c>
    </row>
    <row r="33" spans="1:8" x14ac:dyDescent="0.25">
      <c r="B33" s="11" t="s">
        <v>33</v>
      </c>
      <c r="C33" s="11" t="s">
        <v>33</v>
      </c>
      <c r="D33" s="11" t="s">
        <v>33</v>
      </c>
      <c r="E33" s="11" t="s">
        <v>33</v>
      </c>
      <c r="F33" s="11" t="s">
        <v>33</v>
      </c>
      <c r="G33" s="11" t="s">
        <v>33</v>
      </c>
      <c r="H33" s="11" t="s">
        <v>33</v>
      </c>
    </row>
    <row r="34" spans="1:8" x14ac:dyDescent="0.25">
      <c r="A34" s="10" t="s">
        <v>26</v>
      </c>
      <c r="B34" s="20">
        <v>20</v>
      </c>
      <c r="C34" s="20">
        <v>15</v>
      </c>
      <c r="D34" s="20">
        <v>25</v>
      </c>
      <c r="E34" s="20">
        <v>20</v>
      </c>
      <c r="F34" s="20">
        <v>25</v>
      </c>
      <c r="G34" s="20">
        <v>15</v>
      </c>
      <c r="H34" s="20">
        <v>10</v>
      </c>
    </row>
    <row r="35" spans="1:8" x14ac:dyDescent="0.25">
      <c r="B35" s="17"/>
      <c r="C35" s="17"/>
      <c r="D35" s="17"/>
      <c r="E35" s="17"/>
      <c r="F35" s="17"/>
      <c r="G35" s="17"/>
      <c r="H35" s="17"/>
    </row>
    <row r="36" spans="1:8" x14ac:dyDescent="0.25">
      <c r="A36" s="9" t="s">
        <v>35</v>
      </c>
      <c r="B36" s="17"/>
      <c r="C36" s="17"/>
      <c r="D36" s="17"/>
      <c r="E36" s="17"/>
      <c r="F36" s="17"/>
      <c r="G36" s="17"/>
      <c r="H36" s="17"/>
    </row>
    <row r="37" spans="1:8" x14ac:dyDescent="0.25">
      <c r="A37" s="10" t="s">
        <v>36</v>
      </c>
      <c r="B37" s="17">
        <f>TotalWorkers-SUMPRODUCT(Consecutive,Assignments)</f>
        <v>19</v>
      </c>
      <c r="C37" s="17"/>
      <c r="D37" s="17"/>
      <c r="E37" s="17"/>
      <c r="F37" s="17"/>
      <c r="G37" s="17"/>
      <c r="H37" s="17"/>
    </row>
    <row r="38" spans="1:8" x14ac:dyDescent="0.25">
      <c r="B38" s="21" t="s">
        <v>40</v>
      </c>
      <c r="C38" s="17"/>
      <c r="D38" s="17"/>
      <c r="E38" s="17"/>
      <c r="F38" s="17"/>
      <c r="G38" s="17"/>
      <c r="H38" s="17"/>
    </row>
    <row r="39" spans="1:8" x14ac:dyDescent="0.25">
      <c r="A39" s="10" t="s">
        <v>37</v>
      </c>
      <c r="B39" s="22">
        <f>MaxPct*TotalWorkers</f>
        <v>26</v>
      </c>
      <c r="C39" s="17"/>
      <c r="D39" s="17"/>
      <c r="E39" s="17"/>
      <c r="F39" s="17"/>
      <c r="G39" s="17"/>
      <c r="H39" s="17"/>
    </row>
    <row r="41" spans="1:8" x14ac:dyDescent="0.25">
      <c r="A41" s="9" t="s">
        <v>56</v>
      </c>
    </row>
    <row r="42" spans="1:8" x14ac:dyDescent="0.25">
      <c r="A42" s="10" t="s">
        <v>52</v>
      </c>
      <c r="B42" s="23">
        <f>8*WeekdayRate*SUM(B32:F32)</f>
        <v>6720</v>
      </c>
    </row>
    <row r="43" spans="1:8" x14ac:dyDescent="0.25">
      <c r="A43" s="10" t="s">
        <v>53</v>
      </c>
      <c r="B43" s="24">
        <f>8*WeekendRate*SUM(G32:H32)</f>
        <v>2400</v>
      </c>
    </row>
    <row r="44" spans="1:8" x14ac:dyDescent="0.25">
      <c r="A44" s="10" t="s">
        <v>49</v>
      </c>
      <c r="B44" s="25">
        <f>SUM(B42:B43)</f>
        <v>9120</v>
      </c>
    </row>
  </sheetData>
  <phoneticPr fontId="0" type="noConversion"/>
  <printOptions headings="1" gridLines="1"/>
  <pageMargins left="0.75" right="0.75" top="1" bottom="1" header="0.5" footer="0.5"/>
  <pageSetup scale="92"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A1:J26"/>
  <sheetViews>
    <sheetView workbookViewId="0"/>
  </sheetViews>
  <sheetFormatPr defaultRowHeight="15" x14ac:dyDescent="0.25"/>
  <cols>
    <col min="1" max="1" width="18.140625" style="1" customWidth="1"/>
    <col min="2" max="2" width="16.5703125" style="1" bestFit="1" customWidth="1"/>
    <col min="3" max="3" width="12.7109375" style="1" customWidth="1"/>
    <col min="4" max="4" width="11.5703125" style="1" customWidth="1"/>
    <col min="5" max="5" width="12.140625" style="1" customWidth="1"/>
    <col min="6" max="6" width="9.5703125" style="1" bestFit="1" customWidth="1"/>
    <col min="7" max="7" width="9.140625" style="1"/>
    <col min="8" max="8" width="13.140625" style="1" customWidth="1"/>
    <col min="9" max="9" width="14.85546875" style="1" customWidth="1"/>
    <col min="10" max="16384" width="9.140625" style="1"/>
  </cols>
  <sheetData>
    <row r="1" spans="1:10" x14ac:dyDescent="0.25">
      <c r="A1" s="2" t="s">
        <v>41</v>
      </c>
      <c r="B1" s="3"/>
      <c r="C1" s="3"/>
      <c r="D1" s="3"/>
      <c r="E1" s="3"/>
      <c r="F1" s="3"/>
    </row>
    <row r="3" spans="1:10" x14ac:dyDescent="0.25">
      <c r="A3" s="2" t="s">
        <v>51</v>
      </c>
      <c r="D3" s="4" t="s">
        <v>42</v>
      </c>
      <c r="H3" s="4" t="s">
        <v>46</v>
      </c>
    </row>
    <row r="4" spans="1:10" x14ac:dyDescent="0.25">
      <c r="A4" s="1" t="s">
        <v>52</v>
      </c>
      <c r="B4" s="5">
        <f>Model!B42</f>
        <v>6720</v>
      </c>
      <c r="D4" s="1" t="s">
        <v>43</v>
      </c>
      <c r="E4" s="8" t="s">
        <v>25</v>
      </c>
      <c r="F4" s="8" t="s">
        <v>26</v>
      </c>
      <c r="H4" s="1" t="s">
        <v>54</v>
      </c>
      <c r="J4" s="6">
        <f>TotalWorkers-Nonconsec</f>
        <v>7</v>
      </c>
    </row>
    <row r="5" spans="1:10" x14ac:dyDescent="0.25">
      <c r="A5" s="1" t="s">
        <v>53</v>
      </c>
      <c r="B5" s="5">
        <f>Model!B43</f>
        <v>2400</v>
      </c>
      <c r="D5" s="1" t="s">
        <v>27</v>
      </c>
      <c r="E5" s="6">
        <f t="array" ref="E5:E11">TRANSPOSE(Model!B32:H32)</f>
        <v>20</v>
      </c>
      <c r="F5" s="6">
        <f t="array" ref="F5:F11">TRANSPOSE(Model!B34:H34)</f>
        <v>20</v>
      </c>
      <c r="H5" s="1" t="s">
        <v>55</v>
      </c>
      <c r="J5" s="6">
        <f>Nonconsec</f>
        <v>19</v>
      </c>
    </row>
    <row r="6" spans="1:10" x14ac:dyDescent="0.25">
      <c r="A6" s="1" t="s">
        <v>49</v>
      </c>
      <c r="B6" s="5">
        <f>Model!B44</f>
        <v>9120</v>
      </c>
      <c r="D6" s="1" t="s">
        <v>28</v>
      </c>
      <c r="E6" s="6">
        <v>15</v>
      </c>
      <c r="F6" s="6">
        <v>15</v>
      </c>
      <c r="H6" s="1" t="s">
        <v>49</v>
      </c>
      <c r="J6" s="6">
        <f>TotalWorkers</f>
        <v>26</v>
      </c>
    </row>
    <row r="7" spans="1:10" x14ac:dyDescent="0.25">
      <c r="D7" s="1" t="s">
        <v>16</v>
      </c>
      <c r="E7" s="6">
        <v>25</v>
      </c>
      <c r="F7" s="6">
        <v>25</v>
      </c>
    </row>
    <row r="8" spans="1:10" x14ac:dyDescent="0.25">
      <c r="A8" s="4" t="s">
        <v>45</v>
      </c>
      <c r="D8" s="1" t="s">
        <v>29</v>
      </c>
      <c r="E8" s="6">
        <v>20</v>
      </c>
      <c r="F8" s="6">
        <v>20</v>
      </c>
    </row>
    <row r="9" spans="1:10" x14ac:dyDescent="0.25">
      <c r="A9" s="7" t="s">
        <v>2</v>
      </c>
      <c r="B9" s="8" t="s">
        <v>44</v>
      </c>
      <c r="D9" s="1" t="s">
        <v>30</v>
      </c>
      <c r="E9" s="6">
        <v>25</v>
      </c>
      <c r="F9" s="6">
        <v>25</v>
      </c>
    </row>
    <row r="10" spans="1:10" x14ac:dyDescent="0.25">
      <c r="A10" s="1" t="s">
        <v>7</v>
      </c>
      <c r="B10" s="6">
        <v>6</v>
      </c>
      <c r="D10" s="1" t="s">
        <v>31</v>
      </c>
      <c r="E10" s="6">
        <v>15</v>
      </c>
      <c r="F10" s="6">
        <v>15</v>
      </c>
    </row>
    <row r="11" spans="1:10" x14ac:dyDescent="0.25">
      <c r="A11" s="1" t="s">
        <v>11</v>
      </c>
      <c r="B11" s="6">
        <v>10</v>
      </c>
      <c r="D11" s="1" t="s">
        <v>32</v>
      </c>
      <c r="E11" s="6">
        <v>10</v>
      </c>
      <c r="F11" s="6">
        <v>10</v>
      </c>
    </row>
    <row r="12" spans="1:10" x14ac:dyDescent="0.25">
      <c r="A12" s="1" t="s">
        <v>12</v>
      </c>
      <c r="B12" s="6">
        <v>1</v>
      </c>
    </row>
    <row r="13" spans="1:10" x14ac:dyDescent="0.25">
      <c r="A13" s="1" t="s">
        <v>17</v>
      </c>
      <c r="B13" s="6">
        <v>1</v>
      </c>
    </row>
    <row r="14" spans="1:10" x14ac:dyDescent="0.25">
      <c r="A14" s="1" t="s">
        <v>20</v>
      </c>
      <c r="B14" s="6">
        <v>6</v>
      </c>
    </row>
    <row r="15" spans="1:10" x14ac:dyDescent="0.25">
      <c r="A15" s="1" t="s">
        <v>22</v>
      </c>
      <c r="B15" s="6">
        <v>1</v>
      </c>
    </row>
    <row r="16" spans="1:10" x14ac:dyDescent="0.25">
      <c r="A16" s="1" t="s">
        <v>23</v>
      </c>
      <c r="B16" s="6">
        <v>1</v>
      </c>
    </row>
    <row r="17" spans="2:3" x14ac:dyDescent="0.25">
      <c r="B17" s="6"/>
    </row>
    <row r="18" spans="2:3" x14ac:dyDescent="0.25">
      <c r="B18" s="6"/>
    </row>
    <row r="19" spans="2:3" x14ac:dyDescent="0.25">
      <c r="C19" s="6"/>
    </row>
    <row r="20" spans="2:3" x14ac:dyDescent="0.25">
      <c r="C20" s="6"/>
    </row>
    <row r="21" spans="2:3" x14ac:dyDescent="0.25">
      <c r="C21" s="6"/>
    </row>
    <row r="22" spans="2:3" x14ac:dyDescent="0.25">
      <c r="C22" s="6"/>
    </row>
    <row r="23" spans="2:3" x14ac:dyDescent="0.25">
      <c r="C23" s="6"/>
    </row>
    <row r="24" spans="2:3" x14ac:dyDescent="0.25">
      <c r="C24" s="6"/>
    </row>
    <row r="25" spans="2:3" x14ac:dyDescent="0.25">
      <c r="C25" s="6"/>
    </row>
    <row r="26" spans="2:3" x14ac:dyDescent="0.25">
      <c r="C26" s="6"/>
    </row>
  </sheetData>
  <phoneticPr fontId="0" type="noConversion"/>
  <printOptions headings="1" gridLines="1"/>
  <pageMargins left="0.75" right="0.75" top="1" bottom="1" header="0.5" footer="0.5"/>
  <pageSetup scale="7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autoFill="0" autoPict="0" macro="[0]!GoToExplanation">
                <anchor>
                  <from>
                    <xdr:col>3</xdr:col>
                    <xdr:colOff>342900</xdr:colOff>
                    <xdr:row>12</xdr:row>
                    <xdr:rowOff>95250</xdr:rowOff>
                  </from>
                  <to>
                    <xdr:col>5</xdr:col>
                    <xdr:colOff>619125</xdr:colOff>
                    <xdr:row>13</xdr:row>
                    <xdr:rowOff>152400</xdr:rowOff>
                  </to>
                </anchor>
              </controlPr>
            </control>
          </mc:Choice>
        </mc:AlternateContent>
        <mc:AlternateContent xmlns:mc="http://schemas.openxmlformats.org/markup-compatibility/2006">
          <mc:Choice Requires="x14">
            <control shapeId="3079" r:id="rId5" name="Button 7">
              <controlPr defaultSize="0" autoFill="0" autoPict="0" macro="[0]!Sensitivity">
                <anchor>
                  <from>
                    <xdr:col>6</xdr:col>
                    <xdr:colOff>85725</xdr:colOff>
                    <xdr:row>12</xdr:row>
                    <xdr:rowOff>85725</xdr:rowOff>
                  </from>
                  <to>
                    <xdr:col>8</xdr:col>
                    <xdr:colOff>152400</xdr:colOff>
                    <xdr:row>13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1</vt:i4>
      </vt:variant>
      <vt:variant>
        <vt:lpstr>Named Ranges</vt:lpstr>
      </vt:variant>
      <vt:variant>
        <vt:i4>20</vt:i4>
      </vt:variant>
    </vt:vector>
  </HeadingPairs>
  <TitlesOfParts>
    <vt:vector size="24" baseType="lpstr">
      <vt:lpstr>Explanation</vt:lpstr>
      <vt:lpstr>Model</vt:lpstr>
      <vt:lpstr>Report</vt:lpstr>
      <vt:lpstr>Chart</vt:lpstr>
      <vt:lpstr>Assignments</vt:lpstr>
      <vt:lpstr>Available</vt:lpstr>
      <vt:lpstr>AvailFri</vt:lpstr>
      <vt:lpstr>AvailMon</vt:lpstr>
      <vt:lpstr>AvailSat</vt:lpstr>
      <vt:lpstr>AvailSun</vt:lpstr>
      <vt:lpstr>AvailThu</vt:lpstr>
      <vt:lpstr>AvailTue</vt:lpstr>
      <vt:lpstr>AvailWed</vt:lpstr>
      <vt:lpstr>Consecutive</vt:lpstr>
      <vt:lpstr>MaxNonconsec</vt:lpstr>
      <vt:lpstr>MaxPct</vt:lpstr>
      <vt:lpstr>Nonconsec</vt:lpstr>
      <vt:lpstr>Model!Print_Area</vt:lpstr>
      <vt:lpstr>Report!Print_Area</vt:lpstr>
      <vt:lpstr>Required</vt:lpstr>
      <vt:lpstr>TotalCost</vt:lpstr>
      <vt:lpstr>TotalWorkers</vt:lpstr>
      <vt:lpstr>WeekdayRate</vt:lpstr>
      <vt:lpstr>WeekendRate</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2011-01-23T21:02:55Z</cp:lastPrinted>
  <dcterms:created xsi:type="dcterms:W3CDTF">1999-03-31T00:31:16Z</dcterms:created>
  <dcterms:modified xsi:type="dcterms:W3CDTF">2015-02-09T18:49:10Z</dcterms:modified>
</cp:coreProperties>
</file>