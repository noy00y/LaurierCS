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21\"/>
    </mc:Choice>
  </mc:AlternateContent>
  <bookViews>
    <workbookView xWindow="360" yWindow="120" windowWidth="11340" windowHeight="5775"/>
  </bookViews>
  <sheets>
    <sheet name="Explanation" sheetId="2" r:id="rId1"/>
    <sheet name="Data" sheetId="1" r:id="rId2"/>
    <sheet name="Model" sheetId="3" state="hidden" r:id="rId3"/>
    <sheet name="Report" sheetId="4" state="hidden" r:id="rId4"/>
  </sheets>
  <definedNames>
    <definedName name="Available" localSheetId="2">Model!$D$17:$D$21</definedName>
    <definedName name="MaxProd" localSheetId="2">Model!$B$9:$M$9</definedName>
    <definedName name="MinProd" localSheetId="2">Model!$B$5:$M$5</definedName>
    <definedName name="_xlnm.Print_Area" localSheetId="1">Data!$M$3:$O$9</definedName>
    <definedName name="_xlnm.Print_Area" localSheetId="2">Model!$A$3:$N$21</definedName>
    <definedName name="_xlnm.Print_Area" localSheetId="3">Report!$A$1:$K$14</definedName>
    <definedName name="Produced" localSheetId="2">Model!$B$7:$M$7</definedName>
    <definedName name="solver_adj" localSheetId="0" hidden="1">Explanation!$B$7:$H$7</definedName>
    <definedName name="solver_adj" localSheetId="2" hidden="1">Model!$B$7:$M$7</definedName>
    <definedName name="solver_cvg" localSheetId="0" hidden="1">0.0001</definedName>
    <definedName name="solver_cvg" localSheetId="2" hidden="1">0.0001</definedName>
    <definedName name="solver_cvg" localSheetId="3" hidden="1">0.0001</definedName>
    <definedName name="solver_drv" localSheetId="0" hidden="1">1</definedName>
    <definedName name="solver_drv" localSheetId="2" hidden="1">1</definedName>
    <definedName name="solver_drv" localSheetId="3" hidden="1">1</definedName>
    <definedName name="solver_eng" localSheetId="0" hidden="1">2</definedName>
    <definedName name="solver_eng" localSheetId="2" hidden="1">2</definedName>
    <definedName name="solver_est" localSheetId="0" hidden="1">1</definedName>
    <definedName name="solver_est" localSheetId="2" hidden="1">1</definedName>
    <definedName name="solver_est" localSheetId="3" hidden="1">1</definedName>
    <definedName name="solver_ibd" localSheetId="0" hidden="1">2</definedName>
    <definedName name="solver_ibd" localSheetId="2" hidden="1">2</definedName>
    <definedName name="solver_itr" localSheetId="0" hidden="1">100</definedName>
    <definedName name="solver_itr" localSheetId="2" hidden="1">100</definedName>
    <definedName name="solver_itr" localSheetId="3" hidden="1">100</definedName>
    <definedName name="solver_lhs1" localSheetId="0" hidden="1">Explanation!$B$7:$H$7</definedName>
    <definedName name="solver_lhs1" localSheetId="2" hidden="1">Model!$B$7:$M$7</definedName>
    <definedName name="solver_lhs2" localSheetId="0" hidden="1">Explanation!$B$7:$H$7</definedName>
    <definedName name="solver_lhs2" localSheetId="2" hidden="1">Model!$B$7:$M$7</definedName>
    <definedName name="solver_lhs3" localSheetId="0" hidden="1">Explanation!$B$17:$B$21</definedName>
    <definedName name="solver_lhs3" localSheetId="2" hidden="1">Model!$B$17:$B$21</definedName>
    <definedName name="solver_lhs4" localSheetId="2" hidden="1">Model!$B$7:$M$7</definedName>
    <definedName name="solver_lin" localSheetId="0" hidden="1">1</definedName>
    <definedName name="solver_lin" localSheetId="2" hidden="1">1</definedName>
    <definedName name="solver_lin" localSheetId="3" hidden="1">2</definedName>
    <definedName name="solver_lva" localSheetId="0" hidden="1">2</definedName>
    <definedName name="solver_lva" localSheetId="2" hidden="1">2</definedName>
    <definedName name="solver_mip" localSheetId="0" hidden="1">5000</definedName>
    <definedName name="solver_mip" localSheetId="2" hidden="1">1000</definedName>
    <definedName name="solver_mni" localSheetId="0" hidden="1">30</definedName>
    <definedName name="solver_mni" localSheetId="2" hidden="1">30</definedName>
    <definedName name="solver_mrt" localSheetId="0" hidden="1">0.075</definedName>
    <definedName name="solver_mrt" localSheetId="2" hidden="1">0.075</definedName>
    <definedName name="solver_neg" localSheetId="0" hidden="1">1</definedName>
    <definedName name="solver_neg" localSheetId="2" hidden="1">1</definedName>
    <definedName name="solver_neg" localSheetId="3" hidden="1">2</definedName>
    <definedName name="solver_nod" localSheetId="0" hidden="1">5000</definedName>
    <definedName name="solver_nod" localSheetId="2" hidden="1">1000</definedName>
    <definedName name="solver_num" localSheetId="0" hidden="1">3</definedName>
    <definedName name="solver_num" localSheetId="2" hidden="1">4</definedName>
    <definedName name="solver_num" localSheetId="3" hidden="1">0</definedName>
    <definedName name="solver_nwt" localSheetId="0" hidden="1">1</definedName>
    <definedName name="solver_nwt" localSheetId="2" hidden="1">1</definedName>
    <definedName name="solver_nwt" localSheetId="3" hidden="1">1</definedName>
    <definedName name="solver_ofx" localSheetId="0" hidden="1">2</definedName>
    <definedName name="solver_ofx" localSheetId="2" hidden="1">2</definedName>
    <definedName name="solver_opt" localSheetId="0" hidden="1">Explanation!$G$18</definedName>
    <definedName name="solver_opt" localSheetId="2" hidden="1">Model!$G$18</definedName>
    <definedName name="solver_opt" localSheetId="3" hidden="1">Report!$A$1</definedName>
    <definedName name="solver_piv" localSheetId="0" hidden="1">0.000001</definedName>
    <definedName name="solver_piv" localSheetId="2" hidden="1">0.000001</definedName>
    <definedName name="solver_pre" localSheetId="0" hidden="1">0.000001</definedName>
    <definedName name="solver_pre" localSheetId="2" hidden="1">0.000001</definedName>
    <definedName name="solver_pre" localSheetId="3" hidden="1">0.000001</definedName>
    <definedName name="solver_pro" localSheetId="0" hidden="1">2</definedName>
    <definedName name="solver_pro" localSheetId="2" hidden="1">2</definedName>
    <definedName name="solver_rbv" localSheetId="0" hidden="1">1</definedName>
    <definedName name="solver_rbv" localSheetId="2" hidden="1">1</definedName>
    <definedName name="solver_red" localSheetId="0" hidden="1">0.000001</definedName>
    <definedName name="solver_red" localSheetId="2" hidden="1">0.000001</definedName>
    <definedName name="solver_rel1" localSheetId="0" hidden="1">3</definedName>
    <definedName name="solver_rel1" localSheetId="2" hidden="1">3</definedName>
    <definedName name="solver_rel2" localSheetId="0" hidden="1">1</definedName>
    <definedName name="solver_rel2" localSheetId="2" hidden="1">1</definedName>
    <definedName name="solver_rel3" localSheetId="0" hidden="1">1</definedName>
    <definedName name="solver_rel3" localSheetId="2" hidden="1">1</definedName>
    <definedName name="solver_rel4" localSheetId="2" hidden="1">4</definedName>
    <definedName name="solver_reo" localSheetId="0" hidden="1">2</definedName>
    <definedName name="solver_reo" localSheetId="2" hidden="1">2</definedName>
    <definedName name="solver_rep" localSheetId="0" hidden="1">2</definedName>
    <definedName name="solver_rep" localSheetId="2" hidden="1">2</definedName>
    <definedName name="solver_rhs1" localSheetId="0" hidden="1">Explanation!$B$5:$H$5</definedName>
    <definedName name="solver_rhs1" localSheetId="2" hidden="1">Model!$B$5:$M$5</definedName>
    <definedName name="solver_rhs2" localSheetId="0" hidden="1">Explanation!$B$9:$H$9</definedName>
    <definedName name="solver_rhs2" localSheetId="2" hidden="1">Model!$B$9:$M$9</definedName>
    <definedName name="solver_rhs3" localSheetId="0" hidden="1">Explanation!$D$17:$D$21</definedName>
    <definedName name="solver_rhs3" localSheetId="2" hidden="1">Model!$D$17:$D$21</definedName>
    <definedName name="solver_rhs4" localSheetId="2" hidden="1">integer</definedName>
    <definedName name="solver_rlx" localSheetId="0" hidden="1">2</definedName>
    <definedName name="solver_rlx" localSheetId="2" hidden="1">2</definedName>
    <definedName name="solver_scl" localSheetId="0" hidden="1">2</definedName>
    <definedName name="solver_scl" localSheetId="2" hidden="1">2</definedName>
    <definedName name="solver_scl" localSheetId="3" hidden="1">2</definedName>
    <definedName name="solver_sho" localSheetId="0" hidden="1">2</definedName>
    <definedName name="solver_sho" localSheetId="2" hidden="1">2</definedName>
    <definedName name="solver_sho" localSheetId="3" hidden="1">2</definedName>
    <definedName name="solver_ssz" localSheetId="0" hidden="1">100</definedName>
    <definedName name="solver_ssz" localSheetId="2" hidden="1">100</definedName>
    <definedName name="solver_std" localSheetId="0" hidden="1">1</definedName>
    <definedName name="solver_std" localSheetId="2" hidden="1">0</definedName>
    <definedName name="solver_tim" localSheetId="0" hidden="1">100</definedName>
    <definedName name="solver_tim" localSheetId="2" hidden="1">100</definedName>
    <definedName name="solver_tim" localSheetId="3" hidden="1">100</definedName>
    <definedName name="solver_tol" localSheetId="0" hidden="1">0.0005</definedName>
    <definedName name="solver_tol" localSheetId="2" hidden="1">0.05</definedName>
    <definedName name="solver_tol" localSheetId="3" hidden="1">0.05</definedName>
    <definedName name="solver_typ" localSheetId="0" hidden="1">1</definedName>
    <definedName name="solver_typ" localSheetId="2" hidden="1">1</definedName>
    <definedName name="solver_typ" localSheetId="3" hidden="1">1</definedName>
    <definedName name="solver_val" localSheetId="0" hidden="1">0</definedName>
    <definedName name="solver_val" localSheetId="2" hidden="1">0</definedName>
    <definedName name="solver_val" localSheetId="3" hidden="1">0</definedName>
    <definedName name="solver_ver" localSheetId="0" hidden="1">2</definedName>
    <definedName name="solver_ver" localSheetId="2" hidden="1">3</definedName>
    <definedName name="TotCost" localSheetId="2">Model!$G$17</definedName>
    <definedName name="TotProfit" localSheetId="2">Model!$G$18</definedName>
    <definedName name="TotRev" localSheetId="2">Model!$G$16</definedName>
    <definedName name="UnitCost" localSheetId="2">Model!$B$12:$M$12</definedName>
    <definedName name="UnitProfit" localSheetId="2">Model!$B$13:$M$13</definedName>
    <definedName name="UnitRev" localSheetId="2">Model!$B$11:$M$11</definedName>
    <definedName name="Used" localSheetId="2">Model!$B$17:$B$21</definedName>
  </definedNames>
  <calcPr calcId="152511"/>
</workbook>
</file>

<file path=xl/calcChain.xml><?xml version="1.0" encoding="utf-8"?>
<calcChain xmlns="http://schemas.openxmlformats.org/spreadsheetml/2006/main">
  <c r="K14" i="4" l="1"/>
  <c r="K13" i="4"/>
  <c r="K12" i="4"/>
  <c r="K11" i="4"/>
  <c r="K10" i="4"/>
  <c r="G17" i="3"/>
  <c r="G16" i="3"/>
  <c r="B21" i="3"/>
  <c r="B20" i="3"/>
  <c r="B19" i="3"/>
  <c r="B18" i="3"/>
  <c r="B17" i="3"/>
  <c r="M13" i="3"/>
  <c r="L13" i="3"/>
  <c r="K13" i="3"/>
  <c r="J13" i="3"/>
  <c r="I13" i="3"/>
  <c r="H13" i="3"/>
  <c r="G13" i="3"/>
  <c r="F13" i="3"/>
  <c r="E13" i="3"/>
  <c r="D13" i="3"/>
  <c r="C13" i="3"/>
  <c r="B13" i="3"/>
  <c r="G18" i="3" s="1"/>
  <c r="D6" i="1" l="1"/>
  <c r="D7" i="1"/>
  <c r="D8" i="1"/>
  <c r="D9" i="1"/>
  <c r="D10" i="1"/>
  <c r="D11" i="1"/>
  <c r="D12" i="1"/>
  <c r="D13" i="1"/>
  <c r="D14" i="1"/>
  <c r="D15" i="1"/>
  <c r="D16" i="1"/>
  <c r="D5" i="1"/>
</calcChain>
</file>

<file path=xl/sharedStrings.xml><?xml version="1.0" encoding="utf-8"?>
<sst xmlns="http://schemas.openxmlformats.org/spreadsheetml/2006/main" count="127" uniqueCount="53">
  <si>
    <t>MachineHrs</t>
  </si>
  <si>
    <t>OakFt</t>
  </si>
  <si>
    <t>CherryFt</t>
  </si>
  <si>
    <t>MinUnits</t>
  </si>
  <si>
    <t>MaxUnits</t>
  </si>
  <si>
    <t>Data for Woodworks</t>
  </si>
  <si>
    <t>Data on products: unit price, resources required per unit, minimum and maximum units</t>
  </si>
  <si>
    <t>Data on resources</t>
  </si>
  <si>
    <t>Resource</t>
  </si>
  <si>
    <t>Availability</t>
  </si>
  <si>
    <t>UnitCost</t>
  </si>
  <si>
    <t>SrLaborHrs</t>
  </si>
  <si>
    <t>JrLaborHrs</t>
  </si>
  <si>
    <t>Product code</t>
  </si>
  <si>
    <t>Description</t>
  </si>
  <si>
    <t>UnitPrice</t>
  </si>
  <si>
    <t>Oak end table</t>
  </si>
  <si>
    <t>Cherry rocking chair</t>
  </si>
  <si>
    <t>Oak coffee table</t>
  </si>
  <si>
    <t>Cherry dining table</t>
  </si>
  <si>
    <t>Cherry desk</t>
  </si>
  <si>
    <t>Oak bookshelves</t>
  </si>
  <si>
    <t>Product Mix Application</t>
  </si>
  <si>
    <t>Model formulation</t>
  </si>
  <si>
    <t>Product mix</t>
  </si>
  <si>
    <t>Min</t>
  </si>
  <si>
    <t>Produced</t>
  </si>
  <si>
    <t>Max</t>
  </si>
  <si>
    <t>Resource usage</t>
  </si>
  <si>
    <t>Used</t>
  </si>
  <si>
    <t>Available</t>
  </si>
  <si>
    <t>UnitProfit</t>
  </si>
  <si>
    <t>Monetary summary</t>
  </si>
  <si>
    <t>Total revenue</t>
  </si>
  <si>
    <t>Total cost</t>
  </si>
  <si>
    <t>Total profit</t>
  </si>
  <si>
    <t>Resources used per unit of products</t>
  </si>
  <si>
    <t>Resource/Product code</t>
  </si>
  <si>
    <t>&lt;=</t>
  </si>
  <si>
    <t>Optimal product mix</t>
  </si>
  <si>
    <t>Product data</t>
  </si>
  <si>
    <t>Units produced</t>
  </si>
  <si>
    <t>Revenue</t>
  </si>
  <si>
    <t>Cost</t>
  </si>
  <si>
    <t>Profit</t>
  </si>
  <si>
    <t>Resource data</t>
  </si>
  <si>
    <t>Left over</t>
  </si>
  <si>
    <t>Cherry end table</t>
  </si>
  <si>
    <t>Oak rocking chair</t>
  </si>
  <si>
    <t>Cherry coffee table</t>
  </si>
  <si>
    <t>Oak dining table</t>
  </si>
  <si>
    <t>Oak desk</t>
  </si>
  <si>
    <t>Cherry bookshelves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</si>
</sst>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quot;$&quot;#,##0;\-&quot;$&quot;#,##0"/>
    <numFmt numFmtId="165" formatCode="&quot;$&quot;#,##0.00;\-&quot;$&quot;#,##0.00"/>
    <numFmt numFmtId="166" formatCode="0.0"/>
  </numFmts>
  <fonts count="6" x14ac:knownFonts="1">
    <font>
      <sz val="10"/>
      <name val="Arial"/>
    </font>
    <font>
      <sz val="11"/>
      <name val="Calibri"/>
      <family val="2"/>
      <scheme val="minor"/>
    </font>
    <font>
      <b/>
      <sz val="11"/>
      <name val="Calibri"/>
      <family val="2"/>
      <scheme val="minor"/>
    </font>
    <font>
      <i/>
      <sz val="11"/>
      <name val="Calibri"/>
      <family val="2"/>
      <scheme val="minor"/>
    </font>
    <font>
      <b/>
      <sz val="14"/>
      <name val="Calibri"/>
      <family val="2"/>
      <scheme val="minor"/>
    </font>
    <font>
      <sz val="11"/>
      <color rgb="FF000000"/>
      <name val="Calibri"/>
      <family val="2"/>
    </font>
  </fonts>
  <fills count="5">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s>
  <borders count="1">
    <border>
      <left/>
      <right/>
      <top/>
      <bottom/>
      <diagonal/>
    </border>
  </borders>
  <cellStyleXfs count="1">
    <xf numFmtId="0" fontId="0" fillId="0" borderId="0"/>
  </cellStyleXfs>
  <cellXfs count="21">
    <xf numFmtId="0" fontId="0" fillId="0" borderId="0" xfId="0"/>
    <xf numFmtId="0" fontId="2" fillId="0" borderId="0" xfId="0" applyFont="1"/>
    <xf numFmtId="0" fontId="1" fillId="0" borderId="0" xfId="0" applyFont="1"/>
    <xf numFmtId="0" fontId="1" fillId="0" borderId="0" xfId="0" applyFont="1" applyAlignment="1">
      <alignment horizontal="left"/>
    </xf>
    <xf numFmtId="0" fontId="1" fillId="0" borderId="0" xfId="0" applyFont="1" applyAlignment="1">
      <alignment horizontal="right"/>
    </xf>
    <xf numFmtId="164" fontId="1" fillId="2" borderId="0" xfId="0" applyNumberFormat="1" applyFont="1" applyFill="1"/>
    <xf numFmtId="0" fontId="1" fillId="3" borderId="0" xfId="0" applyFont="1" applyFill="1"/>
    <xf numFmtId="0" fontId="1" fillId="4" borderId="0" xfId="0" applyFont="1" applyFill="1"/>
    <xf numFmtId="0" fontId="1" fillId="0" borderId="0" xfId="0" applyFont="1" applyFill="1"/>
    <xf numFmtId="0" fontId="2" fillId="0" borderId="0" xfId="0" applyFont="1" applyFill="1"/>
    <xf numFmtId="164" fontId="1" fillId="0" borderId="0" xfId="0" applyNumberFormat="1" applyFont="1" applyFill="1"/>
    <xf numFmtId="0" fontId="3" fillId="0" borderId="0" xfId="0" applyFont="1" applyFill="1"/>
    <xf numFmtId="0" fontId="1" fillId="0" borderId="0" xfId="0" applyFont="1" applyFill="1" applyAlignment="1">
      <alignment horizontal="left"/>
    </xf>
    <xf numFmtId="166" fontId="1" fillId="0" borderId="0" xfId="0" applyNumberFormat="1" applyFont="1" applyFill="1"/>
    <xf numFmtId="1" fontId="1" fillId="0" borderId="0" xfId="0" applyNumberFormat="1" applyFont="1"/>
    <xf numFmtId="165" fontId="1" fillId="0" borderId="0" xfId="0" applyNumberFormat="1" applyFont="1"/>
    <xf numFmtId="164" fontId="1" fillId="0" borderId="0" xfId="0" applyNumberFormat="1" applyFont="1"/>
    <xf numFmtId="166" fontId="1" fillId="0" borderId="0" xfId="0" applyNumberFormat="1" applyFont="1"/>
    <xf numFmtId="0" fontId="1" fillId="0" borderId="0" xfId="0" applyFont="1" applyAlignment="1">
      <alignment horizontal="center"/>
    </xf>
    <xf numFmtId="0" fontId="1" fillId="0" borderId="0" xfId="0" applyFont="1" applyFill="1" applyAlignment="1">
      <alignment horizontal="right"/>
    </xf>
    <xf numFmtId="0" fontId="4" fillId="0" borderId="0" xfId="0" applyFont="1" applyFill="1" applyAlignment="1">
      <alignment horizontal="center"/>
    </xf>
  </cellXfs>
  <cellStyles count="1">
    <cellStyle name="Normal" xfId="0" builtinId="0"/>
  </cellStyles>
  <dxfs count="0"/>
  <tableStyles count="0" defaultTableStyle="TableStyleMedium9" defaultPivotStyle="PivotStyleLight16"/>
  <colors>
    <mruColors>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114300</xdr:colOff>
      <xdr:row>5</xdr:row>
      <xdr:rowOff>66675</xdr:rowOff>
    </xdr:from>
    <xdr:to>
      <xdr:col>10</xdr:col>
      <xdr:colOff>0</xdr:colOff>
      <xdr:row>21</xdr:row>
      <xdr:rowOff>123825</xdr:rowOff>
    </xdr:to>
    <xdr:sp macro="" textlink="">
      <xdr:nvSpPr>
        <xdr:cNvPr id="3" name="TextBox 2"/>
        <xdr:cNvSpPr txBox="1"/>
      </xdr:nvSpPr>
      <xdr:spPr>
        <a:xfrm>
          <a:off x="723900" y="1066800"/>
          <a:ext cx="5372100" cy="3105150"/>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wrap="square" rtlCol="0" anchor="t"/>
        <a:lstStyle/>
        <a:p>
          <a:pPr rtl="0"/>
          <a:r>
            <a:rPr lang="en-US" sz="1100" b="0" i="0">
              <a:solidFill>
                <a:schemeClr val="dk1"/>
              </a:solidFill>
              <a:latin typeface="+mn-lt"/>
              <a:ea typeface="+mn-ea"/>
              <a:cs typeface="+mn-cs"/>
            </a:rPr>
            <a:t>The Woodworks Company manufactures and sells custom-made furniture.  The products, their unit prices, their unit resource usages, and their minimum and maximum production quantities for the next month appear on the data sheet.  This sheet also lists the resources, their availabilities for the next month, and their unit costs.  The problem is to find the mix of products that maximizes profit.</a:t>
          </a:r>
          <a:endParaRPr lang="en-US"/>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This application allows the user to choose which of the potential products to include in the product mix.  (If a product is not chosen, it won't even be considered for the optimal product mix.)  The product mix model is then formulated on a Model sheet, it is solved with Solver, and a report describing the optimal product mix is presented on a Report sheet.</a:t>
          </a:r>
          <a:endParaRPr lang="en-US"/>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The application searches the Data sheet for all product and resource data.  Therefore, the user can add products and/or resources to this sheet, along with the corresponding data, and the application will include these new entries when it runs.</a:t>
          </a:r>
          <a:endParaRPr lang="en-US"/>
        </a:p>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9525</xdr:colOff>
          <xdr:row>2</xdr:row>
          <xdr:rowOff>104775</xdr:rowOff>
        </xdr:from>
        <xdr:to>
          <xdr:col>6</xdr:col>
          <xdr:colOff>571500</xdr:colOff>
          <xdr:row>4</xdr:row>
          <xdr:rowOff>38100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171450</xdr:colOff>
      <xdr:row>1</xdr:row>
      <xdr:rowOff>123825</xdr:rowOff>
    </xdr:from>
    <xdr:to>
      <xdr:col>12</xdr:col>
      <xdr:colOff>238125</xdr:colOff>
      <xdr:row>1</xdr:row>
      <xdr:rowOff>1171575</xdr:rowOff>
    </xdr:to>
    <xdr:sp macro="" textlink="">
      <xdr:nvSpPr>
        <xdr:cNvPr id="3" name="TextBox 2"/>
        <xdr:cNvSpPr txBox="1"/>
      </xdr:nvSpPr>
      <xdr:spPr>
        <a:xfrm>
          <a:off x="171450" y="314325"/>
          <a:ext cx="8439150" cy="10477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0" i="0">
              <a:solidFill>
                <a:schemeClr val="dk1"/>
              </a:solidFill>
              <a:latin typeface="+mn-lt"/>
              <a:ea typeface="+mn-ea"/>
              <a:cs typeface="+mn-cs"/>
            </a:rPr>
            <a:t>You can add more products, or even more resources, to this sheet.  Just make sure that the resources starting in cell G4 match up with the resources in the Resoures table (now starting in column M).  If more resources are added, unit usage data for them should be placed in newly inserted columns to the right of column K.  Note the </a:t>
          </a:r>
          <a:r>
            <a:rPr lang="en-US" sz="1100" b="0" i="1">
              <a:solidFill>
                <a:schemeClr val="dk1"/>
              </a:solidFill>
              <a:latin typeface="+mn-lt"/>
              <a:ea typeface="+mn-ea"/>
              <a:cs typeface="+mn-cs"/>
            </a:rPr>
            <a:t>formulas</a:t>
          </a:r>
          <a:r>
            <a:rPr lang="en-US" sz="1100" b="0" i="0">
              <a:solidFill>
                <a:schemeClr val="dk1"/>
              </a:solidFill>
              <a:latin typeface="+mn-lt"/>
              <a:ea typeface="+mn-ea"/>
              <a:cs typeface="+mn-cs"/>
            </a:rPr>
            <a:t> for unit costs in column D.  The MMult function, rather than the Sumproduct function, is required because the unit usages are in a row, whereas the unit resource costs are in a column. Also, note that the MinUnits and MaxUnits cells can be left blank.  If a MinUnits cell is blank, 0 will be used.  If a MaxUnits cell is blank, a suitably large value will be used. </a:t>
          </a:r>
          <a:endParaRPr lang="en-US"/>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B2:J2"/>
  <sheetViews>
    <sheetView showGridLines="0" showRowColHeaders="0" tabSelected="1" workbookViewId="0"/>
  </sheetViews>
  <sheetFormatPr defaultRowHeight="15" x14ac:dyDescent="0.25"/>
  <cols>
    <col min="1" max="16384" width="9.140625" style="8"/>
  </cols>
  <sheetData>
    <row r="2" spans="2:10" ht="18.75" x14ac:dyDescent="0.3">
      <c r="B2" s="20" t="s">
        <v>22</v>
      </c>
      <c r="C2" s="20"/>
      <c r="D2" s="20"/>
      <c r="E2" s="20"/>
      <c r="F2" s="20"/>
      <c r="G2" s="20"/>
      <c r="H2" s="20"/>
      <c r="I2" s="20"/>
      <c r="J2" s="20"/>
    </row>
  </sheetData>
  <mergeCells count="1">
    <mergeCell ref="B2:J2"/>
  </mergeCells>
  <phoneticPr fontId="0" type="noConversion"/>
  <pageMargins left="0.75" right="0.75" top="1" bottom="1" header="0.5" footer="0.5"/>
  <pageSetup paperSize="5" scale="9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ProductMix">
                <anchor moveWithCells="1" sizeWithCells="1">
                  <from>
                    <xdr:col>4</xdr:col>
                    <xdr:colOff>9525</xdr:colOff>
                    <xdr:row>2</xdr:row>
                    <xdr:rowOff>104775</xdr:rowOff>
                  </from>
                  <to>
                    <xdr:col>6</xdr:col>
                    <xdr:colOff>571500</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Data">
    <pageSetUpPr fitToPage="1"/>
  </sheetPr>
  <dimension ref="A1:O16"/>
  <sheetViews>
    <sheetView workbookViewId="0"/>
  </sheetViews>
  <sheetFormatPr defaultRowHeight="15" x14ac:dyDescent="0.25"/>
  <cols>
    <col min="1" max="1" width="12.7109375" style="2" customWidth="1"/>
    <col min="2" max="2" width="17.85546875" style="2" bestFit="1" customWidth="1"/>
    <col min="3" max="6" width="9.140625" style="2"/>
    <col min="7" max="7" width="10.28515625" style="2" bestFit="1" customWidth="1"/>
    <col min="8" max="8" width="10.140625" style="2" bestFit="1" customWidth="1"/>
    <col min="9" max="9" width="10.85546875" style="2" bestFit="1" customWidth="1"/>
    <col min="10" max="12" width="9.140625" style="2"/>
    <col min="13" max="13" width="11.42578125" style="2" customWidth="1"/>
    <col min="14" max="14" width="10.140625" style="2" customWidth="1"/>
    <col min="15" max="15" width="11" style="2" bestFit="1" customWidth="1"/>
    <col min="16" max="16384" width="9.140625" style="2"/>
  </cols>
  <sheetData>
    <row r="1" spans="1:15" x14ac:dyDescent="0.25">
      <c r="A1" s="1" t="s">
        <v>5</v>
      </c>
      <c r="B1" s="1"/>
    </row>
    <row r="2" spans="1:15" s="8" customFormat="1" ht="105" customHeight="1" x14ac:dyDescent="0.25"/>
    <row r="3" spans="1:15" x14ac:dyDescent="0.25">
      <c r="A3" s="1" t="s">
        <v>6</v>
      </c>
      <c r="B3" s="1"/>
      <c r="M3" s="1" t="s">
        <v>7</v>
      </c>
    </row>
    <row r="4" spans="1:15" s="4" customFormat="1" x14ac:dyDescent="0.25">
      <c r="A4" s="3" t="s">
        <v>13</v>
      </c>
      <c r="B4" s="3" t="s">
        <v>14</v>
      </c>
      <c r="C4" s="4" t="s">
        <v>15</v>
      </c>
      <c r="D4" s="4" t="s">
        <v>10</v>
      </c>
      <c r="E4" s="4" t="s">
        <v>3</v>
      </c>
      <c r="F4" s="4" t="s">
        <v>4</v>
      </c>
      <c r="G4" s="4" t="s">
        <v>11</v>
      </c>
      <c r="H4" s="4" t="s">
        <v>12</v>
      </c>
      <c r="I4" s="4" t="s">
        <v>0</v>
      </c>
      <c r="J4" s="4" t="s">
        <v>1</v>
      </c>
      <c r="K4" s="4" t="s">
        <v>2</v>
      </c>
      <c r="M4" s="3" t="s">
        <v>8</v>
      </c>
      <c r="N4" s="4" t="s">
        <v>10</v>
      </c>
      <c r="O4" s="4" t="s">
        <v>9</v>
      </c>
    </row>
    <row r="5" spans="1:15" x14ac:dyDescent="0.25">
      <c r="A5" s="3">
        <v>1243</v>
      </c>
      <c r="B5" s="2" t="s">
        <v>16</v>
      </c>
      <c r="C5" s="5">
        <v>190</v>
      </c>
      <c r="D5" s="5">
        <f t="shared" ref="D5:D16" si="0">MMULT(G5:K5,$N$5:$N$9)</f>
        <v>129.6</v>
      </c>
      <c r="E5" s="6">
        <v>20</v>
      </c>
      <c r="F5" s="6">
        <v>40</v>
      </c>
      <c r="G5" s="7">
        <v>0.5</v>
      </c>
      <c r="H5" s="7">
        <v>1.3</v>
      </c>
      <c r="I5" s="7">
        <v>0.4</v>
      </c>
      <c r="J5" s="7">
        <v>2.8</v>
      </c>
      <c r="K5" s="7">
        <v>0</v>
      </c>
      <c r="M5" s="2" t="s">
        <v>11</v>
      </c>
      <c r="N5" s="5">
        <v>20</v>
      </c>
      <c r="O5" s="7">
        <v>263</v>
      </c>
    </row>
    <row r="6" spans="1:15" x14ac:dyDescent="0.25">
      <c r="A6" s="3">
        <v>2243</v>
      </c>
      <c r="B6" s="2" t="s">
        <v>47</v>
      </c>
      <c r="C6" s="5">
        <v>203</v>
      </c>
      <c r="D6" s="5">
        <f t="shared" si="0"/>
        <v>146.4</v>
      </c>
      <c r="E6" s="6"/>
      <c r="F6" s="6">
        <v>30</v>
      </c>
      <c r="G6" s="7">
        <v>0.7</v>
      </c>
      <c r="H6" s="7">
        <v>1.2</v>
      </c>
      <c r="I6" s="7">
        <v>0.4</v>
      </c>
      <c r="J6" s="7">
        <v>0</v>
      </c>
      <c r="K6" s="7">
        <v>2.8</v>
      </c>
      <c r="M6" s="2" t="s">
        <v>12</v>
      </c>
      <c r="N6" s="5">
        <v>12</v>
      </c>
      <c r="O6" s="7">
        <v>450</v>
      </c>
    </row>
    <row r="7" spans="1:15" x14ac:dyDescent="0.25">
      <c r="A7" s="3">
        <v>1456</v>
      </c>
      <c r="B7" s="2" t="s">
        <v>48</v>
      </c>
      <c r="C7" s="5">
        <v>371</v>
      </c>
      <c r="D7" s="5">
        <f t="shared" si="0"/>
        <v>276.8</v>
      </c>
      <c r="E7" s="6">
        <v>5</v>
      </c>
      <c r="F7" s="6">
        <v>20</v>
      </c>
      <c r="G7" s="7">
        <v>2.1</v>
      </c>
      <c r="H7" s="7">
        <v>2.9</v>
      </c>
      <c r="I7" s="7">
        <v>1.2</v>
      </c>
      <c r="J7" s="7">
        <v>5.2</v>
      </c>
      <c r="K7" s="7">
        <v>0</v>
      </c>
      <c r="M7" s="2" t="s">
        <v>0</v>
      </c>
      <c r="N7" s="5">
        <v>15</v>
      </c>
      <c r="O7" s="7">
        <v>225</v>
      </c>
    </row>
    <row r="8" spans="1:15" x14ac:dyDescent="0.25">
      <c r="A8" s="3">
        <v>2456</v>
      </c>
      <c r="B8" s="2" t="s">
        <v>17</v>
      </c>
      <c r="C8" s="5">
        <v>407</v>
      </c>
      <c r="D8" s="5">
        <f t="shared" si="0"/>
        <v>308.39999999999998</v>
      </c>
      <c r="E8" s="6">
        <v>5</v>
      </c>
      <c r="F8" s="6">
        <v>15</v>
      </c>
      <c r="G8" s="7">
        <v>2.5</v>
      </c>
      <c r="H8" s="7">
        <v>2.7</v>
      </c>
      <c r="I8" s="7">
        <v>1.2</v>
      </c>
      <c r="J8" s="7">
        <v>0</v>
      </c>
      <c r="K8" s="7">
        <v>5.2</v>
      </c>
      <c r="M8" s="2" t="s">
        <v>1</v>
      </c>
      <c r="N8" s="5">
        <v>35</v>
      </c>
      <c r="O8" s="7">
        <v>488</v>
      </c>
    </row>
    <row r="9" spans="1:15" x14ac:dyDescent="0.25">
      <c r="A9" s="3">
        <v>1372</v>
      </c>
      <c r="B9" s="2" t="s">
        <v>18</v>
      </c>
      <c r="C9" s="5">
        <v>238</v>
      </c>
      <c r="D9" s="5">
        <f t="shared" si="0"/>
        <v>167.4</v>
      </c>
      <c r="E9" s="6">
        <v>10</v>
      </c>
      <c r="F9" s="6">
        <v>30</v>
      </c>
      <c r="G9" s="7">
        <v>1.3</v>
      </c>
      <c r="H9" s="7">
        <v>1.7</v>
      </c>
      <c r="I9" s="7">
        <v>0.6</v>
      </c>
      <c r="J9" s="7">
        <v>3.2</v>
      </c>
      <c r="K9" s="7">
        <v>0</v>
      </c>
      <c r="M9" s="2" t="s">
        <v>2</v>
      </c>
      <c r="N9" s="5">
        <v>40</v>
      </c>
      <c r="O9" s="7">
        <v>638</v>
      </c>
    </row>
    <row r="10" spans="1:15" x14ac:dyDescent="0.25">
      <c r="A10" s="3">
        <v>2372</v>
      </c>
      <c r="B10" s="2" t="s">
        <v>49</v>
      </c>
      <c r="C10" s="5">
        <v>259</v>
      </c>
      <c r="D10" s="5">
        <f t="shared" si="0"/>
        <v>185</v>
      </c>
      <c r="E10" s="6"/>
      <c r="F10" s="6">
        <v>10</v>
      </c>
      <c r="G10" s="7">
        <v>1.5</v>
      </c>
      <c r="H10" s="7">
        <v>1.5</v>
      </c>
      <c r="I10" s="7">
        <v>0.6</v>
      </c>
      <c r="J10" s="7">
        <v>0</v>
      </c>
      <c r="K10" s="7">
        <v>3.2</v>
      </c>
    </row>
    <row r="11" spans="1:15" x14ac:dyDescent="0.25">
      <c r="A11" s="3">
        <v>1531</v>
      </c>
      <c r="B11" s="2" t="s">
        <v>50</v>
      </c>
      <c r="C11" s="5">
        <v>837</v>
      </c>
      <c r="D11" s="5">
        <f t="shared" si="0"/>
        <v>647.9</v>
      </c>
      <c r="E11" s="6"/>
      <c r="F11" s="6"/>
      <c r="G11" s="7">
        <v>1.9</v>
      </c>
      <c r="H11" s="7">
        <v>3.2</v>
      </c>
      <c r="I11" s="7">
        <v>1.7</v>
      </c>
      <c r="J11" s="7">
        <v>15.6</v>
      </c>
      <c r="K11" s="7">
        <v>0</v>
      </c>
    </row>
    <row r="12" spans="1:15" x14ac:dyDescent="0.25">
      <c r="A12" s="3">
        <v>2531</v>
      </c>
      <c r="B12" s="2" t="s">
        <v>19</v>
      </c>
      <c r="C12" s="5">
        <v>964</v>
      </c>
      <c r="D12" s="5">
        <f t="shared" si="0"/>
        <v>723.6</v>
      </c>
      <c r="E12" s="6"/>
      <c r="F12" s="6">
        <v>10</v>
      </c>
      <c r="G12" s="7">
        <v>2.1</v>
      </c>
      <c r="H12" s="7">
        <v>2.8</v>
      </c>
      <c r="I12" s="7">
        <v>1.6</v>
      </c>
      <c r="J12" s="7">
        <v>0</v>
      </c>
      <c r="K12" s="7">
        <v>15.6</v>
      </c>
    </row>
    <row r="13" spans="1:15" x14ac:dyDescent="0.25">
      <c r="A13" s="3">
        <v>1635</v>
      </c>
      <c r="B13" s="2" t="s">
        <v>51</v>
      </c>
      <c r="C13" s="5">
        <v>1084</v>
      </c>
      <c r="D13" s="5">
        <f t="shared" si="0"/>
        <v>840.6</v>
      </c>
      <c r="E13" s="6">
        <v>5</v>
      </c>
      <c r="F13" s="6"/>
      <c r="G13" s="7">
        <v>4.3</v>
      </c>
      <c r="H13" s="7">
        <v>5.8</v>
      </c>
      <c r="I13" s="7">
        <v>3.2</v>
      </c>
      <c r="J13" s="7">
        <v>18.2</v>
      </c>
      <c r="K13" s="7">
        <v>0</v>
      </c>
    </row>
    <row r="14" spans="1:15" x14ac:dyDescent="0.25">
      <c r="A14" s="3">
        <v>2635</v>
      </c>
      <c r="B14" s="2" t="s">
        <v>20</v>
      </c>
      <c r="C14" s="5">
        <v>1214</v>
      </c>
      <c r="D14" s="5">
        <f t="shared" si="0"/>
        <v>937.7</v>
      </c>
      <c r="E14" s="6">
        <v>5</v>
      </c>
      <c r="F14" s="6"/>
      <c r="G14" s="7">
        <v>4.5</v>
      </c>
      <c r="H14" s="7">
        <v>5.6</v>
      </c>
      <c r="I14" s="7">
        <v>3.5</v>
      </c>
      <c r="J14" s="7">
        <v>0</v>
      </c>
      <c r="K14" s="7">
        <v>18.2</v>
      </c>
    </row>
    <row r="15" spans="1:15" x14ac:dyDescent="0.25">
      <c r="A15" s="3">
        <v>1367</v>
      </c>
      <c r="B15" s="2" t="s">
        <v>21</v>
      </c>
      <c r="C15" s="5">
        <v>401</v>
      </c>
      <c r="D15" s="5">
        <f t="shared" si="0"/>
        <v>314.5</v>
      </c>
      <c r="E15" s="6">
        <v>15</v>
      </c>
      <c r="F15" s="6">
        <v>30</v>
      </c>
      <c r="G15" s="7">
        <v>1.8</v>
      </c>
      <c r="H15" s="7">
        <v>2.5</v>
      </c>
      <c r="I15" s="7">
        <v>2.1</v>
      </c>
      <c r="J15" s="7">
        <v>6.2</v>
      </c>
      <c r="K15" s="7">
        <v>0</v>
      </c>
    </row>
    <row r="16" spans="1:15" x14ac:dyDescent="0.25">
      <c r="A16" s="3">
        <v>2367</v>
      </c>
      <c r="B16" s="2" t="s">
        <v>52</v>
      </c>
      <c r="C16" s="5">
        <v>455</v>
      </c>
      <c r="D16" s="5">
        <f t="shared" si="0"/>
        <v>349</v>
      </c>
      <c r="E16" s="6"/>
      <c r="F16" s="6">
        <v>40</v>
      </c>
      <c r="G16" s="7">
        <v>1.9</v>
      </c>
      <c r="H16" s="7">
        <v>2.5</v>
      </c>
      <c r="I16" s="7">
        <v>2.2000000000000002</v>
      </c>
      <c r="J16" s="7">
        <v>0</v>
      </c>
      <c r="K16" s="7">
        <v>6.2</v>
      </c>
    </row>
  </sheetData>
  <phoneticPr fontId="0" type="noConversion"/>
  <printOptions headings="1" gridLines="1"/>
  <pageMargins left="0.75" right="0.75" top="1" bottom="1" header="0.5" footer="0.5"/>
  <pageSetup orientation="portrait" r:id="rId1"/>
  <headerFooter alignWithMargins="0"/>
  <ignoredErrors>
    <ignoredError sqref="D5:D16" formulaRange="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Model">
    <pageSetUpPr fitToPage="1"/>
  </sheetPr>
  <dimension ref="A1:U21"/>
  <sheetViews>
    <sheetView workbookViewId="0"/>
  </sheetViews>
  <sheetFormatPr defaultRowHeight="15" x14ac:dyDescent="0.25"/>
  <cols>
    <col min="1" max="1" width="16.28515625" style="3" customWidth="1"/>
    <col min="2" max="2" width="9.140625" style="17"/>
    <col min="3" max="3" width="9.140625" style="18"/>
    <col min="4" max="4" width="9.140625" style="17"/>
    <col min="5" max="5" width="9.140625" style="2"/>
    <col min="6" max="6" width="13.5703125" style="2" customWidth="1"/>
    <col min="7" max="7" width="9.140625" style="2"/>
    <col min="8" max="8" width="10.42578125" style="2" customWidth="1"/>
    <col min="9" max="9" width="22" style="2" customWidth="1"/>
    <col min="10" max="14" width="8.140625" style="2" customWidth="1"/>
    <col min="15" max="16384" width="9.140625" style="2"/>
  </cols>
  <sheetData>
    <row r="1" spans="1:21" x14ac:dyDescent="0.25">
      <c r="A1" s="1" t="s">
        <v>23</v>
      </c>
      <c r="B1" s="2"/>
      <c r="C1" s="2"/>
      <c r="D1" s="2"/>
    </row>
    <row r="2" spans="1:21" x14ac:dyDescent="0.25">
      <c r="A2" s="2"/>
      <c r="B2" s="2"/>
      <c r="C2" s="2"/>
      <c r="D2" s="2"/>
    </row>
    <row r="3" spans="1:21" x14ac:dyDescent="0.25">
      <c r="A3" s="1" t="s">
        <v>24</v>
      </c>
      <c r="B3" s="2"/>
      <c r="C3" s="2"/>
      <c r="D3" s="2"/>
    </row>
    <row r="4" spans="1:21" x14ac:dyDescent="0.25">
      <c r="A4" s="2" t="s">
        <v>13</v>
      </c>
      <c r="B4" s="2">
        <v>1243</v>
      </c>
      <c r="C4" s="2">
        <v>2243</v>
      </c>
      <c r="D4" s="2">
        <v>1456</v>
      </c>
      <c r="E4" s="2">
        <v>2456</v>
      </c>
      <c r="F4" s="2">
        <v>1372</v>
      </c>
      <c r="G4" s="2">
        <v>2372</v>
      </c>
      <c r="H4" s="2">
        <v>1531</v>
      </c>
      <c r="I4" s="2">
        <v>2531</v>
      </c>
      <c r="J4" s="2">
        <v>1635</v>
      </c>
      <c r="K4" s="2">
        <v>2635</v>
      </c>
      <c r="L4" s="2">
        <v>1367</v>
      </c>
      <c r="M4" s="2">
        <v>2367</v>
      </c>
    </row>
    <row r="5" spans="1:21" s="14" customFormat="1" x14ac:dyDescent="0.25">
      <c r="A5" s="14" t="s">
        <v>25</v>
      </c>
      <c r="B5" s="14">
        <v>20</v>
      </c>
      <c r="C5" s="14">
        <v>0</v>
      </c>
      <c r="D5" s="14">
        <v>5</v>
      </c>
      <c r="E5" s="14">
        <v>5</v>
      </c>
      <c r="F5" s="14">
        <v>10</v>
      </c>
      <c r="G5" s="14">
        <v>0</v>
      </c>
      <c r="H5" s="14">
        <v>0</v>
      </c>
      <c r="I5" s="14">
        <v>0</v>
      </c>
      <c r="J5" s="14">
        <v>5</v>
      </c>
      <c r="K5" s="14">
        <v>5</v>
      </c>
      <c r="L5" s="14">
        <v>15</v>
      </c>
      <c r="M5" s="14">
        <v>0</v>
      </c>
    </row>
    <row r="6" spans="1:21" s="4" customFormat="1" x14ac:dyDescent="0.25">
      <c r="B6" s="4" t="s">
        <v>38</v>
      </c>
      <c r="C6" s="4" t="s">
        <v>38</v>
      </c>
      <c r="D6" s="4" t="s">
        <v>38</v>
      </c>
      <c r="E6" s="4" t="s">
        <v>38</v>
      </c>
      <c r="F6" s="4" t="s">
        <v>38</v>
      </c>
      <c r="G6" s="4" t="s">
        <v>38</v>
      </c>
      <c r="H6" s="4" t="s">
        <v>38</v>
      </c>
      <c r="I6" s="4" t="s">
        <v>38</v>
      </c>
      <c r="J6" s="4" t="s">
        <v>38</v>
      </c>
      <c r="K6" s="4" t="s">
        <v>38</v>
      </c>
      <c r="L6" s="4" t="s">
        <v>38</v>
      </c>
      <c r="M6" s="4" t="s">
        <v>38</v>
      </c>
    </row>
    <row r="7" spans="1:21" s="14" customFormat="1" x14ac:dyDescent="0.25">
      <c r="A7" s="14" t="s">
        <v>26</v>
      </c>
      <c r="B7" s="14">
        <v>40</v>
      </c>
      <c r="C7" s="14">
        <v>30</v>
      </c>
      <c r="D7" s="14">
        <v>6</v>
      </c>
      <c r="E7" s="14">
        <v>5</v>
      </c>
      <c r="F7" s="14">
        <v>10</v>
      </c>
      <c r="G7" s="14">
        <v>8</v>
      </c>
      <c r="H7" s="14">
        <v>8</v>
      </c>
      <c r="I7" s="14">
        <v>9</v>
      </c>
      <c r="J7" s="14">
        <v>5</v>
      </c>
      <c r="K7" s="14">
        <v>19</v>
      </c>
      <c r="L7" s="14">
        <v>15</v>
      </c>
      <c r="M7" s="14">
        <v>2</v>
      </c>
    </row>
    <row r="8" spans="1:21" s="4" customFormat="1" x14ac:dyDescent="0.25">
      <c r="B8" s="4" t="s">
        <v>38</v>
      </c>
      <c r="C8" s="4" t="s">
        <v>38</v>
      </c>
      <c r="D8" s="4" t="s">
        <v>38</v>
      </c>
      <c r="E8" s="4" t="s">
        <v>38</v>
      </c>
      <c r="F8" s="4" t="s">
        <v>38</v>
      </c>
      <c r="G8" s="4" t="s">
        <v>38</v>
      </c>
      <c r="H8" s="4" t="s">
        <v>38</v>
      </c>
      <c r="I8" s="4" t="s">
        <v>38</v>
      </c>
      <c r="J8" s="4" t="s">
        <v>38</v>
      </c>
      <c r="K8" s="4" t="s">
        <v>38</v>
      </c>
      <c r="L8" s="4" t="s">
        <v>38</v>
      </c>
      <c r="M8" s="4" t="s">
        <v>38</v>
      </c>
    </row>
    <row r="9" spans="1:21" s="14" customFormat="1" x14ac:dyDescent="0.25">
      <c r="A9" s="14" t="s">
        <v>27</v>
      </c>
      <c r="B9" s="14">
        <v>40</v>
      </c>
      <c r="C9" s="14">
        <v>30</v>
      </c>
      <c r="D9" s="14">
        <v>20</v>
      </c>
      <c r="E9" s="14">
        <v>15</v>
      </c>
      <c r="F9" s="14">
        <v>30</v>
      </c>
      <c r="G9" s="14">
        <v>10</v>
      </c>
      <c r="H9" s="14">
        <v>31</v>
      </c>
      <c r="I9" s="14">
        <v>10</v>
      </c>
      <c r="J9" s="14">
        <v>26</v>
      </c>
      <c r="K9" s="14">
        <v>35</v>
      </c>
      <c r="L9" s="14">
        <v>30</v>
      </c>
      <c r="M9" s="14">
        <v>40</v>
      </c>
    </row>
    <row r="10" spans="1:21" x14ac:dyDescent="0.25">
      <c r="A10" s="2"/>
      <c r="B10" s="2"/>
      <c r="C10" s="2"/>
      <c r="D10" s="2"/>
    </row>
    <row r="11" spans="1:21" s="15" customFormat="1" x14ac:dyDescent="0.25">
      <c r="A11" s="15" t="s">
        <v>15</v>
      </c>
      <c r="B11" s="15">
        <v>190</v>
      </c>
      <c r="C11" s="15">
        <v>203</v>
      </c>
      <c r="D11" s="15">
        <v>371</v>
      </c>
      <c r="E11" s="15">
        <v>407</v>
      </c>
      <c r="F11" s="15">
        <v>238</v>
      </c>
      <c r="G11" s="15">
        <v>259</v>
      </c>
      <c r="H11" s="15">
        <v>837</v>
      </c>
      <c r="I11" s="15">
        <v>964</v>
      </c>
      <c r="J11" s="15">
        <v>1084</v>
      </c>
      <c r="K11" s="15">
        <v>1214</v>
      </c>
      <c r="L11" s="15">
        <v>401</v>
      </c>
      <c r="M11" s="15">
        <v>455</v>
      </c>
    </row>
    <row r="12" spans="1:21" s="15" customFormat="1" x14ac:dyDescent="0.25">
      <c r="A12" s="15" t="s">
        <v>10</v>
      </c>
      <c r="B12" s="15">
        <v>129.6</v>
      </c>
      <c r="C12" s="15">
        <v>146.4</v>
      </c>
      <c r="D12" s="15">
        <v>276.8</v>
      </c>
      <c r="E12" s="15">
        <v>308.39999999999998</v>
      </c>
      <c r="F12" s="15">
        <v>167.4</v>
      </c>
      <c r="G12" s="15">
        <v>185</v>
      </c>
      <c r="H12" s="15">
        <v>647.9</v>
      </c>
      <c r="I12" s="15">
        <v>723.6</v>
      </c>
      <c r="J12" s="15">
        <v>840.6</v>
      </c>
      <c r="K12" s="15">
        <v>937.7</v>
      </c>
      <c r="L12" s="15">
        <v>314.5</v>
      </c>
      <c r="M12" s="15">
        <v>349</v>
      </c>
    </row>
    <row r="13" spans="1:21" s="15" customFormat="1" x14ac:dyDescent="0.25">
      <c r="A13" s="15" t="s">
        <v>31</v>
      </c>
      <c r="B13" s="15">
        <f t="shared" ref="B13:M13" si="0">B11-B12</f>
        <v>60.400000000000006</v>
      </c>
      <c r="C13" s="15">
        <f t="shared" si="0"/>
        <v>56.599999999999994</v>
      </c>
      <c r="D13" s="15">
        <f t="shared" si="0"/>
        <v>94.199999999999989</v>
      </c>
      <c r="E13" s="15">
        <f t="shared" si="0"/>
        <v>98.600000000000023</v>
      </c>
      <c r="F13" s="15">
        <f t="shared" si="0"/>
        <v>70.599999999999994</v>
      </c>
      <c r="G13" s="15">
        <f t="shared" si="0"/>
        <v>74</v>
      </c>
      <c r="H13" s="15">
        <f t="shared" si="0"/>
        <v>189.10000000000002</v>
      </c>
      <c r="I13" s="15">
        <f t="shared" si="0"/>
        <v>240.39999999999998</v>
      </c>
      <c r="J13" s="15">
        <f t="shared" si="0"/>
        <v>243.39999999999998</v>
      </c>
      <c r="K13" s="15">
        <f t="shared" si="0"/>
        <v>276.29999999999995</v>
      </c>
      <c r="L13" s="15">
        <f t="shared" si="0"/>
        <v>86.5</v>
      </c>
      <c r="M13" s="15">
        <f t="shared" si="0"/>
        <v>106</v>
      </c>
    </row>
    <row r="14" spans="1:21" x14ac:dyDescent="0.25">
      <c r="A14" s="2"/>
      <c r="B14" s="2"/>
      <c r="C14" s="2"/>
      <c r="D14" s="2"/>
    </row>
    <row r="15" spans="1:21" x14ac:dyDescent="0.25">
      <c r="A15" s="1" t="s">
        <v>28</v>
      </c>
      <c r="B15" s="2"/>
      <c r="C15" s="2"/>
      <c r="D15" s="2"/>
      <c r="F15" s="1" t="s">
        <v>32</v>
      </c>
      <c r="I15" s="1" t="s">
        <v>36</v>
      </c>
    </row>
    <row r="16" spans="1:21" x14ac:dyDescent="0.25">
      <c r="A16" s="2" t="s">
        <v>8</v>
      </c>
      <c r="B16" s="4" t="s">
        <v>29</v>
      </c>
      <c r="C16" s="4"/>
      <c r="D16" s="4" t="s">
        <v>30</v>
      </c>
      <c r="F16" s="3" t="s">
        <v>33</v>
      </c>
      <c r="G16" s="16">
        <f>SUMPRODUCT(Produced,UnitRev)</f>
        <v>73186</v>
      </c>
      <c r="I16" s="2" t="s">
        <v>37</v>
      </c>
      <c r="J16" s="2">
        <v>1243</v>
      </c>
      <c r="K16" s="2">
        <v>2243</v>
      </c>
      <c r="L16" s="2">
        <v>1456</v>
      </c>
      <c r="M16" s="2">
        <v>2456</v>
      </c>
      <c r="N16" s="2">
        <v>1372</v>
      </c>
      <c r="O16" s="2">
        <v>2372</v>
      </c>
      <c r="P16" s="2">
        <v>1531</v>
      </c>
      <c r="Q16" s="2">
        <v>2531</v>
      </c>
      <c r="R16" s="2">
        <v>1635</v>
      </c>
      <c r="S16" s="2">
        <v>2635</v>
      </c>
      <c r="T16" s="2">
        <v>1367</v>
      </c>
      <c r="U16" s="2">
        <v>2367</v>
      </c>
    </row>
    <row r="17" spans="1:21" x14ac:dyDescent="0.25">
      <c r="A17" s="3" t="s">
        <v>11</v>
      </c>
      <c r="B17" s="17">
        <f>SUMPRODUCT(Produced,$J$17:$U$17)</f>
        <v>263</v>
      </c>
      <c r="C17" s="18" t="s">
        <v>38</v>
      </c>
      <c r="D17" s="17">
        <v>263</v>
      </c>
      <c r="F17" s="3" t="s">
        <v>34</v>
      </c>
      <c r="G17" s="16">
        <f>SUMPRODUCT(Produced,UnitCost)</f>
        <v>55063.199999999997</v>
      </c>
      <c r="I17" s="2" t="s">
        <v>11</v>
      </c>
      <c r="J17" s="2">
        <v>0.5</v>
      </c>
      <c r="K17" s="2">
        <v>0.7</v>
      </c>
      <c r="L17" s="2">
        <v>2.1</v>
      </c>
      <c r="M17" s="2">
        <v>2.5</v>
      </c>
      <c r="N17" s="2">
        <v>1.3</v>
      </c>
      <c r="O17" s="2">
        <v>1.5</v>
      </c>
      <c r="P17" s="2">
        <v>1.9</v>
      </c>
      <c r="Q17" s="2">
        <v>2.1</v>
      </c>
      <c r="R17" s="2">
        <v>4.3</v>
      </c>
      <c r="S17" s="2">
        <v>4.5</v>
      </c>
      <c r="T17" s="2">
        <v>1.8</v>
      </c>
      <c r="U17" s="2">
        <v>1.9</v>
      </c>
    </row>
    <row r="18" spans="1:21" x14ac:dyDescent="0.25">
      <c r="A18" s="3" t="s">
        <v>12</v>
      </c>
      <c r="B18" s="17">
        <f>SUMPRODUCT(Produced,$J$18:$U$18)</f>
        <v>376.59999999999997</v>
      </c>
      <c r="C18" s="18" t="s">
        <v>38</v>
      </c>
      <c r="D18" s="17">
        <v>450</v>
      </c>
      <c r="F18" s="3" t="s">
        <v>35</v>
      </c>
      <c r="G18" s="16">
        <f>SUMPRODUCT(Produced,UnitProfit)</f>
        <v>18122.8</v>
      </c>
      <c r="I18" s="2" t="s">
        <v>12</v>
      </c>
      <c r="J18" s="2">
        <v>1.3</v>
      </c>
      <c r="K18" s="2">
        <v>1.2</v>
      </c>
      <c r="L18" s="2">
        <v>2.9</v>
      </c>
      <c r="M18" s="2">
        <v>2.7</v>
      </c>
      <c r="N18" s="2">
        <v>1.7</v>
      </c>
      <c r="O18" s="2">
        <v>1.5</v>
      </c>
      <c r="P18" s="2">
        <v>3.2</v>
      </c>
      <c r="Q18" s="2">
        <v>2.8</v>
      </c>
      <c r="R18" s="2">
        <v>5.8</v>
      </c>
      <c r="S18" s="2">
        <v>5.6</v>
      </c>
      <c r="T18" s="2">
        <v>2.5</v>
      </c>
      <c r="U18" s="2">
        <v>2.5</v>
      </c>
    </row>
    <row r="19" spans="1:21" x14ac:dyDescent="0.25">
      <c r="A19" s="3" t="s">
        <v>0</v>
      </c>
      <c r="B19" s="17">
        <f>SUMPRODUCT(Produced,$J$19:$U$19)</f>
        <v>198.4</v>
      </c>
      <c r="C19" s="18" t="s">
        <v>38</v>
      </c>
      <c r="D19" s="17">
        <v>225</v>
      </c>
      <c r="I19" s="2" t="s">
        <v>0</v>
      </c>
      <c r="J19" s="2">
        <v>0.4</v>
      </c>
      <c r="K19" s="2">
        <v>0.4</v>
      </c>
      <c r="L19" s="2">
        <v>1.2</v>
      </c>
      <c r="M19" s="2">
        <v>1.2</v>
      </c>
      <c r="N19" s="2">
        <v>0.6</v>
      </c>
      <c r="O19" s="2">
        <v>0.6</v>
      </c>
      <c r="P19" s="2">
        <v>1.7</v>
      </c>
      <c r="Q19" s="2">
        <v>1.6</v>
      </c>
      <c r="R19" s="2">
        <v>3.2</v>
      </c>
      <c r="S19" s="2">
        <v>3.5</v>
      </c>
      <c r="T19" s="2">
        <v>2.1</v>
      </c>
      <c r="U19" s="2">
        <v>2.2000000000000002</v>
      </c>
    </row>
    <row r="20" spans="1:21" x14ac:dyDescent="0.25">
      <c r="A20" s="3" t="s">
        <v>1</v>
      </c>
      <c r="B20" s="17">
        <f>SUMPRODUCT(Produced,$J$20:$U$20)</f>
        <v>484</v>
      </c>
      <c r="C20" s="18" t="s">
        <v>38</v>
      </c>
      <c r="D20" s="17">
        <v>488</v>
      </c>
      <c r="I20" s="2" t="s">
        <v>1</v>
      </c>
      <c r="J20" s="2">
        <v>2.8</v>
      </c>
      <c r="K20" s="2">
        <v>0</v>
      </c>
      <c r="L20" s="2">
        <v>5.2</v>
      </c>
      <c r="M20" s="2">
        <v>0</v>
      </c>
      <c r="N20" s="2">
        <v>3.2</v>
      </c>
      <c r="O20" s="2">
        <v>0</v>
      </c>
      <c r="P20" s="2">
        <v>15.6</v>
      </c>
      <c r="Q20" s="2">
        <v>0</v>
      </c>
      <c r="R20" s="2">
        <v>18.2</v>
      </c>
      <c r="S20" s="2">
        <v>0</v>
      </c>
      <c r="T20" s="2">
        <v>6.2</v>
      </c>
      <c r="U20" s="2">
        <v>0</v>
      </c>
    </row>
    <row r="21" spans="1:21" x14ac:dyDescent="0.25">
      <c r="A21" s="3" t="s">
        <v>2</v>
      </c>
      <c r="B21" s="17">
        <f>SUMPRODUCT(Produced,$J$21:$U$21)</f>
        <v>634.19999999999993</v>
      </c>
      <c r="C21" s="18" t="s">
        <v>38</v>
      </c>
      <c r="D21" s="17">
        <v>638</v>
      </c>
      <c r="I21" s="2" t="s">
        <v>2</v>
      </c>
      <c r="J21" s="2">
        <v>0</v>
      </c>
      <c r="K21" s="2">
        <v>2.8</v>
      </c>
      <c r="L21" s="2">
        <v>0</v>
      </c>
      <c r="M21" s="2">
        <v>5.2</v>
      </c>
      <c r="N21" s="2">
        <v>0</v>
      </c>
      <c r="O21" s="2">
        <v>3.2</v>
      </c>
      <c r="P21" s="2">
        <v>0</v>
      </c>
      <c r="Q21" s="2">
        <v>15.6</v>
      </c>
      <c r="R21" s="2">
        <v>0</v>
      </c>
      <c r="S21" s="2">
        <v>18.2</v>
      </c>
      <c r="T21" s="2">
        <v>0</v>
      </c>
      <c r="U21" s="2">
        <v>6.2</v>
      </c>
    </row>
  </sheetData>
  <phoneticPr fontId="0" type="noConversion"/>
  <printOptions headings="1" gridLines="1"/>
  <pageMargins left="0.75" right="0.75" top="1" bottom="1" header="0.5" footer="0.5"/>
  <pageSetup scale="59"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Report">
    <pageSetUpPr fitToPage="1"/>
  </sheetPr>
  <dimension ref="A1:K21"/>
  <sheetViews>
    <sheetView workbookViewId="0"/>
  </sheetViews>
  <sheetFormatPr defaultRowHeight="15" x14ac:dyDescent="0.25"/>
  <cols>
    <col min="1" max="1" width="13.28515625" style="12" customWidth="1"/>
    <col min="2" max="2" width="18.7109375" style="12" bestFit="1" customWidth="1"/>
    <col min="3" max="3" width="15" style="8" bestFit="1" customWidth="1"/>
    <col min="4" max="6" width="9.140625" style="10"/>
    <col min="7" max="7" width="9.140625" style="8"/>
    <col min="8" max="8" width="13.5703125" style="8" bestFit="1" customWidth="1"/>
    <col min="9" max="16384" width="9.140625" style="8"/>
  </cols>
  <sheetData>
    <row r="1" spans="1:11" x14ac:dyDescent="0.25">
      <c r="A1" s="9" t="s">
        <v>39</v>
      </c>
      <c r="B1" s="8"/>
      <c r="D1" s="8"/>
      <c r="E1" s="8"/>
      <c r="F1" s="8"/>
    </row>
    <row r="2" spans="1:11" x14ac:dyDescent="0.25">
      <c r="A2" s="8"/>
      <c r="B2" s="8"/>
      <c r="D2" s="8"/>
      <c r="E2" s="8"/>
      <c r="F2" s="8"/>
    </row>
    <row r="3" spans="1:11" x14ac:dyDescent="0.25">
      <c r="A3" s="9" t="s">
        <v>32</v>
      </c>
      <c r="B3" s="8"/>
      <c r="D3" s="8"/>
      <c r="E3" s="8"/>
      <c r="F3" s="8"/>
    </row>
    <row r="4" spans="1:11" x14ac:dyDescent="0.25">
      <c r="A4" s="8" t="s">
        <v>33</v>
      </c>
      <c r="B4" s="10">
        <v>73186</v>
      </c>
      <c r="D4" s="8"/>
      <c r="E4" s="8"/>
      <c r="F4" s="8"/>
    </row>
    <row r="5" spans="1:11" x14ac:dyDescent="0.25">
      <c r="A5" s="8" t="s">
        <v>34</v>
      </c>
      <c r="B5" s="10">
        <v>55063.199999999997</v>
      </c>
      <c r="D5" s="8"/>
      <c r="E5" s="8"/>
      <c r="F5" s="8"/>
    </row>
    <row r="6" spans="1:11" x14ac:dyDescent="0.25">
      <c r="A6" s="8" t="s">
        <v>35</v>
      </c>
      <c r="B6" s="10">
        <v>18122.8</v>
      </c>
      <c r="D6" s="8"/>
      <c r="E6" s="8"/>
      <c r="F6" s="8"/>
    </row>
    <row r="7" spans="1:11" x14ac:dyDescent="0.25">
      <c r="A7" s="8"/>
      <c r="D7" s="8"/>
      <c r="E7" s="8"/>
      <c r="F7" s="8"/>
    </row>
    <row r="8" spans="1:11" x14ac:dyDescent="0.25">
      <c r="A8" s="9" t="s">
        <v>40</v>
      </c>
      <c r="B8" s="8"/>
      <c r="D8" s="8"/>
      <c r="E8" s="8"/>
      <c r="F8" s="8"/>
      <c r="H8" s="9" t="s">
        <v>45</v>
      </c>
    </row>
    <row r="9" spans="1:11" s="11" customFormat="1" x14ac:dyDescent="0.25">
      <c r="A9" s="8" t="s">
        <v>13</v>
      </c>
      <c r="B9" s="8" t="s">
        <v>14</v>
      </c>
      <c r="C9" s="19" t="s">
        <v>41</v>
      </c>
      <c r="D9" s="19" t="s">
        <v>42</v>
      </c>
      <c r="E9" s="19" t="s">
        <v>43</v>
      </c>
      <c r="F9" s="19" t="s">
        <v>44</v>
      </c>
      <c r="G9" s="8"/>
      <c r="H9" s="8" t="s">
        <v>8</v>
      </c>
      <c r="I9" s="19" t="s">
        <v>29</v>
      </c>
      <c r="J9" s="19" t="s">
        <v>30</v>
      </c>
      <c r="K9" s="19" t="s">
        <v>46</v>
      </c>
    </row>
    <row r="10" spans="1:11" x14ac:dyDescent="0.25">
      <c r="A10" s="12">
        <v>1243</v>
      </c>
      <c r="B10" s="12" t="s">
        <v>16</v>
      </c>
      <c r="C10" s="8">
        <v>40</v>
      </c>
      <c r="D10" s="10">
        <v>7600</v>
      </c>
      <c r="E10" s="10">
        <v>5184</v>
      </c>
      <c r="F10" s="10">
        <v>2416</v>
      </c>
      <c r="H10" s="8" t="s">
        <v>11</v>
      </c>
      <c r="I10" s="13">
        <v>263</v>
      </c>
      <c r="J10" s="13">
        <v>263</v>
      </c>
      <c r="K10" s="13">
        <f>J10-I10</f>
        <v>0</v>
      </c>
    </row>
    <row r="11" spans="1:11" x14ac:dyDescent="0.25">
      <c r="A11" s="12">
        <v>2243</v>
      </c>
      <c r="B11" s="12" t="s">
        <v>47</v>
      </c>
      <c r="C11" s="8">
        <v>30</v>
      </c>
      <c r="D11" s="10">
        <v>6090</v>
      </c>
      <c r="E11" s="10">
        <v>4392</v>
      </c>
      <c r="F11" s="10">
        <v>1698</v>
      </c>
      <c r="H11" s="8" t="s">
        <v>12</v>
      </c>
      <c r="I11" s="13">
        <v>376.59999999999997</v>
      </c>
      <c r="J11" s="13">
        <v>450</v>
      </c>
      <c r="K11" s="13">
        <f>J11-I11</f>
        <v>73.400000000000034</v>
      </c>
    </row>
    <row r="12" spans="1:11" x14ac:dyDescent="0.25">
      <c r="A12" s="12">
        <v>1456</v>
      </c>
      <c r="B12" s="12" t="s">
        <v>48</v>
      </c>
      <c r="C12" s="8">
        <v>6</v>
      </c>
      <c r="D12" s="10">
        <v>2226</v>
      </c>
      <c r="E12" s="10">
        <v>1660.8</v>
      </c>
      <c r="F12" s="10">
        <v>565.20000000000005</v>
      </c>
      <c r="H12" s="8" t="s">
        <v>0</v>
      </c>
      <c r="I12" s="13">
        <v>198.4</v>
      </c>
      <c r="J12" s="13">
        <v>225</v>
      </c>
      <c r="K12" s="13">
        <f>J12-I12</f>
        <v>26.599999999999994</v>
      </c>
    </row>
    <row r="13" spans="1:11" x14ac:dyDescent="0.25">
      <c r="A13" s="12">
        <v>2456</v>
      </c>
      <c r="B13" s="12" t="s">
        <v>17</v>
      </c>
      <c r="C13" s="8">
        <v>5</v>
      </c>
      <c r="D13" s="10">
        <v>2035</v>
      </c>
      <c r="E13" s="10">
        <v>1542</v>
      </c>
      <c r="F13" s="10">
        <v>493</v>
      </c>
      <c r="H13" s="8" t="s">
        <v>1</v>
      </c>
      <c r="I13" s="13">
        <v>484</v>
      </c>
      <c r="J13" s="13">
        <v>488</v>
      </c>
      <c r="K13" s="13">
        <f>J13-I13</f>
        <v>4</v>
      </c>
    </row>
    <row r="14" spans="1:11" x14ac:dyDescent="0.25">
      <c r="A14" s="12">
        <v>1372</v>
      </c>
      <c r="B14" s="12" t="s">
        <v>18</v>
      </c>
      <c r="C14" s="8">
        <v>10</v>
      </c>
      <c r="D14" s="10">
        <v>2380</v>
      </c>
      <c r="E14" s="10">
        <v>1674</v>
      </c>
      <c r="F14" s="10">
        <v>706</v>
      </c>
      <c r="H14" s="8" t="s">
        <v>2</v>
      </c>
      <c r="I14" s="13">
        <v>634.19999999999993</v>
      </c>
      <c r="J14" s="13">
        <v>638</v>
      </c>
      <c r="K14" s="13">
        <f>J14-I14</f>
        <v>3.8000000000000682</v>
      </c>
    </row>
    <row r="15" spans="1:11" x14ac:dyDescent="0.25">
      <c r="A15" s="12">
        <v>2372</v>
      </c>
      <c r="B15" s="12" t="s">
        <v>49</v>
      </c>
      <c r="C15" s="8">
        <v>8</v>
      </c>
      <c r="D15" s="10">
        <v>2072</v>
      </c>
      <c r="E15" s="10">
        <v>1480</v>
      </c>
      <c r="F15" s="10">
        <v>592</v>
      </c>
    </row>
    <row r="16" spans="1:11" x14ac:dyDescent="0.25">
      <c r="A16" s="12">
        <v>1531</v>
      </c>
      <c r="B16" s="12" t="s">
        <v>50</v>
      </c>
      <c r="C16" s="8">
        <v>8</v>
      </c>
      <c r="D16" s="10">
        <v>6696</v>
      </c>
      <c r="E16" s="10">
        <v>5183.2</v>
      </c>
      <c r="F16" s="10">
        <v>1512.8</v>
      </c>
    </row>
    <row r="17" spans="1:6" x14ac:dyDescent="0.25">
      <c r="A17" s="12">
        <v>2531</v>
      </c>
      <c r="B17" s="12" t="s">
        <v>19</v>
      </c>
      <c r="C17" s="8">
        <v>9</v>
      </c>
      <c r="D17" s="10">
        <v>8676</v>
      </c>
      <c r="E17" s="10">
        <v>6512.4</v>
      </c>
      <c r="F17" s="10">
        <v>2163.6</v>
      </c>
    </row>
    <row r="18" spans="1:6" x14ac:dyDescent="0.25">
      <c r="A18" s="12">
        <v>1635</v>
      </c>
      <c r="B18" s="12" t="s">
        <v>51</v>
      </c>
      <c r="C18" s="8">
        <v>5</v>
      </c>
      <c r="D18" s="10">
        <v>5420</v>
      </c>
      <c r="E18" s="10">
        <v>4203</v>
      </c>
      <c r="F18" s="10">
        <v>1217</v>
      </c>
    </row>
    <row r="19" spans="1:6" x14ac:dyDescent="0.25">
      <c r="A19" s="12">
        <v>2635</v>
      </c>
      <c r="B19" s="12" t="s">
        <v>20</v>
      </c>
      <c r="C19" s="8">
        <v>19</v>
      </c>
      <c r="D19" s="10">
        <v>23066</v>
      </c>
      <c r="E19" s="10">
        <v>17816.3</v>
      </c>
      <c r="F19" s="10">
        <v>5249.7</v>
      </c>
    </row>
    <row r="20" spans="1:6" x14ac:dyDescent="0.25">
      <c r="A20" s="12">
        <v>1367</v>
      </c>
      <c r="B20" s="12" t="s">
        <v>21</v>
      </c>
      <c r="C20" s="8">
        <v>15</v>
      </c>
      <c r="D20" s="10">
        <v>6015</v>
      </c>
      <c r="E20" s="10">
        <v>4717.5</v>
      </c>
      <c r="F20" s="10">
        <v>1297.5</v>
      </c>
    </row>
    <row r="21" spans="1:6" x14ac:dyDescent="0.25">
      <c r="A21" s="12">
        <v>2367</v>
      </c>
      <c r="B21" s="12" t="s">
        <v>52</v>
      </c>
      <c r="C21" s="8">
        <v>2</v>
      </c>
      <c r="D21" s="10">
        <v>910</v>
      </c>
      <c r="E21" s="10">
        <v>698</v>
      </c>
      <c r="F21" s="10">
        <v>212</v>
      </c>
    </row>
  </sheetData>
  <phoneticPr fontId="0" type="noConversion"/>
  <printOptions headings="1" gridLines="1"/>
  <pageMargins left="0.75" right="0.75" top="1" bottom="1" header="0.5" footer="0.5"/>
  <pageSetup scale="68"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Explanation</vt:lpstr>
      <vt:lpstr>Data</vt:lpstr>
      <vt:lpstr>Model</vt:lpstr>
      <vt:lpstr>Report</vt:lpstr>
      <vt:lpstr>Model!Available</vt:lpstr>
      <vt:lpstr>Model!MaxProd</vt:lpstr>
      <vt:lpstr>Model!MinProd</vt:lpstr>
      <vt:lpstr>Data!Print_Area</vt:lpstr>
      <vt:lpstr>Model!Print_Area</vt:lpstr>
      <vt:lpstr>Report!Print_Area</vt:lpstr>
      <vt:lpstr>Model!Produced</vt:lpstr>
      <vt:lpstr>Model!TotCost</vt:lpstr>
      <vt:lpstr>Model!TotProfit</vt:lpstr>
      <vt:lpstr>Model!TotRev</vt:lpstr>
      <vt:lpstr>Model!UnitCost</vt:lpstr>
      <vt:lpstr>Model!UnitProfit</vt:lpstr>
      <vt:lpstr>Model!UnitRev</vt:lpstr>
      <vt:lpstr>Model!Used</vt:lpstr>
    </vt:vector>
  </TitlesOfParts>
  <Company>Indiana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2011-01-23T19:26:20Z</cp:lastPrinted>
  <dcterms:created xsi:type="dcterms:W3CDTF">1999-11-24T16:27:07Z</dcterms:created>
  <dcterms:modified xsi:type="dcterms:W3CDTF">2015-02-09T17:40:27Z</dcterms:modified>
</cp:coreProperties>
</file>