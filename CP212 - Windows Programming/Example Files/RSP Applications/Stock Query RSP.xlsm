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9170" windowHeight="5880"/>
  </bookViews>
  <sheets>
    <sheet name="Explanation" sheetId="265" r:id="rId1"/>
    <sheet name="Stocks" sheetId="3" r:id="rId2"/>
    <sheet name="ClosingPricesFixed" sheetId="542" state="hidden" r:id="rId3"/>
    <sheet name="ClosingPrices" sheetId="510" r:id="rId4"/>
    <sheet name="Returns" sheetId="4" r:id="rId5"/>
    <sheet name="SummaryMeasures" sheetId="31" r:id="rId6"/>
    <sheet name="Model" sheetId="509" r:id="rId7"/>
    <sheet name="EfficientFrontier" sheetId="101" r:id="rId8"/>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dRecalcBehavior" hidden="1">1</definedName>
    <definedName name="_AtRisk_SimSetting_StdRecalcWithoutRiskStatic" hidden="1">0</definedName>
    <definedName name="_AtRisk_SimSetting_StdRecalcWithoutRiskStaticPercentile" hidden="1">0.5</definedName>
    <definedName name="AA">Returns!$B$4:$B$27</definedName>
    <definedName name="AABB">Returns!$B$3:$B$4</definedName>
    <definedName name="AAPL">Returns!$C$4:$C$27</definedName>
    <definedName name="AXP">Returns!$D$4:$D$27</definedName>
    <definedName name="BA">Returns!$E$4:$E$27</definedName>
    <definedName name="CAT">Returns!$F$4:$F$27</definedName>
    <definedName name="coin_cuttype" localSheetId="6" hidden="1">1</definedName>
    <definedName name="coin_dualtol" localSheetId="6" hidden="1">0.0000001</definedName>
    <definedName name="coin_heurs" localSheetId="6" hidden="1">1</definedName>
    <definedName name="coin_integerpresolve" localSheetId="6" hidden="1">1</definedName>
    <definedName name="coin_presolve1" localSheetId="6" hidden="1">1</definedName>
    <definedName name="coin_primaltol" localSheetId="6" hidden="1">0.0000001</definedName>
    <definedName name="Covar">Model!$B$8:$J$16</definedName>
    <definedName name="CSCO">Returns!$G$4:$G$27</definedName>
    <definedName name="DD">Returns!$H$4:$H$27</definedName>
    <definedName name="DIS">Returns!$I$4:$I$27</definedName>
    <definedName name="EK">Returns!$J$4:$J$27</definedName>
    <definedName name="FDX">Returns!$I$4:$I$135</definedName>
    <definedName name="GE">Returns!$F$4:$F$27</definedName>
    <definedName name="GM">Returns!$M$4:$M$135</definedName>
    <definedName name="GT">Returns!$G$4:$G$27</definedName>
    <definedName name="HP">Returns!$H$4:$H$27</definedName>
    <definedName name="IBM">Returns!$J$4:$J$135</definedName>
    <definedName name="IP">Returns!$I$4:$I$51</definedName>
    <definedName name="JNJ">Returns!$K$4:$K$135</definedName>
    <definedName name="JPM">Returns!$H$4:$H$27</definedName>
    <definedName name="KO">Returns!$L$4:$L$135</definedName>
    <definedName name="MCD">Returns!$N$4:$N$135</definedName>
    <definedName name="MeanReturn">Model!$B$19</definedName>
    <definedName name="Means">Model!$B$5:$J$5</definedName>
    <definedName name="MMM">Returns!$L$4:$L$51</definedName>
    <definedName name="MO">Returns!$O$4:$O$135</definedName>
    <definedName name="MRK">Returns!$P$4:$P$135</definedName>
    <definedName name="MSFT">Returns!$Q$4:$Q$135</definedName>
    <definedName name="PG">Returns!$O$4:$O$51</definedName>
    <definedName name="PortfolioStdev">Model!$B$25</definedName>
    <definedName name="PortfolioVariance">Model!$B$22</definedName>
    <definedName name="PortStdev">Model!$B$44</definedName>
    <definedName name="PortVar">Model!$B$41</definedName>
    <definedName name="_xlnm.Print_Area" localSheetId="3">ClosingPrices!$A$1:$I$13</definedName>
    <definedName name="_xlnm.Print_Area" localSheetId="7">EfficientFrontier!$A$1:$V$14</definedName>
    <definedName name="_xlnm.Print_Area" localSheetId="0">Explanation!$A$1:$K$27</definedName>
    <definedName name="_xlnm.Print_Area" localSheetId="6">Model!$A$1:$T$34</definedName>
    <definedName name="_xlnm.Print_Area" localSheetId="4">Returns!$A$1:$I$12</definedName>
    <definedName name="_xlnm.Print_Area" localSheetId="1">Stocks!$A$1:$K$19</definedName>
    <definedName name="_xlnm.Print_Area" localSheetId="5">SummaryMeasures!$A$1:$I$15</definedName>
    <definedName name="RequiredReturn">Model!$D$19</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hidden="1">1000</definedName>
    <definedName name="RiskNumSimulations" hidden="1">5</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FALSE</definedName>
    <definedName name="solver_adj" localSheetId="6" hidden="1">Model!$B$4:$J$4</definedName>
    <definedName name="solver_adj_ob" localSheetId="6" hidden="1">0</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vg" localSheetId="6" hidden="1">0.0001</definedName>
    <definedName name="solver_dia" localSheetId="6" hidden="1">5</definedName>
    <definedName name="solver_drv" localSheetId="6" hidden="1">1</definedName>
    <definedName name="solver_eng" localSheetId="6" hidden="1">2</definedName>
    <definedName name="solver_est" localSheetId="6" hidden="1">1</definedName>
    <definedName name="solver_iao" localSheetId="6" hidden="1">0</definedName>
    <definedName name="solver_int" localSheetId="6" hidden="1">0</definedName>
    <definedName name="solver_irs" localSheetId="6" hidden="1">0</definedName>
    <definedName name="solver_ism" localSheetId="6" hidden="1">0</definedName>
    <definedName name="solver_itr" localSheetId="6" hidden="1">100</definedName>
    <definedName name="solver_kiv" localSheetId="6" hidden="1">2E+30</definedName>
    <definedName name="solver_lhs_ob1" localSheetId="6" hidden="1">0</definedName>
    <definedName name="solver_lhs_ob2" localSheetId="6" hidden="1">0</definedName>
    <definedName name="solver_lhs_ob3" localSheetId="6" hidden="1">0</definedName>
    <definedName name="solver_lhs1" localSheetId="6" hidden="1">MeanReturn</definedName>
    <definedName name="solver_lhs2" localSheetId="6" hidden="1">Weights</definedName>
    <definedName name="solver_lhs3" localSheetId="6" hidden="1">SumWeights</definedName>
    <definedName name="solver_lhs4" localSheetId="6" hidden="1">Model!$B$13</definedName>
    <definedName name="solver_lhs5" localSheetId="6" hidden="1">Model!$K$4</definedName>
    <definedName name="solver_lhs6" localSheetId="6" hidden="1">Model!$B$19</definedName>
    <definedName name="solver_lin" localSheetId="6" hidden="1">1</definedName>
    <definedName name="solver_lva" localSheetId="6" hidden="1">0</definedName>
    <definedName name="solver_mda" localSheetId="6" hidden="1">4</definedName>
    <definedName name="solver_mip" localSheetId="6" hidden="1">5000</definedName>
    <definedName name="solver_mod" localSheetId="6" hidden="1">3</definedName>
    <definedName name="solver_msl" localSheetId="6" hidden="1">0</definedName>
    <definedName name="solver_neg" localSheetId="6" hidden="1">1</definedName>
    <definedName name="solver_nod" localSheetId="6" hidden="1">5000</definedName>
    <definedName name="solver_ntr" localSheetId="6" hidden="1">2</definedName>
    <definedName name="solver_ntri" hidden="1">1000</definedName>
    <definedName name="solver_num" localSheetId="6" hidden="1">3</definedName>
    <definedName name="solver_nwt" localSheetId="6" hidden="1">1</definedName>
    <definedName name="solver_obc" localSheetId="6" hidden="1">0</definedName>
    <definedName name="solver_obp" localSheetId="6" hidden="1">0</definedName>
    <definedName name="solver_opt" localSheetId="6" hidden="1">PortfolioVariance</definedName>
    <definedName name="solver_opt_ob" localSheetId="6" hidden="1">1</definedName>
    <definedName name="solver_pre" localSheetId="6" hidden="1">0.000001</definedName>
    <definedName name="solver_psi" localSheetId="6" hidden="1">0</definedName>
    <definedName name="solver_rbv" localSheetId="6" hidden="1">1</definedName>
    <definedName name="solver_rdp" localSheetId="6" hidden="1">0</definedName>
    <definedName name="solver_rel1" localSheetId="6" hidden="1">3</definedName>
    <definedName name="solver_rel2" localSheetId="6" hidden="1">3</definedName>
    <definedName name="solver_rel3" localSheetId="6" hidden="1">2</definedName>
    <definedName name="solver_rel4" localSheetId="6" hidden="1">3</definedName>
    <definedName name="solver_rel5" localSheetId="6" hidden="1">2</definedName>
    <definedName name="solver_rel6" localSheetId="6" hidden="1">3</definedName>
    <definedName name="solver_rep" localSheetId="6" hidden="1">0</definedName>
    <definedName name="solver_rhs1" localSheetId="6" hidden="1">RequiredReturn</definedName>
    <definedName name="solver_rhs2" localSheetId="6" hidden="1">0</definedName>
    <definedName name="solver_rhs3" localSheetId="6" hidden="1">1</definedName>
    <definedName name="solver_rhs4" localSheetId="6" hidden="1">RequiredReturn</definedName>
    <definedName name="solver_rhs5" localSheetId="6" hidden="1">1</definedName>
    <definedName name="solver_rhs6" localSheetId="6" hidden="1">RequiredReturn</definedName>
    <definedName name="solver_rlx" localSheetId="6" hidden="1">0</definedName>
    <definedName name="solver_rsmp" hidden="1">1</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v" localSheetId="6" hidden="1">1</definedName>
    <definedName name="solver_scl" localSheetId="6" hidden="1">2</definedName>
    <definedName name="solver_seed" hidden="1">0</definedName>
    <definedName name="solver_sel" localSheetId="6" hidden="1">1</definedName>
    <definedName name="solver_sho" localSheetId="6" hidden="1">2</definedName>
    <definedName name="solver_slv" localSheetId="6" hidden="1">0</definedName>
    <definedName name="solver_slvu" localSheetId="6" hidden="1">0</definedName>
    <definedName name="solver_ssz" localSheetId="6" hidden="1">0</definedName>
    <definedName name="solver_tim" localSheetId="6" hidden="1">100</definedName>
    <definedName name="solver_tms" localSheetId="6" hidden="1">0</definedName>
    <definedName name="solver_tol" localSheetId="6" hidden="1">0.05</definedName>
    <definedName name="solver_typ" localSheetId="6" hidden="1">2</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9</definedName>
    <definedName name="solver_vir" localSheetId="6" hidden="1">1</definedName>
    <definedName name="solver_vol" localSheetId="6" hidden="1">0</definedName>
    <definedName name="solver_vst" localSheetId="6" hidden="1">0</definedName>
    <definedName name="Stocks">Stocks!$A$4:$B$31</definedName>
    <definedName name="SumWeights">Model!$K$4</definedName>
    <definedName name="SumWts">Model!$AD$4</definedName>
    <definedName name="T">Returns!$R$4:$R$135</definedName>
    <definedName name="UTX">Returns!$AB$4:$AB$53</definedName>
    <definedName name="Weights">Model!$B$4:$J$4</definedName>
    <definedName name="WMT">Returns!$S$4:$S$135</definedName>
  </definedNames>
  <calcPr calcId="125725"/>
</workbook>
</file>

<file path=xl/calcChain.xml><?xml version="1.0" encoding="utf-8"?>
<calcChain xmlns="http://schemas.openxmlformats.org/spreadsheetml/2006/main">
  <c r="B22" i="509" a="1"/>
  <c r="B22" s="1"/>
  <c r="B25" s="1"/>
  <c r="B19"/>
  <c r="J16"/>
  <c r="I16"/>
  <c r="H16"/>
  <c r="G16"/>
  <c r="F16"/>
  <c r="E16"/>
  <c r="D16"/>
  <c r="C16"/>
  <c r="B16"/>
  <c r="J15"/>
  <c r="I15"/>
  <c r="H15"/>
  <c r="G15"/>
  <c r="F15"/>
  <c r="E15"/>
  <c r="D15"/>
  <c r="C15"/>
  <c r="B15"/>
  <c r="J14"/>
  <c r="I14"/>
  <c r="H14"/>
  <c r="G14"/>
  <c r="F14"/>
  <c r="E14"/>
  <c r="D14"/>
  <c r="C14"/>
  <c r="B14"/>
  <c r="J13"/>
  <c r="I13"/>
  <c r="H13"/>
  <c r="G13"/>
  <c r="F13"/>
  <c r="E13"/>
  <c r="D13"/>
  <c r="C13"/>
  <c r="B13"/>
  <c r="J12"/>
  <c r="I12"/>
  <c r="H12"/>
  <c r="G12"/>
  <c r="F12"/>
  <c r="E12"/>
  <c r="D12"/>
  <c r="C12"/>
  <c r="B12"/>
  <c r="J11"/>
  <c r="I11"/>
  <c r="H11"/>
  <c r="G11"/>
  <c r="F11"/>
  <c r="E11"/>
  <c r="D11"/>
  <c r="C11"/>
  <c r="B11"/>
  <c r="J10"/>
  <c r="I10"/>
  <c r="H10"/>
  <c r="G10"/>
  <c r="F10"/>
  <c r="E10"/>
  <c r="D10"/>
  <c r="C10"/>
  <c r="B10"/>
  <c r="J9"/>
  <c r="I9"/>
  <c r="H9"/>
  <c r="G9"/>
  <c r="F9"/>
  <c r="E9"/>
  <c r="D9"/>
  <c r="C9"/>
  <c r="B9"/>
  <c r="J8"/>
  <c r="I8"/>
  <c r="H8"/>
  <c r="G8"/>
  <c r="F8"/>
  <c r="E8"/>
  <c r="D8"/>
  <c r="C8"/>
  <c r="B8"/>
  <c r="K4"/>
  <c r="J5"/>
  <c r="I5"/>
  <c r="H5"/>
  <c r="G5"/>
  <c r="F5"/>
  <c r="E5"/>
  <c r="D5"/>
  <c r="C5"/>
  <c r="B5"/>
  <c r="J16" i="31"/>
  <c r="I16"/>
  <c r="H16"/>
  <c r="G16"/>
  <c r="F16"/>
  <c r="E16"/>
  <c r="D16"/>
  <c r="C16"/>
  <c r="B16"/>
  <c r="J15"/>
  <c r="I15"/>
  <c r="H15"/>
  <c r="G15"/>
  <c r="F15"/>
  <c r="E15"/>
  <c r="D15"/>
  <c r="C15"/>
  <c r="B15"/>
  <c r="J14"/>
  <c r="I14"/>
  <c r="H14"/>
  <c r="G14"/>
  <c r="F14"/>
  <c r="E14"/>
  <c r="D14"/>
  <c r="C14"/>
  <c r="B14"/>
  <c r="J13"/>
  <c r="I13"/>
  <c r="H13"/>
  <c r="G13"/>
  <c r="F13"/>
  <c r="E13"/>
  <c r="D13"/>
  <c r="C13"/>
  <c r="B13"/>
  <c r="J12"/>
  <c r="I12"/>
  <c r="H12"/>
  <c r="G12"/>
  <c r="F12"/>
  <c r="E12"/>
  <c r="D12"/>
  <c r="C12"/>
  <c r="B12"/>
  <c r="J11"/>
  <c r="I11"/>
  <c r="H11"/>
  <c r="G11"/>
  <c r="F11"/>
  <c r="E11"/>
  <c r="D11"/>
  <c r="C11"/>
  <c r="B11"/>
  <c r="J10"/>
  <c r="I10"/>
  <c r="H10"/>
  <c r="G10"/>
  <c r="F10"/>
  <c r="E10"/>
  <c r="D10"/>
  <c r="C10"/>
  <c r="B10"/>
  <c r="J9"/>
  <c r="I9"/>
  <c r="H9"/>
  <c r="G9"/>
  <c r="F9"/>
  <c r="E9"/>
  <c r="D9"/>
  <c r="C9"/>
  <c r="B9"/>
  <c r="J8"/>
  <c r="I8"/>
  <c r="H8"/>
  <c r="G8"/>
  <c r="F8"/>
  <c r="E8"/>
  <c r="D8"/>
  <c r="C8"/>
  <c r="B8"/>
  <c r="J5"/>
  <c r="J4"/>
  <c r="I5"/>
  <c r="I4"/>
  <c r="H5"/>
  <c r="H4"/>
  <c r="G5"/>
  <c r="G4"/>
  <c r="F5"/>
  <c r="F4"/>
  <c r="E5"/>
  <c r="E4"/>
  <c r="D5"/>
  <c r="D4"/>
  <c r="C5"/>
  <c r="C4"/>
  <c r="B5"/>
  <c r="B4"/>
</calcChain>
</file>

<file path=xl/sharedStrings.xml><?xml version="1.0" encoding="utf-8"?>
<sst xmlns="http://schemas.openxmlformats.org/spreadsheetml/2006/main" count="184" uniqueCount="84">
  <si>
    <t>Stock symbols and names to choose from</t>
  </si>
  <si>
    <t>Symbol</t>
  </si>
  <si>
    <t>Name</t>
  </si>
  <si>
    <t>AA</t>
  </si>
  <si>
    <t>AXP</t>
  </si>
  <si>
    <t>American Express</t>
  </si>
  <si>
    <t>BA</t>
  </si>
  <si>
    <t>Boeing</t>
  </si>
  <si>
    <t>CAT</t>
  </si>
  <si>
    <t>Caterpillar</t>
  </si>
  <si>
    <t>DD</t>
  </si>
  <si>
    <t>EK</t>
  </si>
  <si>
    <t>Eastman Kodak</t>
  </si>
  <si>
    <t>FDX</t>
  </si>
  <si>
    <t>Federal Express</t>
  </si>
  <si>
    <t>GE</t>
  </si>
  <si>
    <t>General Electric</t>
  </si>
  <si>
    <t>GM</t>
  </si>
  <si>
    <t>General Motors</t>
  </si>
  <si>
    <t>GT</t>
  </si>
  <si>
    <t>Goodyear Tire &amp; Rubber</t>
  </si>
  <si>
    <t>IBM</t>
  </si>
  <si>
    <t>IP</t>
  </si>
  <si>
    <t>International Paper</t>
  </si>
  <si>
    <t>JNJ</t>
  </si>
  <si>
    <t>Johnson &amp; Johnson</t>
  </si>
  <si>
    <t>JPM</t>
  </si>
  <si>
    <t>J. P. Morgan</t>
  </si>
  <si>
    <t>KO</t>
  </si>
  <si>
    <t>Coca Cola</t>
  </si>
  <si>
    <t>MCD</t>
  </si>
  <si>
    <t>McDonald's</t>
  </si>
  <si>
    <t>MMM</t>
  </si>
  <si>
    <t>Minnesota Mining &amp; Mfg</t>
  </si>
  <si>
    <t>MO</t>
  </si>
  <si>
    <t>Philip Morris</t>
  </si>
  <si>
    <t>MRK</t>
  </si>
  <si>
    <t>Merck</t>
  </si>
  <si>
    <t>PG</t>
  </si>
  <si>
    <t>Procter &amp; Gamble</t>
  </si>
  <si>
    <t>T</t>
  </si>
  <si>
    <t>AT&amp;T</t>
  </si>
  <si>
    <t>UTX</t>
  </si>
  <si>
    <t>United Technologies</t>
  </si>
  <si>
    <t>WMT</t>
  </si>
  <si>
    <t>Wal-Mart</t>
  </si>
  <si>
    <t>Creating Optimal Portfolios Based on Data from the Web</t>
  </si>
  <si>
    <t>International Business Machines</t>
  </si>
  <si>
    <t>ALCOA Inc</t>
  </si>
  <si>
    <t>CSCO</t>
  </si>
  <si>
    <t>Cisco Systems</t>
  </si>
  <si>
    <t>AAPL</t>
  </si>
  <si>
    <t>Apple Computer</t>
  </si>
  <si>
    <t>DIS</t>
  </si>
  <si>
    <t>Disney</t>
  </si>
  <si>
    <t>Hewlett Packard</t>
  </si>
  <si>
    <t>MSFT</t>
  </si>
  <si>
    <t>Microsoft</t>
  </si>
  <si>
    <t>HP</t>
  </si>
  <si>
    <t>Summary measures for stock returns</t>
  </si>
  <si>
    <t>Stocks</t>
  </si>
  <si>
    <t>Means</t>
  </si>
  <si>
    <t>Stdevs</t>
  </si>
  <si>
    <t>Correlations</t>
  </si>
  <si>
    <t>Stock</t>
  </si>
  <si>
    <t>Weights</t>
  </si>
  <si>
    <t>Sum</t>
  </si>
  <si>
    <t>Covariances</t>
  </si>
  <si>
    <t>Constraint on mean return</t>
  </si>
  <si>
    <t>&gt;=</t>
  </si>
  <si>
    <t>Portfolio variance</t>
  </si>
  <si>
    <t>Portfolio standard deviation</t>
  </si>
  <si>
    <t>Efficient frontier</t>
  </si>
  <si>
    <t>PortStdev</t>
  </si>
  <si>
    <t>ReqdReturn</t>
  </si>
  <si>
    <t>Weights for these optimal portfolios</t>
  </si>
  <si>
    <t>Date</t>
  </si>
  <si>
    <t>Corresponding returns</t>
  </si>
  <si>
    <t>Time period</t>
  </si>
  <si>
    <t>Monthly closing prices from 12/1996 until 12/2007</t>
  </si>
  <si>
    <t>Portfolio selection model (solution shown is when required return is halfway between minimum and maximum of stock returns)</t>
  </si>
  <si>
    <t>DuPont</t>
  </si>
  <si>
    <t>Month</t>
  </si>
  <si>
    <t>Monthly closing prices from 05/17/2007 to 05/17/2009</t>
  </si>
</sst>
</file>

<file path=xl/styles.xml><?xml version="1.0" encoding="utf-8"?>
<styleSheet xmlns="http://schemas.openxmlformats.org/spreadsheetml/2006/main">
  <numFmts count="3">
    <numFmt numFmtId="164" formatCode="0.000"/>
    <numFmt numFmtId="165" formatCode="0.0000"/>
    <numFmt numFmtId="166" formatCode="[$-409]mmm\-yy;@"/>
  </numFmts>
  <fonts count="6">
    <font>
      <sz val="10"/>
      <name val="Arial"/>
    </font>
    <font>
      <sz val="11"/>
      <name val="Calibri"/>
      <family val="2"/>
      <scheme val="minor"/>
    </font>
    <font>
      <b/>
      <sz val="11"/>
      <name val="Calibri"/>
      <family val="2"/>
      <scheme val="minor"/>
    </font>
    <font>
      <b/>
      <sz val="14"/>
      <name val="Calibri"/>
      <family val="2"/>
      <scheme val="minor"/>
    </font>
    <font>
      <sz val="10"/>
      <name val="Arial"/>
      <family val="2"/>
    </font>
    <font>
      <sz val="11"/>
      <name val="Calibri"/>
      <family val="2"/>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4" fillId="0" borderId="0"/>
  </cellStyleXfs>
  <cellXfs count="23">
    <xf numFmtId="0" fontId="0" fillId="0" borderId="0" xfId="0"/>
    <xf numFmtId="49" fontId="1" fillId="0" borderId="0" xfId="0" applyNumberFormat="1" applyFont="1" applyFill="1"/>
    <xf numFmtId="0" fontId="1" fillId="0" borderId="0" xfId="0" applyFont="1" applyFill="1"/>
    <xf numFmtId="49" fontId="2" fillId="0" borderId="0" xfId="0" applyNumberFormat="1" applyFont="1" applyFill="1"/>
    <xf numFmtId="49" fontId="1" fillId="0" borderId="0" xfId="0" applyNumberFormat="1" applyFont="1" applyFill="1" applyAlignment="1">
      <alignment horizontal="right"/>
    </xf>
    <xf numFmtId="0" fontId="1" fillId="0" borderId="0" xfId="0" applyFont="1" applyFill="1" applyAlignment="1">
      <alignment horizontal="right"/>
    </xf>
    <xf numFmtId="0" fontId="2" fillId="0" borderId="0" xfId="0" applyFont="1"/>
    <xf numFmtId="0" fontId="1" fillId="0" borderId="0" xfId="0" applyFont="1"/>
    <xf numFmtId="0" fontId="1" fillId="0" borderId="0" xfId="0" applyFont="1" applyAlignment="1">
      <alignment horizontal="left"/>
    </xf>
    <xf numFmtId="166" fontId="2" fillId="0" borderId="0" xfId="0" applyNumberFormat="1" applyFont="1" applyAlignment="1">
      <alignment horizontal="left"/>
    </xf>
    <xf numFmtId="166" fontId="1" fillId="0" borderId="0" xfId="0" applyNumberFormat="1" applyFont="1" applyAlignment="1">
      <alignment horizontal="left"/>
    </xf>
    <xf numFmtId="0" fontId="1" fillId="0" borderId="0" xfId="0" applyFont="1" applyAlignment="1">
      <alignment horizontal="right"/>
    </xf>
    <xf numFmtId="1" fontId="1" fillId="0" borderId="0" xfId="0" applyNumberFormat="1" applyFont="1" applyAlignment="1">
      <alignment horizontal="left"/>
    </xf>
    <xf numFmtId="164" fontId="1" fillId="0" borderId="0" xfId="0" applyNumberFormat="1" applyFont="1"/>
    <xf numFmtId="2" fontId="1" fillId="0" borderId="0" xfId="0" applyNumberFormat="1" applyFont="1"/>
    <xf numFmtId="165" fontId="1" fillId="0" borderId="0" xfId="0" applyNumberFormat="1" applyFont="1"/>
    <xf numFmtId="0" fontId="1" fillId="0" borderId="0" xfId="2" applyFont="1"/>
    <xf numFmtId="166" fontId="1" fillId="0" borderId="0" xfId="2" applyNumberFormat="1" applyFont="1" applyAlignment="1">
      <alignment horizontal="center"/>
    </xf>
    <xf numFmtId="0" fontId="1" fillId="0" borderId="0" xfId="2" applyFont="1" applyAlignment="1">
      <alignment horizontal="right"/>
    </xf>
    <xf numFmtId="17" fontId="1" fillId="0" borderId="0" xfId="2" applyNumberFormat="1" applyFont="1" applyAlignment="1">
      <alignment horizontal="center"/>
    </xf>
    <xf numFmtId="0" fontId="2" fillId="0" borderId="0" xfId="2" applyFont="1"/>
    <xf numFmtId="1" fontId="1" fillId="0" borderId="0" xfId="2" applyNumberFormat="1" applyFont="1" applyAlignment="1">
      <alignment horizontal="center"/>
    </xf>
    <xf numFmtId="0" fontId="3" fillId="0" borderId="0" xfId="0" applyFont="1" applyFill="1" applyAlignment="1">
      <alignment horizontal="center"/>
    </xf>
  </cellXfs>
  <cellStyles count="3">
    <cellStyle name="Normal" xfId="0" builtinId="0"/>
    <cellStyle name="Normal 2" xfId="1"/>
    <cellStyle name="Normal 3" xfId="2"/>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400"/>
            </a:pPr>
            <a:r>
              <a:rPr lang="en-US" sz="1400"/>
              <a:t>Efficient Frontier</a:t>
            </a:r>
          </a:p>
        </c:rich>
      </c:tx>
      <c:layout/>
    </c:title>
    <c:plotArea>
      <c:layout/>
      <c:scatterChart>
        <c:scatterStyle val="lineMarker"/>
        <c:ser>
          <c:idx val="0"/>
          <c:order val="0"/>
          <c:xVal>
            <c:numRef>
              <c:f>EfficientFrontier!$B$4:$B$14</c:f>
              <c:numCache>
                <c:formatCode>0.0000</c:formatCode>
                <c:ptCount val="11"/>
                <c:pt idx="0">
                  <c:v>7.9672781397240544E-2</c:v>
                </c:pt>
                <c:pt idx="1">
                  <c:v>7.967278139724053E-2</c:v>
                </c:pt>
                <c:pt idx="2">
                  <c:v>7.967278139724053E-2</c:v>
                </c:pt>
                <c:pt idx="3">
                  <c:v>7.967278139724053E-2</c:v>
                </c:pt>
                <c:pt idx="4">
                  <c:v>7.967278139724053E-2</c:v>
                </c:pt>
                <c:pt idx="5">
                  <c:v>7.9672781397240544E-2</c:v>
                </c:pt>
                <c:pt idx="6">
                  <c:v>7.9672781397240544E-2</c:v>
                </c:pt>
                <c:pt idx="7">
                  <c:v>7.9677409656519996E-2</c:v>
                </c:pt>
                <c:pt idx="8">
                  <c:v>8.4885649503535304E-2</c:v>
                </c:pt>
                <c:pt idx="9">
                  <c:v>0.10777529491615051</c:v>
                </c:pt>
                <c:pt idx="10">
                  <c:v>0.14350021784425177</c:v>
                </c:pt>
              </c:numCache>
            </c:numRef>
          </c:xVal>
          <c:yVal>
            <c:numRef>
              <c:f>EfficientFrontier!$C$4:$C$14</c:f>
              <c:numCache>
                <c:formatCode>0.0000</c:formatCode>
                <c:ptCount val="11"/>
                <c:pt idx="0">
                  <c:v>-7.9351060092449188E-2</c:v>
                </c:pt>
                <c:pt idx="1">
                  <c:v>-7.0256829261779785E-2</c:v>
                </c:pt>
                <c:pt idx="2">
                  <c:v>-6.1162605881690979E-2</c:v>
                </c:pt>
                <c:pt idx="3">
                  <c:v>-5.2068378776311874E-2</c:v>
                </c:pt>
                <c:pt idx="4">
                  <c:v>-4.2974147945642471E-2</c:v>
                </c:pt>
                <c:pt idx="5">
                  <c:v>-3.3879920840263367E-2</c:v>
                </c:pt>
                <c:pt idx="6">
                  <c:v>-2.4785693734884262E-2</c:v>
                </c:pt>
                <c:pt idx="7">
                  <c:v>-1.5691466629505157E-2</c:v>
                </c:pt>
                <c:pt idx="8">
                  <c:v>-6.5972385928034782E-3</c:v>
                </c:pt>
                <c:pt idx="9">
                  <c:v>2.4969889782369137E-3</c:v>
                </c:pt>
                <c:pt idx="10">
                  <c:v>1.1591216549277306E-2</c:v>
                </c:pt>
              </c:numCache>
            </c:numRef>
          </c:yVal>
        </c:ser>
        <c:axId val="237566976"/>
        <c:axId val="251110528"/>
      </c:scatterChart>
      <c:valAx>
        <c:axId val="237566976"/>
        <c:scaling>
          <c:orientation val="minMax"/>
          <c:max val="0.14988296777009963"/>
          <c:min val="7.32900395989418E-2"/>
        </c:scaling>
        <c:axPos val="b"/>
        <c:title>
          <c:tx>
            <c:rich>
              <a:bodyPr/>
              <a:lstStyle/>
              <a:p>
                <a:pPr>
                  <a:defRPr/>
                </a:pPr>
                <a:r>
                  <a:rPr lang="en-US"/>
                  <a:t>Risk (Standard Deviation)</a:t>
                </a:r>
              </a:p>
            </c:rich>
          </c:tx>
          <c:layout/>
        </c:title>
        <c:numFmt formatCode="0.0000" sourceLinked="1"/>
        <c:tickLblPos val="nextTo"/>
        <c:crossAx val="251110528"/>
        <c:crosses val="autoZero"/>
        <c:crossBetween val="midCat"/>
      </c:valAx>
      <c:valAx>
        <c:axId val="251110528"/>
        <c:scaling>
          <c:orientation val="minMax"/>
          <c:max val="2.0685444399714471E-2"/>
          <c:min val="-8.844528794288635E-2"/>
        </c:scaling>
        <c:axPos val="l"/>
        <c:majorGridlines>
          <c:spPr>
            <a:ln>
              <a:solidFill>
                <a:schemeClr val="bg1">
                  <a:lumMod val="85000"/>
                </a:schemeClr>
              </a:solidFill>
            </a:ln>
          </c:spPr>
        </c:majorGridlines>
        <c:title>
          <c:tx>
            <c:rich>
              <a:bodyPr rot="-5400000" vert="horz"/>
              <a:lstStyle/>
              <a:p>
                <a:pPr>
                  <a:defRPr/>
                </a:pPr>
                <a:r>
                  <a:rPr lang="en-US"/>
                  <a:t>Return (Mean Return)</a:t>
                </a:r>
              </a:p>
            </c:rich>
          </c:tx>
          <c:layout/>
        </c:title>
        <c:numFmt formatCode="0.0000" sourceLinked="1"/>
        <c:tickLblPos val="nextTo"/>
        <c:crossAx val="237566976"/>
        <c:crosses val="autoZero"/>
        <c:crossBetween val="midCat"/>
      </c:valAx>
    </c:plotArea>
    <c:plotVisOnly val="1"/>
  </c:chart>
  <c:printSettings>
    <c:headerFooter/>
    <c:pageMargins b="0.750000000000001" l="0.70000000000000062" r="0.70000000000000062" t="0.750000000000001" header="0.30000000000000032" footer="0.30000000000000032"/>
    <c:pageSetup orientation="portrait"/>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546100</xdr:colOff>
      <xdr:row>5</xdr:row>
      <xdr:rowOff>63498</xdr:rowOff>
    </xdr:from>
    <xdr:to>
      <xdr:col>10</xdr:col>
      <xdr:colOff>140970</xdr:colOff>
      <xdr:row>24</xdr:row>
      <xdr:rowOff>133349</xdr:rowOff>
    </xdr:to>
    <xdr:sp macro="" textlink="">
      <xdr:nvSpPr>
        <xdr:cNvPr id="3" name="TextBox 2"/>
        <xdr:cNvSpPr txBox="1"/>
      </xdr:nvSpPr>
      <xdr:spPr>
        <a:xfrm>
          <a:off x="546100" y="1035048"/>
          <a:ext cx="6090920" cy="3575051"/>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horz" rtlCol="0" anchor="t"/>
        <a:lstStyle/>
        <a:p>
          <a:r>
            <a:rPr lang="en-US" sz="1100"/>
            <a:t>The purpose of this application is to get stock prices from the Web for any period of time and any chosen stocks. It brings the Web data into a temporary sheet, then it transfers all of the closing stock prices to the ClosingPrices sheet, and then it calculates the stock returns on the Returns sheet. Next, it creates summary data (means, standard deviations, and correlations) for the stock returns on the SummaryMeasures sheet. Finally, it sets up a portfolio selection optimization model on the Model sheet and runs Solver several times to obtain the efficient frontier. The results appear in tabular and graphical form in the EfficientFrontier sheet.
You must enter choices for the starting and ending time periods of interest, as well as a time interval (monthly, weekly, or daily). You must also select the stocks for which you want data. The Stocks sheet has a list of stocks you can choose from.  Before running the application, you can add stocks to this list if you like. But see the note on the Stocks sheet about possible problems.</a:t>
          </a:r>
        </a:p>
        <a:p>
          <a:endParaRPr lang="en-US" sz="1100"/>
        </a:p>
        <a:p>
          <a:r>
            <a:rPr lang="en-US" sz="1100"/>
            <a:t>Due to the peculiarities</a:t>
          </a:r>
          <a:r>
            <a:rPr lang="en-US" sz="1100" baseline="0"/>
            <a:t> of the Yahoo site that this application queries, the application fails to work sometimes. I am convinced that it has to do with browser settings or the Yahoo site, but I'm not sure which settings guarantee success (or failure). Rather than having the application fail with an obscure error message, I changed the application so that if the Web query fails, the </a:t>
          </a:r>
          <a:r>
            <a:rPr lang="en-US" sz="1100" i="1" baseline="0"/>
            <a:t>rest </a:t>
          </a:r>
          <a:r>
            <a:rPr lang="en-US" sz="1100" i="0" baseline="0"/>
            <a:t>of the application starts with </a:t>
          </a:r>
          <a:r>
            <a:rPr lang="en-US" sz="1100" i="1" baseline="0"/>
            <a:t>fixed </a:t>
          </a:r>
          <a:r>
            <a:rPr lang="en-US" sz="1100" i="0" baseline="0"/>
            <a:t>stock price data I downloaded when I created this application. (This fixed data is on the hidden StockPricesFixed sheet.) Of course, unless you replace this fixed data with new data, the application will give the same results every time you run it, but this is better than nothing!</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127000</xdr:colOff>
      <xdr:row>1</xdr:row>
      <xdr:rowOff>177800</xdr:rowOff>
    </xdr:from>
    <xdr:to>
      <xdr:col>10</xdr:col>
      <xdr:colOff>390525</xdr:colOff>
      <xdr:row>16</xdr:row>
      <xdr:rowOff>171449</xdr:rowOff>
    </xdr:to>
    <xdr:sp macro="" textlink="">
      <xdr:nvSpPr>
        <xdr:cNvPr id="3" name="TextBox 2"/>
        <xdr:cNvSpPr txBox="1"/>
      </xdr:nvSpPr>
      <xdr:spPr>
        <a:xfrm>
          <a:off x="2632075" y="368300"/>
          <a:ext cx="5140325" cy="2851149"/>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horz" rtlCol="0" anchor="t"/>
        <a:lstStyle/>
        <a:p>
          <a:r>
            <a:rPr lang="en-US" sz="1100"/>
            <a:t>You can add any other stocks to this list (or delete any).  If you want to add any, enter the stock symbol in column A, the name in column B. However, I suggest you first visit the Web with a URL something like the following:
http://finance.yahoo.com/q/hp?</a:t>
          </a:r>
          <a:r>
            <a:rPr lang="en-US" sz="1100">
              <a:solidFill>
                <a:schemeClr val="dk1"/>
              </a:solidFill>
              <a:latin typeface="+mn-lt"/>
              <a:ea typeface="+mn-ea"/>
              <a:cs typeface="+mn-cs"/>
            </a:rPr>
            <a:t>s=IBM&amp;</a:t>
          </a:r>
          <a:r>
            <a:rPr lang="en-US" sz="1100"/>
            <a:t>a=0&amp;b=1&amp;c=1992&amp;d=3&amp;e=1&amp;f=2008&amp;g=m
This gets monthly prices for IBM from January 1992 through April 2008. In general, you can replace </a:t>
          </a:r>
          <a:r>
            <a:rPr lang="en-US" sz="1100">
              <a:solidFill>
                <a:schemeClr val="dk1"/>
              </a:solidFill>
              <a:latin typeface="+mn-lt"/>
              <a:ea typeface="+mn-ea"/>
              <a:cs typeface="+mn-cs"/>
            </a:rPr>
            <a:t>the s parameter by the stock's ticker symbol, </a:t>
          </a:r>
          <a:r>
            <a:rPr lang="en-US" sz="1100"/>
            <a:t>the a and d by the months (starting at 0) you want, the b and e parameters by the days you want, the c and f parameters by the years you want, and the g parameter by d, w, </a:t>
          </a:r>
          <a:r>
            <a:rPr lang="en-US" sz="1100" baseline="0"/>
            <a:t> or m (daily, weekly, or monthly)</a:t>
          </a:r>
          <a:r>
            <a:rPr lang="en-US" sz="1100"/>
            <a:t>. If any prices are missing, then adding this stock to your portfolio could cause the application to fail.
If you add any stocks to the list, make sure the name of the range that includes the ticker symbols and the company names (columns A, B, starting in row 4) is still </a:t>
          </a:r>
          <a:r>
            <a:rPr lang="en-US" sz="1100" b="1"/>
            <a:t>Stocks</a:t>
          </a:r>
          <a:r>
            <a:rPr lang="en-US" sz="1100"/>
            <a:t>. This range name is used to populate the list of stocks when you run the query.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581024</xdr:colOff>
      <xdr:row>16</xdr:row>
      <xdr:rowOff>19049</xdr:rowOff>
    </xdr:from>
    <xdr:to>
      <xdr:col>13</xdr:col>
      <xdr:colOff>438149</xdr:colOff>
      <xdr:row>36</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1">
    <pageSetUpPr fitToPage="1"/>
  </sheetPr>
  <dimension ref="A1:I62"/>
  <sheetViews>
    <sheetView showGridLines="0" tabSelected="1" workbookViewId="0">
      <selection activeCell="F4" sqref="F4"/>
    </sheetView>
  </sheetViews>
  <sheetFormatPr defaultRowHeight="15"/>
  <cols>
    <col min="1" max="1" width="15.140625" style="1" customWidth="1"/>
    <col min="2" max="16384" width="9.140625" style="2"/>
  </cols>
  <sheetData>
    <row r="1" spans="1:9" ht="12.75" customHeight="1"/>
    <row r="2" spans="1:9" ht="18.75">
      <c r="B2" s="22" t="s">
        <v>46</v>
      </c>
      <c r="C2" s="22"/>
      <c r="D2" s="22"/>
      <c r="E2" s="22"/>
      <c r="F2" s="22"/>
      <c r="G2" s="22"/>
      <c r="H2" s="22"/>
      <c r="I2" s="22"/>
    </row>
    <row r="13" spans="1:9">
      <c r="A13" s="3"/>
    </row>
    <row r="14" spans="1:9" s="5" customFormat="1">
      <c r="A14" s="1"/>
      <c r="B14" s="4"/>
    </row>
    <row r="15" spans="1:9">
      <c r="B15" s="4"/>
    </row>
    <row r="16" spans="1:9">
      <c r="B16" s="4"/>
    </row>
    <row r="17" spans="1:2" ht="12.75" customHeight="1">
      <c r="B17" s="4"/>
    </row>
    <row r="18" spans="1:2">
      <c r="B18" s="4"/>
    </row>
    <row r="19" spans="1:2">
      <c r="B19" s="4"/>
    </row>
    <row r="20" spans="1:2" ht="12.75" customHeight="1">
      <c r="A20" s="3"/>
      <c r="B20" s="4"/>
    </row>
    <row r="21" spans="1:2" ht="12.75" customHeight="1">
      <c r="B21" s="4"/>
    </row>
    <row r="24" spans="1:2" ht="12.75" customHeight="1"/>
    <row r="25" spans="1:2" ht="12.75" customHeight="1"/>
    <row r="28" spans="1:2" ht="12.75" customHeight="1"/>
    <row r="29" spans="1:2" ht="12.75" customHeight="1"/>
    <row r="32" spans="1:2" ht="12.75" customHeight="1"/>
    <row r="33" ht="12.75" customHeight="1"/>
    <row r="34" ht="12.75" customHeight="1"/>
    <row r="36" ht="12.75" customHeight="1"/>
    <row r="38" ht="12.75" customHeight="1"/>
    <row r="40" ht="12.75" customHeight="1"/>
    <row r="42" ht="12.75" customHeight="1"/>
    <row r="44" ht="12.75" customHeight="1"/>
    <row r="46" ht="12.75" customHeight="1"/>
    <row r="49" ht="12.75" customHeight="1"/>
    <row r="50" ht="12.75" customHeight="1"/>
    <row r="52" ht="12.75" customHeight="1"/>
    <row r="54" ht="12.75" customHeight="1"/>
    <row r="56" ht="12.75" customHeight="1"/>
    <row r="58" ht="12.75" customHeight="1"/>
    <row r="61" ht="12.75" customHeight="1"/>
    <row r="62" ht="12.75" customHeight="1"/>
  </sheetData>
  <mergeCells count="1">
    <mergeCell ref="B2:I2"/>
  </mergeCells>
  <phoneticPr fontId="0" type="noConversion"/>
  <pageMargins left="0.75" right="0.75" top="1" bottom="1" header="0.5" footer="0.5"/>
  <pageSetup scale="85"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sheetPr codeName="Sheet2">
    <pageSetUpPr fitToPage="1"/>
  </sheetPr>
  <dimension ref="A1:B31"/>
  <sheetViews>
    <sheetView workbookViewId="0">
      <selection activeCell="N38" sqref="N38"/>
    </sheetView>
  </sheetViews>
  <sheetFormatPr defaultRowHeight="15"/>
  <cols>
    <col min="1" max="1" width="9.140625" style="7"/>
    <col min="2" max="2" width="28.42578125" style="7" bestFit="1" customWidth="1"/>
    <col min="3" max="16384" width="9.140625" style="7"/>
  </cols>
  <sheetData>
    <row r="1" spans="1:2">
      <c r="A1" s="6" t="s">
        <v>0</v>
      </c>
    </row>
    <row r="3" spans="1:2">
      <c r="A3" s="7" t="s">
        <v>1</v>
      </c>
      <c r="B3" s="7" t="s">
        <v>2</v>
      </c>
    </row>
    <row r="4" spans="1:2">
      <c r="A4" s="7" t="s">
        <v>3</v>
      </c>
      <c r="B4" s="7" t="s">
        <v>48</v>
      </c>
    </row>
    <row r="5" spans="1:2">
      <c r="A5" s="7" t="s">
        <v>51</v>
      </c>
      <c r="B5" s="7" t="s">
        <v>52</v>
      </c>
    </row>
    <row r="6" spans="1:2">
      <c r="A6" s="7" t="s">
        <v>4</v>
      </c>
      <c r="B6" s="7" t="s">
        <v>5</v>
      </c>
    </row>
    <row r="7" spans="1:2">
      <c r="A7" s="7" t="s">
        <v>6</v>
      </c>
      <c r="B7" s="7" t="s">
        <v>7</v>
      </c>
    </row>
    <row r="8" spans="1:2">
      <c r="A8" s="7" t="s">
        <v>8</v>
      </c>
      <c r="B8" s="7" t="s">
        <v>9</v>
      </c>
    </row>
    <row r="9" spans="1:2">
      <c r="A9" s="7" t="s">
        <v>49</v>
      </c>
      <c r="B9" s="7" t="s">
        <v>50</v>
      </c>
    </row>
    <row r="10" spans="1:2">
      <c r="A10" s="8" t="s">
        <v>10</v>
      </c>
      <c r="B10" s="8" t="s">
        <v>81</v>
      </c>
    </row>
    <row r="11" spans="1:2">
      <c r="A11" s="8" t="s">
        <v>53</v>
      </c>
      <c r="B11" s="8" t="s">
        <v>54</v>
      </c>
    </row>
    <row r="12" spans="1:2">
      <c r="A12" s="7" t="s">
        <v>11</v>
      </c>
      <c r="B12" s="7" t="s">
        <v>12</v>
      </c>
    </row>
    <row r="13" spans="1:2">
      <c r="A13" s="7" t="s">
        <v>13</v>
      </c>
      <c r="B13" s="7" t="s">
        <v>14</v>
      </c>
    </row>
    <row r="14" spans="1:2">
      <c r="A14" s="7" t="s">
        <v>15</v>
      </c>
      <c r="B14" s="7" t="s">
        <v>16</v>
      </c>
    </row>
    <row r="15" spans="1:2">
      <c r="A15" s="7" t="s">
        <v>17</v>
      </c>
      <c r="B15" s="7" t="s">
        <v>18</v>
      </c>
    </row>
    <row r="16" spans="1:2">
      <c r="A16" s="7" t="s">
        <v>19</v>
      </c>
      <c r="B16" s="7" t="s">
        <v>20</v>
      </c>
    </row>
    <row r="17" spans="1:2">
      <c r="A17" s="7" t="s">
        <v>58</v>
      </c>
      <c r="B17" s="7" t="s">
        <v>55</v>
      </c>
    </row>
    <row r="18" spans="1:2">
      <c r="A18" s="7" t="s">
        <v>21</v>
      </c>
      <c r="B18" s="7" t="s">
        <v>47</v>
      </c>
    </row>
    <row r="19" spans="1:2">
      <c r="A19" s="7" t="s">
        <v>22</v>
      </c>
      <c r="B19" s="7" t="s">
        <v>23</v>
      </c>
    </row>
    <row r="20" spans="1:2">
      <c r="A20" s="7" t="s">
        <v>24</v>
      </c>
      <c r="B20" s="7" t="s">
        <v>25</v>
      </c>
    </row>
    <row r="21" spans="1:2">
      <c r="A21" s="7" t="s">
        <v>26</v>
      </c>
      <c r="B21" s="7" t="s">
        <v>27</v>
      </c>
    </row>
    <row r="22" spans="1:2">
      <c r="A22" s="7" t="s">
        <v>28</v>
      </c>
      <c r="B22" s="7" t="s">
        <v>29</v>
      </c>
    </row>
    <row r="23" spans="1:2">
      <c r="A23" s="7" t="s">
        <v>30</v>
      </c>
      <c r="B23" s="7" t="s">
        <v>31</v>
      </c>
    </row>
    <row r="24" spans="1:2">
      <c r="A24" s="7" t="s">
        <v>32</v>
      </c>
      <c r="B24" s="7" t="s">
        <v>33</v>
      </c>
    </row>
    <row r="25" spans="1:2">
      <c r="A25" s="7" t="s">
        <v>34</v>
      </c>
      <c r="B25" s="7" t="s">
        <v>35</v>
      </c>
    </row>
    <row r="26" spans="1:2">
      <c r="A26" s="7" t="s">
        <v>36</v>
      </c>
      <c r="B26" s="7" t="s">
        <v>37</v>
      </c>
    </row>
    <row r="27" spans="1:2">
      <c r="A27" s="7" t="s">
        <v>56</v>
      </c>
      <c r="B27" s="7" t="s">
        <v>57</v>
      </c>
    </row>
    <row r="28" spans="1:2">
      <c r="A28" s="7" t="s">
        <v>38</v>
      </c>
      <c r="B28" s="7" t="s">
        <v>39</v>
      </c>
    </row>
    <row r="29" spans="1:2">
      <c r="A29" s="7" t="s">
        <v>40</v>
      </c>
      <c r="B29" s="7" t="s">
        <v>41</v>
      </c>
    </row>
    <row r="30" spans="1:2">
      <c r="A30" s="7" t="s">
        <v>42</v>
      </c>
      <c r="B30" s="7" t="s">
        <v>43</v>
      </c>
    </row>
    <row r="31" spans="1:2">
      <c r="A31" s="7" t="s">
        <v>44</v>
      </c>
      <c r="B31" s="7" t="s">
        <v>45</v>
      </c>
    </row>
  </sheetData>
  <phoneticPr fontId="0" type="noConversion"/>
  <printOptions headings="1" gridLines="1"/>
  <pageMargins left="0.75" right="0.75" top="1" bottom="1" header="0.5" footer="0.5"/>
  <pageSetup scale="72" orientation="portrait" r:id="rId1"/>
  <headerFooter alignWithMargins="0"/>
  <drawing r:id="rId2"/>
</worksheet>
</file>

<file path=xl/worksheets/sheet3.xml><?xml version="1.0" encoding="utf-8"?>
<worksheet xmlns="http://schemas.openxmlformats.org/spreadsheetml/2006/main" xmlns:r="http://schemas.openxmlformats.org/officeDocument/2006/relationships">
  <sheetPr codeName="Sheet9"/>
  <dimension ref="A1:S136"/>
  <sheetViews>
    <sheetView workbookViewId="0">
      <selection activeCell="A2" sqref="A2"/>
    </sheetView>
  </sheetViews>
  <sheetFormatPr defaultRowHeight="15"/>
  <cols>
    <col min="1" max="16384" width="9.140625" style="16"/>
  </cols>
  <sheetData>
    <row r="1" spans="1:19">
      <c r="A1" s="20" t="s">
        <v>79</v>
      </c>
    </row>
    <row r="3" spans="1:19">
      <c r="A3" s="19" t="s">
        <v>76</v>
      </c>
      <c r="B3" s="18" t="s">
        <v>3</v>
      </c>
      <c r="C3" s="18" t="s">
        <v>51</v>
      </c>
      <c r="D3" s="18" t="s">
        <v>6</v>
      </c>
      <c r="E3" s="18" t="s">
        <v>8</v>
      </c>
      <c r="F3" s="18" t="s">
        <v>10</v>
      </c>
      <c r="G3" s="18" t="s">
        <v>53</v>
      </c>
      <c r="H3" s="18" t="s">
        <v>11</v>
      </c>
      <c r="I3" s="18" t="s">
        <v>13</v>
      </c>
      <c r="J3" s="18" t="s">
        <v>21</v>
      </c>
      <c r="K3" s="18" t="s">
        <v>24</v>
      </c>
      <c r="L3" s="18" t="s">
        <v>28</v>
      </c>
      <c r="M3" s="18" t="s">
        <v>17</v>
      </c>
      <c r="N3" s="18" t="s">
        <v>30</v>
      </c>
      <c r="O3" s="18" t="s">
        <v>34</v>
      </c>
      <c r="P3" s="18" t="s">
        <v>36</v>
      </c>
      <c r="Q3" s="18" t="s">
        <v>56</v>
      </c>
      <c r="R3" s="18" t="s">
        <v>40</v>
      </c>
      <c r="S3" s="18" t="s">
        <v>44</v>
      </c>
    </row>
    <row r="4" spans="1:19">
      <c r="A4" s="21">
        <v>1</v>
      </c>
      <c r="B4" s="16">
        <v>12.66</v>
      </c>
      <c r="C4" s="16">
        <v>5.22</v>
      </c>
      <c r="D4" s="16">
        <v>44.17</v>
      </c>
      <c r="E4" s="16">
        <v>14.21</v>
      </c>
      <c r="F4" s="16">
        <v>33.21</v>
      </c>
      <c r="G4" s="16">
        <v>20.99</v>
      </c>
      <c r="H4" s="16">
        <v>56.03</v>
      </c>
      <c r="I4" s="16">
        <v>21.73</v>
      </c>
      <c r="J4" s="16">
        <v>34.32</v>
      </c>
      <c r="K4" s="16">
        <v>20.27</v>
      </c>
      <c r="L4" s="16">
        <v>42.67</v>
      </c>
      <c r="M4" s="16">
        <v>27.74</v>
      </c>
      <c r="N4" s="16">
        <v>19.14</v>
      </c>
      <c r="O4" s="16">
        <v>4.9400000000000004</v>
      </c>
      <c r="P4" s="16">
        <v>27.12</v>
      </c>
      <c r="Q4" s="16">
        <v>8.6999999999999993</v>
      </c>
      <c r="R4" s="16">
        <v>16.690000000000001</v>
      </c>
      <c r="S4" s="16">
        <v>10.210000000000001</v>
      </c>
    </row>
    <row r="5" spans="1:19">
      <c r="A5" s="21">
        <v>2</v>
      </c>
      <c r="B5" s="16">
        <v>13.7</v>
      </c>
      <c r="C5" s="16">
        <v>4.16</v>
      </c>
      <c r="D5" s="16">
        <v>44.42</v>
      </c>
      <c r="E5" s="16">
        <v>14.74</v>
      </c>
      <c r="F5" s="16">
        <v>38.68</v>
      </c>
      <c r="G5" s="16">
        <v>21.97</v>
      </c>
      <c r="H5" s="16">
        <v>60.57</v>
      </c>
      <c r="I5" s="16">
        <v>25.03</v>
      </c>
      <c r="J5" s="16">
        <v>35.54</v>
      </c>
      <c r="K5" s="16">
        <v>23.53</v>
      </c>
      <c r="L5" s="16">
        <v>46.93</v>
      </c>
      <c r="M5" s="16">
        <v>29.35</v>
      </c>
      <c r="N5" s="16">
        <v>19.190000000000001</v>
      </c>
      <c r="O5" s="16">
        <v>5.19</v>
      </c>
      <c r="P5" s="16">
        <v>30.87</v>
      </c>
      <c r="Q5" s="16">
        <v>10.74</v>
      </c>
      <c r="R5" s="16">
        <v>17.84</v>
      </c>
      <c r="S5" s="16">
        <v>10.66</v>
      </c>
    </row>
    <row r="6" spans="1:19">
      <c r="A6" s="21">
        <v>3</v>
      </c>
      <c r="B6" s="16">
        <v>14.19</v>
      </c>
      <c r="C6" s="16">
        <v>4.0599999999999996</v>
      </c>
      <c r="D6" s="16">
        <v>42.31</v>
      </c>
      <c r="E6" s="16">
        <v>14.85</v>
      </c>
      <c r="F6" s="16">
        <v>38.04</v>
      </c>
      <c r="G6" s="16">
        <v>22.38</v>
      </c>
      <c r="H6" s="16">
        <v>62.97</v>
      </c>
      <c r="I6" s="16">
        <v>25.15</v>
      </c>
      <c r="J6" s="16">
        <v>32.64</v>
      </c>
      <c r="K6" s="16">
        <v>23.5</v>
      </c>
      <c r="L6" s="16">
        <v>49.46</v>
      </c>
      <c r="M6" s="16">
        <v>29.05</v>
      </c>
      <c r="N6" s="16">
        <v>18.27</v>
      </c>
      <c r="O6" s="16">
        <v>5.91</v>
      </c>
      <c r="P6" s="16">
        <v>31.38</v>
      </c>
      <c r="Q6" s="16">
        <v>10.26</v>
      </c>
      <c r="R6" s="16">
        <v>18.649999999999999</v>
      </c>
      <c r="S6" s="16">
        <v>11.84</v>
      </c>
    </row>
    <row r="7" spans="1:19">
      <c r="A7" s="21">
        <v>4</v>
      </c>
      <c r="B7" s="16">
        <v>13.55</v>
      </c>
      <c r="C7" s="16">
        <v>4.5599999999999996</v>
      </c>
      <c r="D7" s="16">
        <v>41.01</v>
      </c>
      <c r="E7" s="16">
        <v>15.23</v>
      </c>
      <c r="F7" s="16">
        <v>37.6</v>
      </c>
      <c r="G7" s="16">
        <v>21.97</v>
      </c>
      <c r="H7" s="16">
        <v>53.32</v>
      </c>
      <c r="I7" s="16">
        <v>25.46</v>
      </c>
      <c r="J7" s="16">
        <v>31.16</v>
      </c>
      <c r="K7" s="16">
        <v>21.61</v>
      </c>
      <c r="L7" s="16">
        <v>45.31</v>
      </c>
      <c r="M7" s="16">
        <v>27.79</v>
      </c>
      <c r="N7" s="16">
        <v>19.96</v>
      </c>
      <c r="O7" s="16">
        <v>5.03</v>
      </c>
      <c r="P7" s="16">
        <v>28.83</v>
      </c>
      <c r="Q7" s="16">
        <v>9.65</v>
      </c>
      <c r="R7" s="16">
        <v>17.16</v>
      </c>
      <c r="S7" s="16">
        <v>12.54</v>
      </c>
    </row>
    <row r="8" spans="1:19">
      <c r="A8" s="21">
        <v>5</v>
      </c>
      <c r="B8" s="16">
        <v>13.97</v>
      </c>
      <c r="C8" s="16">
        <v>4.25</v>
      </c>
      <c r="D8" s="16">
        <v>41.01</v>
      </c>
      <c r="E8" s="16">
        <v>16.98</v>
      </c>
      <c r="F8" s="16">
        <v>37.64</v>
      </c>
      <c r="G8" s="16">
        <v>24.69</v>
      </c>
      <c r="H8" s="16">
        <v>58.32</v>
      </c>
      <c r="I8" s="16">
        <v>26.37</v>
      </c>
      <c r="J8" s="16">
        <v>36.44</v>
      </c>
      <c r="K8" s="16">
        <v>24.98</v>
      </c>
      <c r="L8" s="16">
        <v>51.71</v>
      </c>
      <c r="M8" s="16">
        <v>29.05</v>
      </c>
      <c r="N8" s="16">
        <v>22.6</v>
      </c>
      <c r="O8" s="16">
        <v>5.21</v>
      </c>
      <c r="P8" s="16">
        <v>30.92</v>
      </c>
      <c r="Q8" s="16">
        <v>12.79</v>
      </c>
      <c r="R8" s="16">
        <v>18.14</v>
      </c>
      <c r="S8" s="16">
        <v>12.65</v>
      </c>
    </row>
    <row r="9" spans="1:19">
      <c r="A9" s="21">
        <v>6</v>
      </c>
      <c r="B9" s="16">
        <v>14.72</v>
      </c>
      <c r="C9" s="16">
        <v>4.16</v>
      </c>
      <c r="D9" s="16">
        <v>43.94</v>
      </c>
      <c r="E9" s="16">
        <v>18.62</v>
      </c>
      <c r="F9" s="16">
        <v>38.75</v>
      </c>
      <c r="G9" s="16">
        <v>24.72</v>
      </c>
      <c r="H9" s="16">
        <v>58.45</v>
      </c>
      <c r="I9" s="16">
        <v>25.58</v>
      </c>
      <c r="J9" s="16">
        <v>39.28</v>
      </c>
      <c r="K9" s="16">
        <v>24.61</v>
      </c>
      <c r="L9" s="16">
        <v>55.67</v>
      </c>
      <c r="M9" s="16">
        <v>29.04</v>
      </c>
      <c r="N9" s="16">
        <v>21.26</v>
      </c>
      <c r="O9" s="16">
        <v>5.82</v>
      </c>
      <c r="P9" s="16">
        <v>30.75</v>
      </c>
      <c r="Q9" s="16">
        <v>13.05</v>
      </c>
      <c r="R9" s="16">
        <v>19.13</v>
      </c>
      <c r="S9" s="16">
        <v>13.44</v>
      </c>
    </row>
    <row r="10" spans="1:19">
      <c r="A10" s="21">
        <v>7</v>
      </c>
      <c r="B10" s="16">
        <v>15.07</v>
      </c>
      <c r="C10" s="16">
        <v>3.56</v>
      </c>
      <c r="D10" s="16">
        <v>44.25</v>
      </c>
      <c r="E10" s="16">
        <v>20.48</v>
      </c>
      <c r="F10" s="16">
        <v>44.87</v>
      </c>
      <c r="G10" s="16">
        <v>24.24</v>
      </c>
      <c r="H10" s="16">
        <v>54.14</v>
      </c>
      <c r="I10" s="16">
        <v>28.27</v>
      </c>
      <c r="J10" s="16">
        <v>40.98</v>
      </c>
      <c r="K10" s="16">
        <v>26.4</v>
      </c>
      <c r="L10" s="16">
        <v>55.38</v>
      </c>
      <c r="M10" s="16">
        <v>28.22</v>
      </c>
      <c r="N10" s="16">
        <v>20.440000000000001</v>
      </c>
      <c r="O10" s="16">
        <v>5.91</v>
      </c>
      <c r="P10" s="16">
        <v>35.18</v>
      </c>
      <c r="Q10" s="16">
        <v>13.3</v>
      </c>
      <c r="R10" s="16">
        <v>20.23</v>
      </c>
      <c r="S10" s="16">
        <v>15.24</v>
      </c>
    </row>
    <row r="11" spans="1:19">
      <c r="A11" s="21">
        <v>8</v>
      </c>
      <c r="B11" s="16">
        <v>17.690000000000001</v>
      </c>
      <c r="C11" s="16">
        <v>4.38</v>
      </c>
      <c r="D11" s="16">
        <v>48.94</v>
      </c>
      <c r="E11" s="16">
        <v>21.46</v>
      </c>
      <c r="F11" s="16">
        <v>47.85</v>
      </c>
      <c r="G11" s="16">
        <v>24.45</v>
      </c>
      <c r="H11" s="16">
        <v>47.26</v>
      </c>
      <c r="I11" s="16">
        <v>31.53</v>
      </c>
      <c r="J11" s="16">
        <v>48.02</v>
      </c>
      <c r="K11" s="16">
        <v>25.48</v>
      </c>
      <c r="L11" s="16">
        <v>56.29</v>
      </c>
      <c r="M11" s="16">
        <v>31.32</v>
      </c>
      <c r="N11" s="16">
        <v>22.74</v>
      </c>
      <c r="O11" s="16">
        <v>6.02</v>
      </c>
      <c r="P11" s="16">
        <v>35.71</v>
      </c>
      <c r="Q11" s="16">
        <v>14.88</v>
      </c>
      <c r="R11" s="16">
        <v>19.489999999999998</v>
      </c>
      <c r="S11" s="16">
        <v>16.91</v>
      </c>
    </row>
    <row r="12" spans="1:19">
      <c r="A12" s="21">
        <v>9</v>
      </c>
      <c r="B12" s="16">
        <v>16.489999999999998</v>
      </c>
      <c r="C12" s="16">
        <v>5.44</v>
      </c>
      <c r="D12" s="16">
        <v>45.56</v>
      </c>
      <c r="E12" s="16">
        <v>22.25</v>
      </c>
      <c r="F12" s="16">
        <v>44.67</v>
      </c>
      <c r="G12" s="16">
        <v>23.24</v>
      </c>
      <c r="H12" s="16">
        <v>46.41</v>
      </c>
      <c r="I12" s="16">
        <v>32.450000000000003</v>
      </c>
      <c r="J12" s="16">
        <v>46.12</v>
      </c>
      <c r="K12" s="16">
        <v>23.34</v>
      </c>
      <c r="L12" s="16">
        <v>46.67</v>
      </c>
      <c r="M12" s="16">
        <v>32.020000000000003</v>
      </c>
      <c r="N12" s="16">
        <v>20.05</v>
      </c>
      <c r="O12" s="16">
        <v>5.83</v>
      </c>
      <c r="P12" s="16">
        <v>31.57</v>
      </c>
      <c r="Q12" s="16">
        <v>13.92</v>
      </c>
      <c r="R12" s="16">
        <v>17.91</v>
      </c>
      <c r="S12" s="16">
        <v>16.010000000000002</v>
      </c>
    </row>
    <row r="13" spans="1:19">
      <c r="A13" s="21">
        <v>10</v>
      </c>
      <c r="B13" s="16">
        <v>16.440000000000001</v>
      </c>
      <c r="C13" s="16">
        <v>5.42</v>
      </c>
      <c r="D13" s="16">
        <v>45.51</v>
      </c>
      <c r="E13" s="16">
        <v>20.67</v>
      </c>
      <c r="F13" s="16">
        <v>44.13</v>
      </c>
      <c r="G13" s="16">
        <v>24.39</v>
      </c>
      <c r="H13" s="16">
        <v>46.11</v>
      </c>
      <c r="I13" s="16">
        <v>39.07</v>
      </c>
      <c r="J13" s="16">
        <v>48.23</v>
      </c>
      <c r="K13" s="16">
        <v>23.75</v>
      </c>
      <c r="L13" s="16">
        <v>49.8</v>
      </c>
      <c r="M13" s="16">
        <v>34.159999999999997</v>
      </c>
      <c r="N13" s="16">
        <v>20.18</v>
      </c>
      <c r="O13" s="16">
        <v>5.6</v>
      </c>
      <c r="P13" s="16">
        <v>34.520000000000003</v>
      </c>
      <c r="Q13" s="16">
        <v>13.93</v>
      </c>
      <c r="R13" s="16">
        <v>20.23</v>
      </c>
      <c r="S13" s="16">
        <v>16.55</v>
      </c>
    </row>
    <row r="14" spans="1:19">
      <c r="A14" s="21">
        <v>11</v>
      </c>
      <c r="B14" s="16">
        <v>14.64</v>
      </c>
      <c r="C14" s="16">
        <v>4.26</v>
      </c>
      <c r="D14" s="16">
        <v>40.130000000000003</v>
      </c>
      <c r="E14" s="16">
        <v>19.72</v>
      </c>
      <c r="F14" s="16">
        <v>40.78</v>
      </c>
      <c r="G14" s="16">
        <v>24.96</v>
      </c>
      <c r="H14" s="16">
        <v>42.51</v>
      </c>
      <c r="I14" s="16">
        <v>32.6</v>
      </c>
      <c r="J14" s="16">
        <v>44.81</v>
      </c>
      <c r="K14" s="16">
        <v>23.62</v>
      </c>
      <c r="L14" s="16">
        <v>46.23</v>
      </c>
      <c r="M14" s="16">
        <v>32.76</v>
      </c>
      <c r="N14" s="16">
        <v>18.989999999999998</v>
      </c>
      <c r="O14" s="16">
        <v>5.34</v>
      </c>
      <c r="P14" s="16">
        <v>30.83</v>
      </c>
      <c r="Q14" s="16">
        <v>13.69</v>
      </c>
      <c r="R14" s="16">
        <v>21.1</v>
      </c>
      <c r="S14" s="16">
        <v>15.81</v>
      </c>
    </row>
    <row r="15" spans="1:19">
      <c r="A15" s="21">
        <v>12</v>
      </c>
      <c r="B15" s="16">
        <v>13.53</v>
      </c>
      <c r="C15" s="16">
        <v>4.4400000000000004</v>
      </c>
      <c r="D15" s="16">
        <v>44.55</v>
      </c>
      <c r="E15" s="16">
        <v>18.45</v>
      </c>
      <c r="F15" s="16">
        <v>43.64</v>
      </c>
      <c r="G15" s="16">
        <v>28.76</v>
      </c>
      <c r="H15" s="16">
        <v>43.36</v>
      </c>
      <c r="I15" s="16">
        <v>32.75</v>
      </c>
      <c r="J15" s="16">
        <v>49.92</v>
      </c>
      <c r="K15" s="16">
        <v>26.01</v>
      </c>
      <c r="L15" s="16">
        <v>51.13</v>
      </c>
      <c r="M15" s="16">
        <v>31.34</v>
      </c>
      <c r="N15" s="16">
        <v>20.59</v>
      </c>
      <c r="O15" s="16">
        <v>5.86</v>
      </c>
      <c r="P15" s="16">
        <v>32.76</v>
      </c>
      <c r="Q15" s="16">
        <v>14.9</v>
      </c>
      <c r="R15" s="16">
        <v>24.08</v>
      </c>
      <c r="S15" s="16">
        <v>18.100000000000001</v>
      </c>
    </row>
    <row r="16" spans="1:19">
      <c r="A16" s="21">
        <v>13</v>
      </c>
      <c r="B16" s="16">
        <v>14.16</v>
      </c>
      <c r="C16" s="16">
        <v>3.28</v>
      </c>
      <c r="D16" s="16">
        <v>41.04</v>
      </c>
      <c r="E16" s="16">
        <v>18.66</v>
      </c>
      <c r="F16" s="16">
        <v>43.28</v>
      </c>
      <c r="G16" s="16">
        <v>29.99</v>
      </c>
      <c r="H16" s="16">
        <v>43.31</v>
      </c>
      <c r="I16" s="16">
        <v>29.82</v>
      </c>
      <c r="J16" s="16">
        <v>47.69</v>
      </c>
      <c r="K16" s="16">
        <v>27.22</v>
      </c>
      <c r="L16" s="16">
        <v>54.56</v>
      </c>
      <c r="M16" s="16">
        <v>33.11</v>
      </c>
      <c r="N16" s="16">
        <v>20.27</v>
      </c>
      <c r="O16" s="16">
        <v>6.15</v>
      </c>
      <c r="P16" s="16">
        <v>36.79</v>
      </c>
      <c r="Q16" s="16">
        <v>13.61</v>
      </c>
      <c r="R16" s="16">
        <v>24.29</v>
      </c>
      <c r="S16" s="16">
        <v>17.84</v>
      </c>
    </row>
    <row r="17" spans="1:19">
      <c r="A17" s="21">
        <v>14</v>
      </c>
      <c r="B17" s="16">
        <v>15.36</v>
      </c>
      <c r="C17" s="16">
        <v>4.58</v>
      </c>
      <c r="D17" s="16">
        <v>39.94</v>
      </c>
      <c r="E17" s="16">
        <v>18.57</v>
      </c>
      <c r="F17" s="16">
        <v>40.81</v>
      </c>
      <c r="G17" s="16">
        <v>32.42</v>
      </c>
      <c r="H17" s="16">
        <v>46.66</v>
      </c>
      <c r="I17" s="16">
        <v>31.78</v>
      </c>
      <c r="J17" s="16">
        <v>45.02</v>
      </c>
      <c r="K17" s="16">
        <v>27.66</v>
      </c>
      <c r="L17" s="16">
        <v>52.97</v>
      </c>
      <c r="M17" s="16">
        <v>31.58</v>
      </c>
      <c r="N17" s="16">
        <v>20</v>
      </c>
      <c r="O17" s="16">
        <v>5.64</v>
      </c>
      <c r="P17" s="16">
        <v>40.74</v>
      </c>
      <c r="Q17" s="16">
        <v>15.71</v>
      </c>
      <c r="R17" s="16">
        <v>25.94</v>
      </c>
      <c r="S17" s="16">
        <v>18.010000000000002</v>
      </c>
    </row>
    <row r="18" spans="1:19">
      <c r="A18" s="21">
        <v>15</v>
      </c>
      <c r="B18" s="16">
        <v>14.83</v>
      </c>
      <c r="C18" s="16">
        <v>5.91</v>
      </c>
      <c r="D18" s="16">
        <v>45.62</v>
      </c>
      <c r="E18" s="16">
        <v>21.11</v>
      </c>
      <c r="F18" s="16">
        <v>44.41</v>
      </c>
      <c r="G18" s="16">
        <v>33.96</v>
      </c>
      <c r="H18" s="16">
        <v>47.25</v>
      </c>
      <c r="I18" s="16">
        <v>31.1</v>
      </c>
      <c r="J18" s="16">
        <v>47.71</v>
      </c>
      <c r="K18" s="16">
        <v>31.24</v>
      </c>
      <c r="L18" s="16">
        <v>56.14</v>
      </c>
      <c r="M18" s="16">
        <v>37.869999999999997</v>
      </c>
      <c r="N18" s="16">
        <v>23.19</v>
      </c>
      <c r="O18" s="16">
        <v>5.91</v>
      </c>
      <c r="P18" s="16">
        <v>44.27</v>
      </c>
      <c r="Q18" s="16">
        <v>17.84</v>
      </c>
      <c r="R18" s="16">
        <v>25.23</v>
      </c>
      <c r="S18" s="16">
        <v>20.95</v>
      </c>
    </row>
    <row r="19" spans="1:19">
      <c r="A19" s="21">
        <v>16</v>
      </c>
      <c r="B19" s="16">
        <v>13.91</v>
      </c>
      <c r="C19" s="16">
        <v>6.88</v>
      </c>
      <c r="D19" s="16">
        <v>43.84</v>
      </c>
      <c r="E19" s="16">
        <v>21.3</v>
      </c>
      <c r="F19" s="16">
        <v>49.25</v>
      </c>
      <c r="G19" s="16">
        <v>32.39</v>
      </c>
      <c r="H19" s="16">
        <v>46.71</v>
      </c>
      <c r="I19" s="16">
        <v>34.74</v>
      </c>
      <c r="J19" s="16">
        <v>47.45</v>
      </c>
      <c r="K19" s="16">
        <v>30.44</v>
      </c>
      <c r="L19" s="16">
        <v>63.49</v>
      </c>
      <c r="M19" s="16">
        <v>37.22</v>
      </c>
      <c r="N19" s="16">
        <v>25.51</v>
      </c>
      <c r="O19" s="16">
        <v>5.72</v>
      </c>
      <c r="P19" s="16">
        <v>44.65</v>
      </c>
      <c r="Q19" s="16">
        <v>18.84</v>
      </c>
      <c r="R19" s="16">
        <v>28.93</v>
      </c>
      <c r="S19" s="16">
        <v>23.02</v>
      </c>
    </row>
    <row r="20" spans="1:19">
      <c r="A20" s="21">
        <v>17</v>
      </c>
      <c r="B20" s="16">
        <v>15.67</v>
      </c>
      <c r="C20" s="16">
        <v>6.84</v>
      </c>
      <c r="D20" s="16">
        <v>42.1</v>
      </c>
      <c r="E20" s="16">
        <v>22.13</v>
      </c>
      <c r="F20" s="16">
        <v>52.73</v>
      </c>
      <c r="G20" s="16">
        <v>37.840000000000003</v>
      </c>
      <c r="H20" s="16">
        <v>51.98</v>
      </c>
      <c r="I20" s="16">
        <v>33.21</v>
      </c>
      <c r="J20" s="16">
        <v>52.93</v>
      </c>
      <c r="K20" s="16">
        <v>29.64</v>
      </c>
      <c r="L20" s="16">
        <v>62.2</v>
      </c>
      <c r="M20" s="16">
        <v>37.01</v>
      </c>
      <c r="N20" s="16">
        <v>26.31</v>
      </c>
      <c r="O20" s="16">
        <v>5.09</v>
      </c>
      <c r="P20" s="16">
        <v>41.97</v>
      </c>
      <c r="Q20" s="16">
        <v>18.98</v>
      </c>
      <c r="R20" s="16">
        <v>27.8</v>
      </c>
      <c r="S20" s="16">
        <v>22.91</v>
      </c>
    </row>
    <row r="21" spans="1:19">
      <c r="A21" s="21">
        <v>18</v>
      </c>
      <c r="B21" s="16">
        <v>14.07</v>
      </c>
      <c r="C21" s="16">
        <v>6.66</v>
      </c>
      <c r="D21" s="16">
        <v>40.270000000000003</v>
      </c>
      <c r="E21" s="16">
        <v>21.35</v>
      </c>
      <c r="F21" s="16">
        <v>56.15</v>
      </c>
      <c r="G21" s="16">
        <v>34.409999999999997</v>
      </c>
      <c r="H21" s="16">
        <v>51.71</v>
      </c>
      <c r="I21" s="16">
        <v>31.32</v>
      </c>
      <c r="J21" s="16">
        <v>53.77</v>
      </c>
      <c r="K21" s="16">
        <v>28.72</v>
      </c>
      <c r="L21" s="16">
        <v>64.25</v>
      </c>
      <c r="M21" s="16">
        <v>39.76</v>
      </c>
      <c r="N21" s="16">
        <v>27.93</v>
      </c>
      <c r="O21" s="16">
        <v>5.13</v>
      </c>
      <c r="P21" s="16">
        <v>40.75</v>
      </c>
      <c r="Q21" s="16">
        <v>17.86</v>
      </c>
      <c r="R21" s="16">
        <v>26.08</v>
      </c>
      <c r="S21" s="16">
        <v>24.98</v>
      </c>
    </row>
    <row r="22" spans="1:19">
      <c r="A22" s="21">
        <v>19</v>
      </c>
      <c r="B22" s="16">
        <v>13.37</v>
      </c>
      <c r="C22" s="16">
        <v>7.17</v>
      </c>
      <c r="D22" s="16">
        <v>37.58</v>
      </c>
      <c r="E22" s="16">
        <v>20.56</v>
      </c>
      <c r="F22" s="16">
        <v>54.33</v>
      </c>
      <c r="G22" s="16">
        <v>31.92</v>
      </c>
      <c r="H22" s="16">
        <v>52.93</v>
      </c>
      <c r="I22" s="16">
        <v>30.65</v>
      </c>
      <c r="J22" s="16">
        <v>52.54</v>
      </c>
      <c r="K22" s="16">
        <v>30.78</v>
      </c>
      <c r="L22" s="16">
        <v>70.22</v>
      </c>
      <c r="M22" s="16">
        <v>36.96</v>
      </c>
      <c r="N22" s="16">
        <v>29.37</v>
      </c>
      <c r="O22" s="16">
        <v>5.46</v>
      </c>
      <c r="P22" s="16">
        <v>46.77</v>
      </c>
      <c r="Q22" s="16">
        <v>22.82</v>
      </c>
      <c r="R22" s="16">
        <v>26.83</v>
      </c>
      <c r="S22" s="16">
        <v>27.57</v>
      </c>
    </row>
    <row r="23" spans="1:19">
      <c r="A23" s="21">
        <v>20</v>
      </c>
      <c r="B23" s="16">
        <v>14.06</v>
      </c>
      <c r="C23" s="16">
        <v>8.66</v>
      </c>
      <c r="D23" s="16">
        <v>32.729999999999997</v>
      </c>
      <c r="E23" s="16">
        <v>18.96</v>
      </c>
      <c r="F23" s="16">
        <v>45.1</v>
      </c>
      <c r="G23" s="16">
        <v>31.43</v>
      </c>
      <c r="H23" s="16">
        <v>60.76</v>
      </c>
      <c r="I23" s="16">
        <v>29.64</v>
      </c>
      <c r="J23" s="16">
        <v>60.64</v>
      </c>
      <c r="K23" s="16">
        <v>32.130000000000003</v>
      </c>
      <c r="L23" s="16">
        <v>66.12</v>
      </c>
      <c r="M23" s="16">
        <v>40.01</v>
      </c>
      <c r="N23" s="16">
        <v>28.44</v>
      </c>
      <c r="O23" s="16">
        <v>6.07</v>
      </c>
      <c r="P23" s="16">
        <v>43.21</v>
      </c>
      <c r="Q23" s="16">
        <v>23.15</v>
      </c>
      <c r="R23" s="16">
        <v>27.63</v>
      </c>
      <c r="S23" s="16">
        <v>28.65</v>
      </c>
    </row>
    <row r="24" spans="1:19">
      <c r="A24" s="21">
        <v>21</v>
      </c>
      <c r="B24" s="16">
        <v>12.19</v>
      </c>
      <c r="C24" s="16">
        <v>7.8</v>
      </c>
      <c r="D24" s="16">
        <v>26.19</v>
      </c>
      <c r="E24" s="16">
        <v>16.41</v>
      </c>
      <c r="F24" s="16">
        <v>42.35</v>
      </c>
      <c r="G24" s="16">
        <v>25.05</v>
      </c>
      <c r="H24" s="16">
        <v>56.9</v>
      </c>
      <c r="I24" s="16">
        <v>24.45</v>
      </c>
      <c r="J24" s="16">
        <v>51.63</v>
      </c>
      <c r="K24" s="16">
        <v>28.79</v>
      </c>
      <c r="L24" s="16">
        <v>53.48</v>
      </c>
      <c r="M24" s="16">
        <v>32.39</v>
      </c>
      <c r="N24" s="16">
        <v>24.03</v>
      </c>
      <c r="O24" s="16">
        <v>5.76</v>
      </c>
      <c r="P24" s="16">
        <v>40.54</v>
      </c>
      <c r="Q24" s="16">
        <v>20.2</v>
      </c>
      <c r="R24" s="16">
        <v>25.68</v>
      </c>
      <c r="S24" s="16">
        <v>26.77</v>
      </c>
    </row>
    <row r="25" spans="1:19">
      <c r="A25" s="21">
        <v>22</v>
      </c>
      <c r="B25" s="16">
        <v>14.46</v>
      </c>
      <c r="C25" s="16">
        <v>9.5299999999999994</v>
      </c>
      <c r="D25" s="16">
        <v>29.04</v>
      </c>
      <c r="E25" s="16">
        <v>17.39</v>
      </c>
      <c r="F25" s="16">
        <v>41.16</v>
      </c>
      <c r="G25" s="16">
        <v>23.16</v>
      </c>
      <c r="H25" s="16">
        <v>55.99</v>
      </c>
      <c r="I25" s="16">
        <v>21.89</v>
      </c>
      <c r="J25" s="16">
        <v>58.91</v>
      </c>
      <c r="K25" s="16">
        <v>32.65</v>
      </c>
      <c r="L25" s="16">
        <v>47.45</v>
      </c>
      <c r="M25" s="16">
        <v>30.58</v>
      </c>
      <c r="N25" s="16">
        <v>25.45</v>
      </c>
      <c r="O25" s="16">
        <v>6.48</v>
      </c>
      <c r="P25" s="16">
        <v>45.51</v>
      </c>
      <c r="Q25" s="16">
        <v>23.17</v>
      </c>
      <c r="R25" s="16">
        <v>29.95</v>
      </c>
      <c r="S25" s="16">
        <v>24.82</v>
      </c>
    </row>
    <row r="26" spans="1:19">
      <c r="A26" s="21">
        <v>23</v>
      </c>
      <c r="B26" s="16">
        <v>16.13</v>
      </c>
      <c r="C26" s="16">
        <v>9.2799999999999994</v>
      </c>
      <c r="D26" s="16">
        <v>31.79</v>
      </c>
      <c r="E26" s="16">
        <v>17.670000000000002</v>
      </c>
      <c r="F26" s="16">
        <v>42.26</v>
      </c>
      <c r="G26" s="16">
        <v>24.64</v>
      </c>
      <c r="H26" s="16">
        <v>56.44</v>
      </c>
      <c r="I26" s="16">
        <v>25.67</v>
      </c>
      <c r="J26" s="16">
        <v>68.069999999999993</v>
      </c>
      <c r="K26" s="16">
        <v>34.01</v>
      </c>
      <c r="L26" s="16">
        <v>55.63</v>
      </c>
      <c r="M26" s="16">
        <v>35.21</v>
      </c>
      <c r="N26" s="16">
        <v>28.59</v>
      </c>
      <c r="O26" s="16">
        <v>7.16</v>
      </c>
      <c r="P26" s="16">
        <v>47.44</v>
      </c>
      <c r="Q26" s="16">
        <v>22.29</v>
      </c>
      <c r="R26" s="16">
        <v>31.4</v>
      </c>
      <c r="S26" s="16">
        <v>31.38</v>
      </c>
    </row>
    <row r="27" spans="1:19">
      <c r="A27" s="21">
        <v>24</v>
      </c>
      <c r="B27" s="16">
        <v>15.17</v>
      </c>
      <c r="C27" s="16">
        <v>7.99</v>
      </c>
      <c r="D27" s="16">
        <v>34.51</v>
      </c>
      <c r="E27" s="16">
        <v>19.440000000000001</v>
      </c>
      <c r="F27" s="16">
        <v>43.33</v>
      </c>
      <c r="G27" s="16">
        <v>29.44</v>
      </c>
      <c r="H27" s="16">
        <v>53.2</v>
      </c>
      <c r="I27" s="16">
        <v>31.68</v>
      </c>
      <c r="J27" s="16">
        <v>75.81</v>
      </c>
      <c r="K27" s="16">
        <v>34.01</v>
      </c>
      <c r="L27" s="16">
        <v>57.8</v>
      </c>
      <c r="M27" s="16">
        <v>39.22</v>
      </c>
      <c r="N27" s="16">
        <v>29.9</v>
      </c>
      <c r="O27" s="16">
        <v>7.83</v>
      </c>
      <c r="P27" s="16">
        <v>54.49</v>
      </c>
      <c r="Q27" s="16">
        <v>25.69</v>
      </c>
      <c r="R27" s="16">
        <v>32.51</v>
      </c>
      <c r="S27" s="16">
        <v>34.22</v>
      </c>
    </row>
    <row r="28" spans="1:19">
      <c r="A28" s="21">
        <v>25</v>
      </c>
      <c r="B28" s="16">
        <v>15.23</v>
      </c>
      <c r="C28" s="16">
        <v>10.23</v>
      </c>
      <c r="D28" s="16">
        <v>27.71</v>
      </c>
      <c r="E28" s="16">
        <v>18.09</v>
      </c>
      <c r="F28" s="16">
        <v>39.049999999999997</v>
      </c>
      <c r="G28" s="16">
        <v>27.44</v>
      </c>
      <c r="H28" s="16">
        <v>52.75</v>
      </c>
      <c r="I28" s="16">
        <v>43.56</v>
      </c>
      <c r="J28" s="16">
        <v>84.65</v>
      </c>
      <c r="K28" s="16">
        <v>35.1</v>
      </c>
      <c r="L28" s="16">
        <v>55.28</v>
      </c>
      <c r="M28" s="16">
        <v>40.17</v>
      </c>
      <c r="N28" s="16">
        <v>32.79</v>
      </c>
      <c r="O28" s="16">
        <v>7.55</v>
      </c>
      <c r="P28" s="16">
        <v>51.99</v>
      </c>
      <c r="Q28" s="16">
        <v>29.2</v>
      </c>
      <c r="R28" s="16">
        <v>36.369999999999997</v>
      </c>
      <c r="S28" s="16">
        <v>37.04</v>
      </c>
    </row>
    <row r="29" spans="1:19">
      <c r="A29" s="21">
        <v>26</v>
      </c>
      <c r="B29" s="16">
        <v>17.07</v>
      </c>
      <c r="C29" s="16">
        <v>10.3</v>
      </c>
      <c r="D29" s="16">
        <v>29.46</v>
      </c>
      <c r="E29" s="16">
        <v>17.14</v>
      </c>
      <c r="F29" s="16">
        <v>37.67</v>
      </c>
      <c r="G29" s="16">
        <v>30.18</v>
      </c>
      <c r="H29" s="16">
        <v>47.89</v>
      </c>
      <c r="I29" s="16">
        <v>39.770000000000003</v>
      </c>
      <c r="J29" s="16">
        <v>84.13</v>
      </c>
      <c r="K29" s="16">
        <v>35.630000000000003</v>
      </c>
      <c r="L29" s="16">
        <v>53.88</v>
      </c>
      <c r="M29" s="16">
        <v>50.38</v>
      </c>
      <c r="N29" s="16">
        <v>33.64</v>
      </c>
      <c r="O29" s="16">
        <v>6.62</v>
      </c>
      <c r="P29" s="16">
        <v>51.72</v>
      </c>
      <c r="Q29" s="16">
        <v>36.85</v>
      </c>
      <c r="R29" s="16">
        <v>36.78</v>
      </c>
      <c r="S29" s="16">
        <v>39.11</v>
      </c>
    </row>
    <row r="30" spans="1:19">
      <c r="A30" s="21">
        <v>27</v>
      </c>
      <c r="B30" s="16">
        <v>16.62</v>
      </c>
      <c r="C30" s="16">
        <v>8.6999999999999993</v>
      </c>
      <c r="D30" s="16">
        <v>30.37</v>
      </c>
      <c r="E30" s="16">
        <v>18.03</v>
      </c>
      <c r="F30" s="16">
        <v>38.01</v>
      </c>
      <c r="G30" s="16">
        <v>32.19</v>
      </c>
      <c r="H30" s="16">
        <v>48.8</v>
      </c>
      <c r="I30" s="16">
        <v>46.52</v>
      </c>
      <c r="J30" s="16">
        <v>78.03</v>
      </c>
      <c r="K30" s="16">
        <v>35.840000000000003</v>
      </c>
      <c r="L30" s="16">
        <v>52.7</v>
      </c>
      <c r="M30" s="16">
        <v>46.6</v>
      </c>
      <c r="N30" s="16">
        <v>36.28</v>
      </c>
      <c r="O30" s="16">
        <v>5.53</v>
      </c>
      <c r="P30" s="16">
        <v>57.45</v>
      </c>
      <c r="Q30" s="16">
        <v>31.61</v>
      </c>
      <c r="R30" s="16">
        <v>36.020000000000003</v>
      </c>
      <c r="S30" s="16">
        <v>39.17</v>
      </c>
    </row>
    <row r="31" spans="1:19">
      <c r="A31" s="21">
        <v>28</v>
      </c>
      <c r="B31" s="16">
        <v>16.91</v>
      </c>
      <c r="C31" s="16">
        <v>8.98</v>
      </c>
      <c r="D31" s="16">
        <v>28.98</v>
      </c>
      <c r="E31" s="16">
        <v>18.18</v>
      </c>
      <c r="F31" s="16">
        <v>43.01</v>
      </c>
      <c r="G31" s="16">
        <v>28.46</v>
      </c>
      <c r="H31" s="16">
        <v>47.1</v>
      </c>
      <c r="I31" s="16">
        <v>45.42</v>
      </c>
      <c r="J31" s="16">
        <v>81.48</v>
      </c>
      <c r="K31" s="16">
        <v>39.25</v>
      </c>
      <c r="L31" s="16">
        <v>50.77</v>
      </c>
      <c r="M31" s="16">
        <v>49.1</v>
      </c>
      <c r="N31" s="16">
        <v>38.72</v>
      </c>
      <c r="O31" s="16">
        <v>5.0199999999999996</v>
      </c>
      <c r="P31" s="16">
        <v>56.67</v>
      </c>
      <c r="Q31" s="16">
        <v>37.74</v>
      </c>
      <c r="R31" s="16">
        <v>32.14</v>
      </c>
      <c r="S31" s="16">
        <v>41.97</v>
      </c>
    </row>
    <row r="32" spans="1:19">
      <c r="A32" s="21">
        <v>29</v>
      </c>
      <c r="B32" s="16">
        <v>25.55</v>
      </c>
      <c r="C32" s="16">
        <v>11.5</v>
      </c>
      <c r="D32" s="16">
        <v>34.64</v>
      </c>
      <c r="E32" s="16">
        <v>25.6</v>
      </c>
      <c r="F32" s="16">
        <v>52.36</v>
      </c>
      <c r="G32" s="16">
        <v>29.04</v>
      </c>
      <c r="H32" s="16">
        <v>55.11</v>
      </c>
      <c r="I32" s="16">
        <v>55.07</v>
      </c>
      <c r="J32" s="16">
        <v>96.16</v>
      </c>
      <c r="K32" s="16">
        <v>40.93</v>
      </c>
      <c r="L32" s="16">
        <v>56.3</v>
      </c>
      <c r="M32" s="16">
        <v>50.26</v>
      </c>
      <c r="N32" s="16">
        <v>36.22</v>
      </c>
      <c r="O32" s="16">
        <v>5.01</v>
      </c>
      <c r="P32" s="16">
        <v>49.77</v>
      </c>
      <c r="Q32" s="16">
        <v>34.24</v>
      </c>
      <c r="R32" s="16">
        <v>38.15</v>
      </c>
      <c r="S32" s="16">
        <v>41.88</v>
      </c>
    </row>
    <row r="33" spans="1:19">
      <c r="A33" s="21">
        <v>30</v>
      </c>
      <c r="B33" s="16">
        <v>22.65</v>
      </c>
      <c r="C33" s="16">
        <v>11.02</v>
      </c>
      <c r="D33" s="16">
        <v>35.97</v>
      </c>
      <c r="E33" s="16">
        <v>21.83</v>
      </c>
      <c r="F33" s="16">
        <v>48.7</v>
      </c>
      <c r="G33" s="16">
        <v>26.63</v>
      </c>
      <c r="H33" s="16">
        <v>50.17</v>
      </c>
      <c r="I33" s="16">
        <v>53.54</v>
      </c>
      <c r="J33" s="16">
        <v>106.77</v>
      </c>
      <c r="K33" s="16">
        <v>39</v>
      </c>
      <c r="L33" s="16">
        <v>56.66</v>
      </c>
      <c r="M33" s="16">
        <v>47.36</v>
      </c>
      <c r="N33" s="16">
        <v>32.950000000000003</v>
      </c>
      <c r="O33" s="16">
        <v>5.51</v>
      </c>
      <c r="P33" s="16">
        <v>47.83</v>
      </c>
      <c r="Q33" s="16">
        <v>33.979999999999997</v>
      </c>
      <c r="R33" s="16">
        <v>34.99</v>
      </c>
      <c r="S33" s="16">
        <v>38.82</v>
      </c>
    </row>
    <row r="34" spans="1:19">
      <c r="A34" s="21">
        <v>31</v>
      </c>
      <c r="B34" s="16">
        <v>25.48</v>
      </c>
      <c r="C34" s="16">
        <v>11.58</v>
      </c>
      <c r="D34" s="16">
        <v>37.630000000000003</v>
      </c>
      <c r="E34" s="16">
        <v>23.87</v>
      </c>
      <c r="F34" s="16">
        <v>50.84</v>
      </c>
      <c r="G34" s="16">
        <v>28.18</v>
      </c>
      <c r="H34" s="16">
        <v>50.27</v>
      </c>
      <c r="I34" s="16">
        <v>52.99</v>
      </c>
      <c r="J34" s="16">
        <v>118.97</v>
      </c>
      <c r="K34" s="16">
        <v>41.26</v>
      </c>
      <c r="L34" s="16">
        <v>51.41</v>
      </c>
      <c r="M34" s="16">
        <v>45.3</v>
      </c>
      <c r="N34" s="16">
        <v>35.200000000000003</v>
      </c>
      <c r="O34" s="16">
        <v>5.8</v>
      </c>
      <c r="P34" s="16">
        <v>52.28</v>
      </c>
      <c r="Q34" s="16">
        <v>37.979999999999997</v>
      </c>
      <c r="R34" s="16">
        <v>39.69</v>
      </c>
      <c r="S34" s="16">
        <v>43.98</v>
      </c>
    </row>
    <row r="35" spans="1:19">
      <c r="A35" s="21">
        <v>32</v>
      </c>
      <c r="B35" s="16">
        <v>24.66</v>
      </c>
      <c r="C35" s="16">
        <v>13.92</v>
      </c>
      <c r="D35" s="16">
        <v>38.81</v>
      </c>
      <c r="E35" s="16">
        <v>23.45</v>
      </c>
      <c r="F35" s="16">
        <v>53.67</v>
      </c>
      <c r="G35" s="16">
        <v>25.21</v>
      </c>
      <c r="H35" s="16">
        <v>51.28</v>
      </c>
      <c r="I35" s="16">
        <v>43.71</v>
      </c>
      <c r="J35" s="16">
        <v>115.69</v>
      </c>
      <c r="K35" s="16">
        <v>38.340000000000003</v>
      </c>
      <c r="L35" s="16">
        <v>50.21</v>
      </c>
      <c r="M35" s="16">
        <v>41.96</v>
      </c>
      <c r="N35" s="16">
        <v>35.68</v>
      </c>
      <c r="O35" s="16">
        <v>5.37</v>
      </c>
      <c r="P35" s="16">
        <v>48.02</v>
      </c>
      <c r="Q35" s="16">
        <v>36.14</v>
      </c>
      <c r="R35" s="16">
        <v>39.270000000000003</v>
      </c>
      <c r="S35" s="16">
        <v>38.520000000000003</v>
      </c>
    </row>
    <row r="36" spans="1:19">
      <c r="A36" s="21">
        <v>33</v>
      </c>
      <c r="B36" s="16">
        <v>26.67</v>
      </c>
      <c r="C36" s="16">
        <v>16.309999999999999</v>
      </c>
      <c r="D36" s="16">
        <v>38.869999999999997</v>
      </c>
      <c r="E36" s="16">
        <v>22.65</v>
      </c>
      <c r="F36" s="16">
        <v>47.4</v>
      </c>
      <c r="G36" s="16">
        <v>25.38</v>
      </c>
      <c r="H36" s="16">
        <v>54.81</v>
      </c>
      <c r="I36" s="16">
        <v>41.45</v>
      </c>
      <c r="J36" s="16">
        <v>114.76</v>
      </c>
      <c r="K36" s="16">
        <v>43.18</v>
      </c>
      <c r="L36" s="16">
        <v>49.59</v>
      </c>
      <c r="M36" s="16">
        <v>45.84</v>
      </c>
      <c r="N36" s="16">
        <v>35.450000000000003</v>
      </c>
      <c r="O36" s="16">
        <v>5.4</v>
      </c>
      <c r="P36" s="16">
        <v>47.71</v>
      </c>
      <c r="Q36" s="16">
        <v>38.979999999999997</v>
      </c>
      <c r="R36" s="16">
        <v>33.04</v>
      </c>
      <c r="S36" s="16">
        <v>40.39</v>
      </c>
    </row>
    <row r="37" spans="1:19">
      <c r="A37" s="21">
        <v>34</v>
      </c>
      <c r="B37" s="16">
        <v>25.64</v>
      </c>
      <c r="C37" s="16">
        <v>15.83</v>
      </c>
      <c r="D37" s="16">
        <v>36.57</v>
      </c>
      <c r="E37" s="16">
        <v>21.92</v>
      </c>
      <c r="F37" s="16">
        <v>45.25</v>
      </c>
      <c r="G37" s="16">
        <v>23.78</v>
      </c>
      <c r="H37" s="16">
        <v>56.44</v>
      </c>
      <c r="I37" s="16">
        <v>37.97</v>
      </c>
      <c r="J37" s="16">
        <v>111.48</v>
      </c>
      <c r="K37" s="16">
        <v>38.799999999999997</v>
      </c>
      <c r="L37" s="16">
        <v>40.119999999999997</v>
      </c>
      <c r="M37" s="16">
        <v>43.55</v>
      </c>
      <c r="N37" s="16">
        <v>37.049999999999997</v>
      </c>
      <c r="O37" s="16">
        <v>5</v>
      </c>
      <c r="P37" s="16">
        <v>46.22</v>
      </c>
      <c r="Q37" s="16">
        <v>38.14</v>
      </c>
      <c r="R37" s="16">
        <v>35.28</v>
      </c>
      <c r="S37" s="16">
        <v>43.4</v>
      </c>
    </row>
    <row r="38" spans="1:19">
      <c r="A38" s="21">
        <v>35</v>
      </c>
      <c r="B38" s="16">
        <v>25.1</v>
      </c>
      <c r="C38" s="16">
        <v>20.03</v>
      </c>
      <c r="D38" s="16">
        <v>39.51</v>
      </c>
      <c r="E38" s="16">
        <v>22.26</v>
      </c>
      <c r="F38" s="16">
        <v>48.2</v>
      </c>
      <c r="G38" s="16">
        <v>24.29</v>
      </c>
      <c r="H38" s="16">
        <v>51.45</v>
      </c>
      <c r="I38" s="16">
        <v>42.06</v>
      </c>
      <c r="J38" s="16">
        <v>90.52</v>
      </c>
      <c r="K38" s="16">
        <v>44.23</v>
      </c>
      <c r="L38" s="16">
        <v>49.06</v>
      </c>
      <c r="M38" s="16">
        <v>48.74</v>
      </c>
      <c r="N38" s="16">
        <v>35.340000000000003</v>
      </c>
      <c r="O38" s="16">
        <v>3.85</v>
      </c>
      <c r="P38" s="16">
        <v>56.74</v>
      </c>
      <c r="Q38" s="16">
        <v>38.979999999999997</v>
      </c>
      <c r="R38" s="16">
        <v>36.44</v>
      </c>
      <c r="S38" s="16">
        <v>51.39</v>
      </c>
    </row>
    <row r="39" spans="1:19">
      <c r="A39" s="21">
        <v>36</v>
      </c>
      <c r="B39" s="16">
        <v>27.15</v>
      </c>
      <c r="C39" s="16">
        <v>24.47</v>
      </c>
      <c r="D39" s="16">
        <v>34.96</v>
      </c>
      <c r="E39" s="16">
        <v>18.66</v>
      </c>
      <c r="F39" s="16">
        <v>44.71</v>
      </c>
      <c r="G39" s="16">
        <v>25.77</v>
      </c>
      <c r="H39" s="16">
        <v>46.5</v>
      </c>
      <c r="I39" s="16">
        <v>41.21</v>
      </c>
      <c r="J39" s="16">
        <v>95.08</v>
      </c>
      <c r="K39" s="16">
        <v>43.93</v>
      </c>
      <c r="L39" s="16">
        <v>56.11</v>
      </c>
      <c r="M39" s="16">
        <v>51.44</v>
      </c>
      <c r="N39" s="16">
        <v>39.24</v>
      </c>
      <c r="O39" s="16">
        <v>3.84</v>
      </c>
      <c r="P39" s="16">
        <v>56.12</v>
      </c>
      <c r="Q39" s="16">
        <v>38.340000000000003</v>
      </c>
      <c r="R39" s="16">
        <v>36.369999999999997</v>
      </c>
      <c r="S39" s="16">
        <v>52.59</v>
      </c>
    </row>
    <row r="40" spans="1:19">
      <c r="A40" s="21">
        <v>37</v>
      </c>
      <c r="B40" s="16">
        <v>34.409999999999997</v>
      </c>
      <c r="C40" s="16">
        <v>25.7</v>
      </c>
      <c r="D40" s="16">
        <v>35.659999999999997</v>
      </c>
      <c r="E40" s="16">
        <v>18.940000000000001</v>
      </c>
      <c r="F40" s="16">
        <v>49.55</v>
      </c>
      <c r="G40" s="16">
        <v>27.04</v>
      </c>
      <c r="H40" s="16">
        <v>49.78</v>
      </c>
      <c r="I40" s="16">
        <v>39.99</v>
      </c>
      <c r="J40" s="16">
        <v>99.52</v>
      </c>
      <c r="K40" s="16">
        <v>39.479999999999997</v>
      </c>
      <c r="L40" s="16">
        <v>48.56</v>
      </c>
      <c r="M40" s="16">
        <v>50.66</v>
      </c>
      <c r="N40" s="16">
        <v>34.57</v>
      </c>
      <c r="O40" s="16">
        <v>3.42</v>
      </c>
      <c r="P40" s="16">
        <v>48.1</v>
      </c>
      <c r="Q40" s="16">
        <v>49.16</v>
      </c>
      <c r="R40" s="16">
        <v>33.68</v>
      </c>
      <c r="S40" s="16">
        <v>63.12</v>
      </c>
    </row>
    <row r="41" spans="1:19">
      <c r="A41" s="21">
        <v>38</v>
      </c>
      <c r="B41" s="16">
        <v>28.89</v>
      </c>
      <c r="C41" s="16">
        <v>25.94</v>
      </c>
      <c r="D41" s="16">
        <v>38.29</v>
      </c>
      <c r="E41" s="16">
        <v>17.18</v>
      </c>
      <c r="F41" s="16">
        <v>44.38</v>
      </c>
      <c r="G41" s="16">
        <v>33.57</v>
      </c>
      <c r="H41" s="16">
        <v>46.5</v>
      </c>
      <c r="I41" s="16">
        <v>38.64</v>
      </c>
      <c r="J41" s="16">
        <v>103.56</v>
      </c>
      <c r="K41" s="16">
        <v>36.44</v>
      </c>
      <c r="L41" s="16">
        <v>47.88</v>
      </c>
      <c r="M41" s="16">
        <v>56.15</v>
      </c>
      <c r="N41" s="16">
        <v>32.06</v>
      </c>
      <c r="O41" s="16">
        <v>3.11</v>
      </c>
      <c r="P41" s="16">
        <v>56.28</v>
      </c>
      <c r="Q41" s="16">
        <v>41.21</v>
      </c>
      <c r="R41" s="16">
        <v>29.79</v>
      </c>
      <c r="S41" s="16">
        <v>50</v>
      </c>
    </row>
    <row r="42" spans="1:19">
      <c r="A42" s="21">
        <v>39</v>
      </c>
      <c r="B42" s="16">
        <v>28.49</v>
      </c>
      <c r="C42" s="16">
        <v>28.66</v>
      </c>
      <c r="D42" s="16">
        <v>31.9</v>
      </c>
      <c r="E42" s="16">
        <v>14.2</v>
      </c>
      <c r="F42" s="16">
        <v>38.229999999999997</v>
      </c>
      <c r="G42" s="16">
        <v>31.43</v>
      </c>
      <c r="H42" s="16">
        <v>43.4</v>
      </c>
      <c r="I42" s="16">
        <v>34.130000000000003</v>
      </c>
      <c r="J42" s="16">
        <v>94.89</v>
      </c>
      <c r="K42" s="16">
        <v>30.6</v>
      </c>
      <c r="L42" s="16">
        <v>40.54</v>
      </c>
      <c r="M42" s="16">
        <v>53.35</v>
      </c>
      <c r="N42" s="16">
        <v>27.23</v>
      </c>
      <c r="O42" s="16">
        <v>3.01</v>
      </c>
      <c r="P42" s="16">
        <v>44.07</v>
      </c>
      <c r="Q42" s="16">
        <v>37.630000000000003</v>
      </c>
      <c r="R42" s="16">
        <v>26.22</v>
      </c>
      <c r="S42" s="16">
        <v>44.52</v>
      </c>
    </row>
    <row r="43" spans="1:19">
      <c r="A43" s="21">
        <v>40</v>
      </c>
      <c r="B43" s="16">
        <v>29.22</v>
      </c>
      <c r="C43" s="16">
        <v>33.950000000000003</v>
      </c>
      <c r="D43" s="16">
        <v>32.65</v>
      </c>
      <c r="E43" s="16">
        <v>15.97</v>
      </c>
      <c r="F43" s="16">
        <v>40.08</v>
      </c>
      <c r="G43" s="16">
        <v>38.14</v>
      </c>
      <c r="H43" s="16">
        <v>41.12</v>
      </c>
      <c r="I43" s="16">
        <v>37.909999999999997</v>
      </c>
      <c r="J43" s="16">
        <v>109.32</v>
      </c>
      <c r="K43" s="16">
        <v>29.85</v>
      </c>
      <c r="L43" s="16">
        <v>39.270000000000003</v>
      </c>
      <c r="M43" s="16">
        <v>58.08</v>
      </c>
      <c r="N43" s="16">
        <v>32.06</v>
      </c>
      <c r="O43" s="16">
        <v>3.17</v>
      </c>
      <c r="P43" s="16">
        <v>44.68</v>
      </c>
      <c r="Q43" s="16">
        <v>44.74</v>
      </c>
      <c r="R43" s="16">
        <v>29.26</v>
      </c>
      <c r="S43" s="16">
        <v>51.66</v>
      </c>
    </row>
    <row r="44" spans="1:19">
      <c r="A44" s="21">
        <v>41</v>
      </c>
      <c r="B44" s="16">
        <v>26.98</v>
      </c>
      <c r="C44" s="16">
        <v>31.01</v>
      </c>
      <c r="D44" s="16">
        <v>34.270000000000003</v>
      </c>
      <c r="E44" s="16">
        <v>16.100000000000001</v>
      </c>
      <c r="F44" s="16">
        <v>35.92</v>
      </c>
      <c r="G44" s="16">
        <v>40.340000000000003</v>
      </c>
      <c r="H44" s="16">
        <v>42.69</v>
      </c>
      <c r="I44" s="16">
        <v>36.81</v>
      </c>
      <c r="J44" s="16">
        <v>102.97</v>
      </c>
      <c r="K44" s="16">
        <v>35.06</v>
      </c>
      <c r="L44" s="16">
        <v>39.53</v>
      </c>
      <c r="M44" s="16">
        <v>65.66</v>
      </c>
      <c r="N44" s="16">
        <v>32.64</v>
      </c>
      <c r="O44" s="16">
        <v>3.34</v>
      </c>
      <c r="P44" s="16">
        <v>49.99</v>
      </c>
      <c r="Q44" s="16">
        <v>29.37</v>
      </c>
      <c r="R44" s="16">
        <v>30.6</v>
      </c>
      <c r="S44" s="16">
        <v>50.64</v>
      </c>
    </row>
    <row r="45" spans="1:19">
      <c r="A45" s="21">
        <v>42</v>
      </c>
      <c r="B45" s="16">
        <v>24.4</v>
      </c>
      <c r="C45" s="16">
        <v>21</v>
      </c>
      <c r="D45" s="16">
        <v>33.85</v>
      </c>
      <c r="E45" s="16">
        <v>15.61</v>
      </c>
      <c r="F45" s="16">
        <v>37.36</v>
      </c>
      <c r="G45" s="16">
        <v>39</v>
      </c>
      <c r="H45" s="16">
        <v>45.58</v>
      </c>
      <c r="I45" s="16">
        <v>34.68</v>
      </c>
      <c r="J45" s="16">
        <v>99.22</v>
      </c>
      <c r="K45" s="16">
        <v>38.17</v>
      </c>
      <c r="L45" s="16">
        <v>44.66</v>
      </c>
      <c r="M45" s="16">
        <v>49.82</v>
      </c>
      <c r="N45" s="16">
        <v>30.71</v>
      </c>
      <c r="O45" s="16">
        <v>3.98</v>
      </c>
      <c r="P45" s="16">
        <v>53.88</v>
      </c>
      <c r="Q45" s="16">
        <v>26.34</v>
      </c>
      <c r="R45" s="16">
        <v>30.52</v>
      </c>
      <c r="S45" s="16">
        <v>52.7</v>
      </c>
    </row>
    <row r="46" spans="1:19">
      <c r="A46" s="21">
        <v>43</v>
      </c>
      <c r="B46" s="16">
        <v>24.22</v>
      </c>
      <c r="C46" s="16">
        <v>26.19</v>
      </c>
      <c r="D46" s="16">
        <v>36.24</v>
      </c>
      <c r="E46" s="16">
        <v>13.83</v>
      </c>
      <c r="F46" s="16">
        <v>33.36</v>
      </c>
      <c r="G46" s="16">
        <v>35.880000000000003</v>
      </c>
      <c r="H46" s="16">
        <v>45.39</v>
      </c>
      <c r="I46" s="16">
        <v>37.119999999999997</v>
      </c>
      <c r="J46" s="16">
        <v>101.3</v>
      </c>
      <c r="K46" s="16">
        <v>43.45</v>
      </c>
      <c r="L46" s="16">
        <v>48.22</v>
      </c>
      <c r="M46" s="16">
        <v>40.96</v>
      </c>
      <c r="N46" s="16">
        <v>28.25</v>
      </c>
      <c r="O46" s="16">
        <v>4.12</v>
      </c>
      <c r="P46" s="16">
        <v>55.32</v>
      </c>
      <c r="Q46" s="16">
        <v>33.69</v>
      </c>
      <c r="R46" s="16">
        <v>30.73</v>
      </c>
      <c r="S46" s="16">
        <v>52.75</v>
      </c>
    </row>
    <row r="47" spans="1:19">
      <c r="A47" s="21">
        <v>44</v>
      </c>
      <c r="B47" s="16">
        <v>25.26</v>
      </c>
      <c r="C47" s="16">
        <v>25.41</v>
      </c>
      <c r="D47" s="16">
        <v>42.3</v>
      </c>
      <c r="E47" s="16">
        <v>14.04</v>
      </c>
      <c r="F47" s="16">
        <v>34.549999999999997</v>
      </c>
      <c r="G47" s="16">
        <v>35.65</v>
      </c>
      <c r="H47" s="16">
        <v>41.86</v>
      </c>
      <c r="I47" s="16">
        <v>38.700000000000003</v>
      </c>
      <c r="J47" s="16">
        <v>103.79</v>
      </c>
      <c r="K47" s="16">
        <v>39.69</v>
      </c>
      <c r="L47" s="16">
        <v>51.46</v>
      </c>
      <c r="M47" s="16">
        <v>40.17</v>
      </c>
      <c r="N47" s="16">
        <v>27.18</v>
      </c>
      <c r="O47" s="16">
        <v>3.92</v>
      </c>
      <c r="P47" s="16">
        <v>51.74</v>
      </c>
      <c r="Q47" s="16">
        <v>29.4</v>
      </c>
      <c r="R47" s="16">
        <v>29.89</v>
      </c>
      <c r="S47" s="16">
        <v>50.58</v>
      </c>
    </row>
    <row r="48" spans="1:19">
      <c r="A48" s="21">
        <v>45</v>
      </c>
      <c r="B48" s="16">
        <v>27.9</v>
      </c>
      <c r="C48" s="16">
        <v>30.47</v>
      </c>
      <c r="D48" s="16">
        <v>46.62</v>
      </c>
      <c r="E48" s="16">
        <v>15.15</v>
      </c>
      <c r="F48" s="16">
        <v>34.479999999999997</v>
      </c>
      <c r="G48" s="16">
        <v>36.01</v>
      </c>
      <c r="H48" s="16">
        <v>47.83</v>
      </c>
      <c r="I48" s="16">
        <v>39.409999999999997</v>
      </c>
      <c r="J48" s="16">
        <v>122.21</v>
      </c>
      <c r="K48" s="16">
        <v>39.35</v>
      </c>
      <c r="L48" s="16">
        <v>44.19</v>
      </c>
      <c r="M48" s="16">
        <v>49.79</v>
      </c>
      <c r="N48" s="16">
        <v>25.64</v>
      </c>
      <c r="O48" s="16">
        <v>4.62</v>
      </c>
      <c r="P48" s="16">
        <v>50.7</v>
      </c>
      <c r="Q48" s="16">
        <v>29.4</v>
      </c>
      <c r="R48" s="16">
        <v>29.34</v>
      </c>
      <c r="S48" s="16">
        <v>43.6</v>
      </c>
    </row>
    <row r="49" spans="1:19">
      <c r="A49" s="21">
        <v>46</v>
      </c>
      <c r="B49" s="16">
        <v>21.22</v>
      </c>
      <c r="C49" s="16">
        <v>12.88</v>
      </c>
      <c r="D49" s="16">
        <v>56.06</v>
      </c>
      <c r="E49" s="16">
        <v>12.78</v>
      </c>
      <c r="F49" s="16">
        <v>31.4</v>
      </c>
      <c r="G49" s="16">
        <v>35.36</v>
      </c>
      <c r="H49" s="16">
        <v>31.4</v>
      </c>
      <c r="I49" s="16">
        <v>43.31</v>
      </c>
      <c r="J49" s="16">
        <v>104.25</v>
      </c>
      <c r="K49" s="16">
        <v>40.200000000000003</v>
      </c>
      <c r="L49" s="16">
        <v>46.42</v>
      </c>
      <c r="M49" s="16">
        <v>46.23</v>
      </c>
      <c r="N49" s="16">
        <v>25.89</v>
      </c>
      <c r="O49" s="16">
        <v>4.6500000000000004</v>
      </c>
      <c r="P49" s="16">
        <v>54</v>
      </c>
      <c r="Q49" s="16">
        <v>25.4</v>
      </c>
      <c r="R49" s="16">
        <v>35.03</v>
      </c>
      <c r="S49" s="16">
        <v>44.11</v>
      </c>
    </row>
    <row r="50" spans="1:19">
      <c r="A50" s="21">
        <v>47</v>
      </c>
      <c r="B50" s="16">
        <v>24.06</v>
      </c>
      <c r="C50" s="16">
        <v>9.7799999999999994</v>
      </c>
      <c r="D50" s="16">
        <v>58.94</v>
      </c>
      <c r="E50" s="16">
        <v>14.61</v>
      </c>
      <c r="F50" s="16">
        <v>34.86</v>
      </c>
      <c r="G50" s="16">
        <v>33.11</v>
      </c>
      <c r="H50" s="16">
        <v>34.479999999999997</v>
      </c>
      <c r="I50" s="16">
        <v>45.77</v>
      </c>
      <c r="J50" s="16">
        <v>91.18</v>
      </c>
      <c r="K50" s="16">
        <v>39.42</v>
      </c>
      <c r="L50" s="16">
        <v>50.84</v>
      </c>
      <c r="M50" s="16">
        <v>44.19</v>
      </c>
      <c r="N50" s="16">
        <v>26.59</v>
      </c>
      <c r="O50" s="16">
        <v>5.79</v>
      </c>
      <c r="P50" s="16">
        <v>65.25</v>
      </c>
      <c r="Q50" s="16">
        <v>29</v>
      </c>
      <c r="R50" s="16">
        <v>40.72</v>
      </c>
      <c r="S50" s="16">
        <v>41.59</v>
      </c>
    </row>
    <row r="51" spans="1:19">
      <c r="A51" s="21">
        <v>48</v>
      </c>
      <c r="B51" s="16">
        <v>23.74</v>
      </c>
      <c r="C51" s="16">
        <v>8.25</v>
      </c>
      <c r="D51" s="16">
        <v>60.15</v>
      </c>
      <c r="E51" s="16">
        <v>16.38</v>
      </c>
      <c r="F51" s="16">
        <v>32.770000000000003</v>
      </c>
      <c r="G51" s="16">
        <v>26.75</v>
      </c>
      <c r="H51" s="16">
        <v>32.61</v>
      </c>
      <c r="I51" s="16">
        <v>46.81</v>
      </c>
      <c r="J51" s="16">
        <v>86.66</v>
      </c>
      <c r="K51" s="16">
        <v>42.94</v>
      </c>
      <c r="L51" s="16">
        <v>52.89</v>
      </c>
      <c r="M51" s="16">
        <v>35.520000000000003</v>
      </c>
      <c r="N51" s="16">
        <v>27.51</v>
      </c>
      <c r="O51" s="16">
        <v>6.04</v>
      </c>
      <c r="P51" s="16">
        <v>67.239999999999995</v>
      </c>
      <c r="Q51" s="16">
        <v>24.16</v>
      </c>
      <c r="R51" s="16">
        <v>38.78</v>
      </c>
      <c r="S51" s="16">
        <v>47.83</v>
      </c>
    </row>
    <row r="52" spans="1:19">
      <c r="A52" s="21">
        <v>49</v>
      </c>
      <c r="B52" s="16">
        <v>28.22</v>
      </c>
      <c r="C52" s="16">
        <v>7.44</v>
      </c>
      <c r="D52" s="16">
        <v>57.49</v>
      </c>
      <c r="E52" s="16">
        <v>19.72</v>
      </c>
      <c r="F52" s="16">
        <v>37.42</v>
      </c>
      <c r="G52" s="16">
        <v>26.94</v>
      </c>
      <c r="H52" s="16">
        <v>30.57</v>
      </c>
      <c r="I52" s="16">
        <v>39.03</v>
      </c>
      <c r="J52" s="16">
        <v>78.78</v>
      </c>
      <c r="K52" s="16">
        <v>45.11</v>
      </c>
      <c r="L52" s="16">
        <v>51.46</v>
      </c>
      <c r="M52" s="16">
        <v>36.549999999999997</v>
      </c>
      <c r="N52" s="16">
        <v>29.35</v>
      </c>
      <c r="O52" s="16">
        <v>7.05</v>
      </c>
      <c r="P52" s="16">
        <v>68.180000000000007</v>
      </c>
      <c r="Q52" s="16">
        <v>18.27</v>
      </c>
      <c r="R52" s="16">
        <v>33.700000000000003</v>
      </c>
      <c r="S52" s="16">
        <v>48.75</v>
      </c>
    </row>
    <row r="53" spans="1:19">
      <c r="A53" s="21">
        <v>50</v>
      </c>
      <c r="B53" s="16">
        <v>31.08</v>
      </c>
      <c r="C53" s="16">
        <v>10.81</v>
      </c>
      <c r="D53" s="16">
        <v>50.96</v>
      </c>
      <c r="E53" s="16">
        <v>18.57</v>
      </c>
      <c r="F53" s="16">
        <v>33.85</v>
      </c>
      <c r="G53" s="16">
        <v>28.34</v>
      </c>
      <c r="H53" s="16">
        <v>33.86</v>
      </c>
      <c r="I53" s="16">
        <v>44.33</v>
      </c>
      <c r="J53" s="16">
        <v>103.81</v>
      </c>
      <c r="K53" s="16">
        <v>39.99</v>
      </c>
      <c r="L53" s="16">
        <v>48.98</v>
      </c>
      <c r="M53" s="16">
        <v>38.53</v>
      </c>
      <c r="N53" s="16">
        <v>25.34</v>
      </c>
      <c r="O53" s="16">
        <v>7.05</v>
      </c>
      <c r="P53" s="16">
        <v>59.85</v>
      </c>
      <c r="Q53" s="16">
        <v>25.71</v>
      </c>
      <c r="R53" s="16">
        <v>34.299999999999997</v>
      </c>
      <c r="S53" s="16">
        <v>52.12</v>
      </c>
    </row>
    <row r="54" spans="1:19">
      <c r="A54" s="21">
        <v>51</v>
      </c>
      <c r="B54" s="16">
        <v>30.25</v>
      </c>
      <c r="C54" s="16">
        <v>9.1199999999999992</v>
      </c>
      <c r="D54" s="16">
        <v>54.34</v>
      </c>
      <c r="E54" s="16">
        <v>17.47</v>
      </c>
      <c r="F54" s="16">
        <v>34.119999999999997</v>
      </c>
      <c r="G54" s="16">
        <v>28.81</v>
      </c>
      <c r="H54" s="16">
        <v>35.270000000000003</v>
      </c>
      <c r="I54" s="16">
        <v>39.979999999999997</v>
      </c>
      <c r="J54" s="16">
        <v>92.7</v>
      </c>
      <c r="K54" s="16">
        <v>41.93</v>
      </c>
      <c r="L54" s="16">
        <v>44.78</v>
      </c>
      <c r="M54" s="16">
        <v>38.61</v>
      </c>
      <c r="N54" s="16">
        <v>25.38</v>
      </c>
      <c r="O54" s="16">
        <v>7.72</v>
      </c>
      <c r="P54" s="16">
        <v>58.4</v>
      </c>
      <c r="Q54" s="16">
        <v>24.85</v>
      </c>
      <c r="R54" s="16">
        <v>33.840000000000003</v>
      </c>
      <c r="S54" s="16">
        <v>45.96</v>
      </c>
    </row>
    <row r="55" spans="1:19">
      <c r="A55" s="21">
        <v>52</v>
      </c>
      <c r="B55" s="16">
        <v>30.41</v>
      </c>
      <c r="C55" s="16">
        <v>11.03</v>
      </c>
      <c r="D55" s="16">
        <v>48.67</v>
      </c>
      <c r="E55" s="16">
        <v>18.64</v>
      </c>
      <c r="F55" s="16">
        <v>31.78</v>
      </c>
      <c r="G55" s="16">
        <v>26.62</v>
      </c>
      <c r="H55" s="16">
        <v>31.27</v>
      </c>
      <c r="I55" s="16">
        <v>40.71</v>
      </c>
      <c r="J55" s="16">
        <v>89.25</v>
      </c>
      <c r="K55" s="16">
        <v>37.68</v>
      </c>
      <c r="L55" s="16">
        <v>38.270000000000003</v>
      </c>
      <c r="M55" s="16">
        <v>37.54</v>
      </c>
      <c r="N55" s="16">
        <v>22.92</v>
      </c>
      <c r="O55" s="16">
        <v>7.69</v>
      </c>
      <c r="P55" s="16">
        <v>55.52</v>
      </c>
      <c r="Q55" s="16">
        <v>23.03</v>
      </c>
      <c r="R55" s="16">
        <v>31.66</v>
      </c>
      <c r="S55" s="16">
        <v>46.41</v>
      </c>
    </row>
    <row r="56" spans="1:19">
      <c r="A56" s="21">
        <v>53</v>
      </c>
      <c r="B56" s="16">
        <v>35.020000000000003</v>
      </c>
      <c r="C56" s="16">
        <v>12.74</v>
      </c>
      <c r="D56" s="16">
        <v>53.99</v>
      </c>
      <c r="E56" s="16">
        <v>21.23</v>
      </c>
      <c r="F56" s="16">
        <v>35.29</v>
      </c>
      <c r="G56" s="16">
        <v>28.16</v>
      </c>
      <c r="H56" s="16">
        <v>34.1</v>
      </c>
      <c r="I56" s="16">
        <v>41.09</v>
      </c>
      <c r="J56" s="16">
        <v>106.84</v>
      </c>
      <c r="K56" s="16">
        <v>41.56</v>
      </c>
      <c r="L56" s="16">
        <v>39.15</v>
      </c>
      <c r="M56" s="16">
        <v>39.69</v>
      </c>
      <c r="N56" s="16">
        <v>23.74</v>
      </c>
      <c r="O56" s="16">
        <v>8.1199999999999992</v>
      </c>
      <c r="P56" s="16">
        <v>55.57</v>
      </c>
      <c r="Q56" s="16">
        <v>28.53</v>
      </c>
      <c r="R56" s="16">
        <v>29.43</v>
      </c>
      <c r="S56" s="16">
        <v>47.54</v>
      </c>
    </row>
    <row r="57" spans="1:19">
      <c r="A57" s="21">
        <v>54</v>
      </c>
      <c r="B57" s="16">
        <v>36.630000000000003</v>
      </c>
      <c r="C57" s="16">
        <v>9.98</v>
      </c>
      <c r="D57" s="16">
        <v>55.09</v>
      </c>
      <c r="E57" s="16">
        <v>22.91</v>
      </c>
      <c r="F57" s="16">
        <v>36.51</v>
      </c>
      <c r="G57" s="16">
        <v>29.43</v>
      </c>
      <c r="H57" s="16">
        <v>37.44</v>
      </c>
      <c r="I57" s="16">
        <v>39.07</v>
      </c>
      <c r="J57" s="16">
        <v>103.87</v>
      </c>
      <c r="K57" s="16">
        <v>41.92</v>
      </c>
      <c r="L57" s="16">
        <v>40.17</v>
      </c>
      <c r="M57" s="16">
        <v>41.57</v>
      </c>
      <c r="N57" s="16">
        <v>26.14</v>
      </c>
      <c r="O57" s="16">
        <v>8.33</v>
      </c>
      <c r="P57" s="16">
        <v>53.64</v>
      </c>
      <c r="Q57" s="16">
        <v>29.13</v>
      </c>
      <c r="R57" s="16">
        <v>30.72</v>
      </c>
      <c r="S57" s="16">
        <v>47.55</v>
      </c>
    </row>
    <row r="58" spans="1:19">
      <c r="A58" s="21">
        <v>55</v>
      </c>
      <c r="B58" s="16">
        <v>33.96</v>
      </c>
      <c r="C58" s="16">
        <v>11.62</v>
      </c>
      <c r="D58" s="16">
        <v>48.7</v>
      </c>
      <c r="E58" s="16">
        <v>21.17</v>
      </c>
      <c r="F58" s="16">
        <v>37.96</v>
      </c>
      <c r="G58" s="16">
        <v>26.89</v>
      </c>
      <c r="H58" s="16">
        <v>36.92</v>
      </c>
      <c r="I58" s="16">
        <v>39.270000000000003</v>
      </c>
      <c r="J58" s="16">
        <v>105.45</v>
      </c>
      <c r="K58" s="16">
        <v>43.2</v>
      </c>
      <c r="L58" s="16">
        <v>38.29</v>
      </c>
      <c r="M58" s="16">
        <v>47.01</v>
      </c>
      <c r="N58" s="16">
        <v>23.36</v>
      </c>
      <c r="O58" s="16">
        <v>8.11</v>
      </c>
      <c r="P58" s="16">
        <v>46.96</v>
      </c>
      <c r="Q58" s="16">
        <v>30.74</v>
      </c>
      <c r="R58" s="16">
        <v>28.58</v>
      </c>
      <c r="S58" s="16">
        <v>44.91</v>
      </c>
    </row>
    <row r="59" spans="1:19">
      <c r="A59" s="21">
        <v>56</v>
      </c>
      <c r="B59" s="16">
        <v>33.299999999999997</v>
      </c>
      <c r="C59" s="16">
        <v>9.4</v>
      </c>
      <c r="D59" s="16">
        <v>51.27</v>
      </c>
      <c r="E59" s="16">
        <v>23.46</v>
      </c>
      <c r="F59" s="16">
        <v>33.69</v>
      </c>
      <c r="G59" s="16">
        <v>24.53</v>
      </c>
      <c r="H59" s="16">
        <v>34.26</v>
      </c>
      <c r="I59" s="16">
        <v>40.409999999999997</v>
      </c>
      <c r="J59" s="16">
        <v>97.74</v>
      </c>
      <c r="K59" s="16">
        <v>46.78</v>
      </c>
      <c r="L59" s="16">
        <v>37.950000000000003</v>
      </c>
      <c r="M59" s="16">
        <v>46.47</v>
      </c>
      <c r="N59" s="16">
        <v>25.16</v>
      </c>
      <c r="O59" s="16">
        <v>7.45</v>
      </c>
      <c r="P59" s="16">
        <v>49.95</v>
      </c>
      <c r="Q59" s="16">
        <v>27.87</v>
      </c>
      <c r="R59" s="16">
        <v>32.33</v>
      </c>
      <c r="S59" s="16">
        <v>51.44</v>
      </c>
    </row>
    <row r="60" spans="1:19">
      <c r="A60" s="21">
        <v>57</v>
      </c>
      <c r="B60" s="16">
        <v>32.479999999999997</v>
      </c>
      <c r="C60" s="16">
        <v>9.27</v>
      </c>
      <c r="D60" s="16">
        <v>44.99</v>
      </c>
      <c r="E60" s="16">
        <v>21.28</v>
      </c>
      <c r="F60" s="16">
        <v>32.51</v>
      </c>
      <c r="G60" s="16">
        <v>23.67</v>
      </c>
      <c r="H60" s="16">
        <v>35.68</v>
      </c>
      <c r="I60" s="16">
        <v>41.12</v>
      </c>
      <c r="J60" s="16">
        <v>92.98</v>
      </c>
      <c r="K60" s="16">
        <v>45.73</v>
      </c>
      <c r="L60" s="16">
        <v>41.41</v>
      </c>
      <c r="M60" s="16">
        <v>40.32</v>
      </c>
      <c r="N60" s="16">
        <v>25.93</v>
      </c>
      <c r="O60" s="16">
        <v>7.76</v>
      </c>
      <c r="P60" s="16">
        <v>48.09</v>
      </c>
      <c r="Q60" s="16">
        <v>24.02</v>
      </c>
      <c r="R60" s="16">
        <v>29.37</v>
      </c>
      <c r="S60" s="16">
        <v>44.22</v>
      </c>
    </row>
    <row r="61" spans="1:19">
      <c r="A61" s="21">
        <v>58</v>
      </c>
      <c r="B61" s="16">
        <v>26.43</v>
      </c>
      <c r="C61" s="16">
        <v>7.76</v>
      </c>
      <c r="D61" s="16">
        <v>29.43</v>
      </c>
      <c r="E61" s="16">
        <v>19.07</v>
      </c>
      <c r="F61" s="16">
        <v>29.77</v>
      </c>
      <c r="G61" s="16">
        <v>17.329999999999998</v>
      </c>
      <c r="H61" s="16">
        <v>25.98</v>
      </c>
      <c r="I61" s="16">
        <v>35.9</v>
      </c>
      <c r="J61" s="16">
        <v>85.32</v>
      </c>
      <c r="K61" s="16">
        <v>48.06</v>
      </c>
      <c r="L61" s="16">
        <v>39.86</v>
      </c>
      <c r="M61" s="16">
        <v>31.59</v>
      </c>
      <c r="N61" s="16">
        <v>23.43</v>
      </c>
      <c r="O61" s="16">
        <v>7.91</v>
      </c>
      <c r="P61" s="16">
        <v>49.2</v>
      </c>
      <c r="Q61" s="16">
        <v>21.55</v>
      </c>
      <c r="R61" s="16">
        <v>33.83</v>
      </c>
      <c r="S61" s="16">
        <v>45.62</v>
      </c>
    </row>
    <row r="62" spans="1:19">
      <c r="A62" s="21">
        <v>59</v>
      </c>
      <c r="B62" s="16">
        <v>27.62</v>
      </c>
      <c r="C62" s="16">
        <v>8.7799999999999994</v>
      </c>
      <c r="D62" s="16">
        <v>28.64</v>
      </c>
      <c r="E62" s="16">
        <v>19.18</v>
      </c>
      <c r="F62" s="16">
        <v>31.73</v>
      </c>
      <c r="G62" s="16">
        <v>17.3</v>
      </c>
      <c r="H62" s="16">
        <v>20.420000000000002</v>
      </c>
      <c r="I62" s="16">
        <v>40.130000000000003</v>
      </c>
      <c r="J62" s="16">
        <v>100.53</v>
      </c>
      <c r="K62" s="16">
        <v>50.24</v>
      </c>
      <c r="L62" s="16">
        <v>40.74</v>
      </c>
      <c r="M62" s="16">
        <v>30.43</v>
      </c>
      <c r="N62" s="16">
        <v>22.51</v>
      </c>
      <c r="O62" s="16">
        <v>7.66</v>
      </c>
      <c r="P62" s="16">
        <v>47.14</v>
      </c>
      <c r="Q62" s="16">
        <v>24.49</v>
      </c>
      <c r="R62" s="16">
        <v>27.52</v>
      </c>
      <c r="S62" s="16">
        <v>47.37</v>
      </c>
    </row>
    <row r="63" spans="1:19">
      <c r="A63" s="21">
        <v>60</v>
      </c>
      <c r="B63" s="16">
        <v>33.04</v>
      </c>
      <c r="C63" s="16">
        <v>10.65</v>
      </c>
      <c r="D63" s="16">
        <v>31</v>
      </c>
      <c r="E63" s="16">
        <v>20.34</v>
      </c>
      <c r="F63" s="16">
        <v>35.47</v>
      </c>
      <c r="G63" s="16">
        <v>19.05</v>
      </c>
      <c r="H63" s="16">
        <v>24.55</v>
      </c>
      <c r="I63" s="16">
        <v>44.79</v>
      </c>
      <c r="J63" s="16">
        <v>107.66</v>
      </c>
      <c r="K63" s="16">
        <v>50.69</v>
      </c>
      <c r="L63" s="16">
        <v>40.11</v>
      </c>
      <c r="M63" s="16">
        <v>37.03</v>
      </c>
      <c r="N63" s="16">
        <v>23.39</v>
      </c>
      <c r="O63" s="16">
        <v>7.72</v>
      </c>
      <c r="P63" s="16">
        <v>50.05</v>
      </c>
      <c r="Q63" s="16">
        <v>27.04</v>
      </c>
      <c r="R63" s="16">
        <v>26.99</v>
      </c>
      <c r="S63" s="16">
        <v>50.83</v>
      </c>
    </row>
    <row r="64" spans="1:19">
      <c r="A64" s="21">
        <v>61</v>
      </c>
      <c r="B64" s="16">
        <v>30.43</v>
      </c>
      <c r="C64" s="16">
        <v>10.95</v>
      </c>
      <c r="D64" s="16">
        <v>34.25</v>
      </c>
      <c r="E64" s="16">
        <v>22.41</v>
      </c>
      <c r="F64" s="16">
        <v>34.01</v>
      </c>
      <c r="G64" s="16">
        <v>19.489999999999998</v>
      </c>
      <c r="H64" s="16">
        <v>23.87</v>
      </c>
      <c r="I64" s="16">
        <v>50.68</v>
      </c>
      <c r="J64" s="16">
        <v>112.66</v>
      </c>
      <c r="K64" s="16">
        <v>51.43</v>
      </c>
      <c r="L64" s="16">
        <v>40.270000000000003</v>
      </c>
      <c r="M64" s="16">
        <v>36.21</v>
      </c>
      <c r="N64" s="16">
        <v>23.07</v>
      </c>
      <c r="O64" s="16">
        <v>7.6</v>
      </c>
      <c r="P64" s="16">
        <v>43.66</v>
      </c>
      <c r="Q64" s="16">
        <v>27.9</v>
      </c>
      <c r="R64" s="16">
        <v>28.28</v>
      </c>
      <c r="S64" s="16">
        <v>53.11</v>
      </c>
    </row>
    <row r="65" spans="1:19">
      <c r="A65" s="21">
        <v>62</v>
      </c>
      <c r="B65" s="16">
        <v>30.69</v>
      </c>
      <c r="C65" s="16">
        <v>12.36</v>
      </c>
      <c r="D65" s="16">
        <v>36.159999999999997</v>
      </c>
      <c r="E65" s="16">
        <v>21.72</v>
      </c>
      <c r="F65" s="16">
        <v>35.340000000000003</v>
      </c>
      <c r="G65" s="16">
        <v>19.809999999999999</v>
      </c>
      <c r="H65" s="16">
        <v>23.03</v>
      </c>
      <c r="I65" s="16">
        <v>52.31</v>
      </c>
      <c r="J65" s="16">
        <v>100.49</v>
      </c>
      <c r="K65" s="16">
        <v>50.04</v>
      </c>
      <c r="L65" s="16">
        <v>37.36</v>
      </c>
      <c r="M65" s="16">
        <v>38.1</v>
      </c>
      <c r="N65" s="16">
        <v>23.69</v>
      </c>
      <c r="O65" s="16">
        <v>8.31</v>
      </c>
      <c r="P65" s="16">
        <v>43.94</v>
      </c>
      <c r="Q65" s="16">
        <v>26.83</v>
      </c>
      <c r="R65" s="16">
        <v>27.21</v>
      </c>
      <c r="S65" s="16">
        <v>55.35</v>
      </c>
    </row>
    <row r="66" spans="1:19">
      <c r="A66" s="21">
        <v>63</v>
      </c>
      <c r="B66" s="16">
        <v>32.31</v>
      </c>
      <c r="C66" s="16">
        <v>10.85</v>
      </c>
      <c r="D66" s="16">
        <v>40.76</v>
      </c>
      <c r="E66" s="16">
        <v>23.98</v>
      </c>
      <c r="F66" s="16">
        <v>37.770000000000003</v>
      </c>
      <c r="G66" s="16">
        <v>21.64</v>
      </c>
      <c r="H66" s="16">
        <v>25.55</v>
      </c>
      <c r="I66" s="16">
        <v>56.52</v>
      </c>
      <c r="J66" s="16">
        <v>91.51</v>
      </c>
      <c r="K66" s="16">
        <v>53.16</v>
      </c>
      <c r="L66" s="16">
        <v>40.47</v>
      </c>
      <c r="M66" s="16">
        <v>39.880000000000003</v>
      </c>
      <c r="N66" s="16">
        <v>22.75</v>
      </c>
      <c r="O66" s="16">
        <v>8.73</v>
      </c>
      <c r="P66" s="16">
        <v>45.54</v>
      </c>
      <c r="Q66" s="16">
        <v>24.57</v>
      </c>
      <c r="R66" s="16">
        <v>27.5</v>
      </c>
      <c r="S66" s="16">
        <v>57.22</v>
      </c>
    </row>
    <row r="67" spans="1:19">
      <c r="A67" s="21">
        <v>64</v>
      </c>
      <c r="B67" s="16">
        <v>32.450000000000003</v>
      </c>
      <c r="C67" s="16">
        <v>11.84</v>
      </c>
      <c r="D67" s="16">
        <v>42.79</v>
      </c>
      <c r="E67" s="16">
        <v>24.56</v>
      </c>
      <c r="F67" s="16">
        <v>38.020000000000003</v>
      </c>
      <c r="G67" s="16">
        <v>21.71</v>
      </c>
      <c r="H67" s="16">
        <v>25.28</v>
      </c>
      <c r="I67" s="16">
        <v>56.75</v>
      </c>
      <c r="J67" s="16">
        <v>96.99</v>
      </c>
      <c r="K67" s="16">
        <v>56.69</v>
      </c>
      <c r="L67" s="16">
        <v>44.82</v>
      </c>
      <c r="M67" s="16">
        <v>45.5</v>
      </c>
      <c r="N67" s="16">
        <v>24.19</v>
      </c>
      <c r="O67" s="16">
        <v>8.83</v>
      </c>
      <c r="P67" s="16">
        <v>43</v>
      </c>
      <c r="Q67" s="16">
        <v>25.4</v>
      </c>
      <c r="R67" s="16">
        <v>27.21</v>
      </c>
      <c r="S67" s="16">
        <v>56.64</v>
      </c>
    </row>
    <row r="68" spans="1:19">
      <c r="A68" s="21">
        <v>65</v>
      </c>
      <c r="B68" s="16">
        <v>29.26</v>
      </c>
      <c r="C68" s="16">
        <v>12.14</v>
      </c>
      <c r="D68" s="16">
        <v>39.549999999999997</v>
      </c>
      <c r="E68" s="16">
        <v>23.75</v>
      </c>
      <c r="F68" s="16">
        <v>35.880000000000003</v>
      </c>
      <c r="G68" s="16">
        <v>21.81</v>
      </c>
      <c r="H68" s="16">
        <v>26.13</v>
      </c>
      <c r="I68" s="16">
        <v>50.47</v>
      </c>
      <c r="J68" s="16">
        <v>78.12</v>
      </c>
      <c r="K68" s="16">
        <v>55.74</v>
      </c>
      <c r="L68" s="16">
        <v>47.61</v>
      </c>
      <c r="M68" s="16">
        <v>48.28</v>
      </c>
      <c r="N68" s="16">
        <v>24.75</v>
      </c>
      <c r="O68" s="16">
        <v>9.1300000000000008</v>
      </c>
      <c r="P68" s="16">
        <v>40.58</v>
      </c>
      <c r="Q68" s="16">
        <v>22.01</v>
      </c>
      <c r="R68" s="16">
        <v>22.73</v>
      </c>
      <c r="S68" s="16">
        <v>51.61</v>
      </c>
    </row>
    <row r="69" spans="1:19">
      <c r="A69" s="21">
        <v>66</v>
      </c>
      <c r="B69" s="16">
        <v>30.21</v>
      </c>
      <c r="C69" s="16">
        <v>11.65</v>
      </c>
      <c r="D69" s="16">
        <v>37.96</v>
      </c>
      <c r="E69" s="16">
        <v>22.73</v>
      </c>
      <c r="F69" s="16">
        <v>37.380000000000003</v>
      </c>
      <c r="G69" s="16">
        <v>21.55</v>
      </c>
      <c r="H69" s="16">
        <v>27.7</v>
      </c>
      <c r="I69" s="16">
        <v>52.7</v>
      </c>
      <c r="J69" s="16">
        <v>75.180000000000007</v>
      </c>
      <c r="K69" s="16">
        <v>53.73</v>
      </c>
      <c r="L69" s="16">
        <v>47.65</v>
      </c>
      <c r="M69" s="16">
        <v>47.13</v>
      </c>
      <c r="N69" s="16">
        <v>26.1</v>
      </c>
      <c r="O69" s="16">
        <v>9.6</v>
      </c>
      <c r="P69" s="16">
        <v>42.64</v>
      </c>
      <c r="Q69" s="16">
        <v>21.44</v>
      </c>
      <c r="R69" s="16">
        <v>25.1</v>
      </c>
      <c r="S69" s="16">
        <v>49.98</v>
      </c>
    </row>
    <row r="70" spans="1:19">
      <c r="A70" s="21">
        <v>67</v>
      </c>
      <c r="B70" s="16">
        <v>28.63</v>
      </c>
      <c r="C70" s="16">
        <v>8.86</v>
      </c>
      <c r="D70" s="16">
        <v>40.06</v>
      </c>
      <c r="E70" s="16">
        <v>21.28</v>
      </c>
      <c r="F70" s="16">
        <v>36.08</v>
      </c>
      <c r="G70" s="16">
        <v>17.78</v>
      </c>
      <c r="H70" s="16">
        <v>24.29</v>
      </c>
      <c r="I70" s="16">
        <v>52.21</v>
      </c>
      <c r="J70" s="16">
        <v>67.28</v>
      </c>
      <c r="K70" s="16">
        <v>45.77</v>
      </c>
      <c r="L70" s="16">
        <v>48.2</v>
      </c>
      <c r="M70" s="16">
        <v>40.53</v>
      </c>
      <c r="N70" s="16">
        <v>24.8</v>
      </c>
      <c r="O70" s="16">
        <v>7.42</v>
      </c>
      <c r="P70" s="16">
        <v>38.06</v>
      </c>
      <c r="Q70" s="16">
        <v>23.03</v>
      </c>
      <c r="R70" s="16">
        <v>22.33</v>
      </c>
      <c r="S70" s="16">
        <v>50.89</v>
      </c>
    </row>
    <row r="71" spans="1:19">
      <c r="A71" s="21">
        <v>68</v>
      </c>
      <c r="B71" s="16">
        <v>23.5</v>
      </c>
      <c r="C71" s="16">
        <v>7.63</v>
      </c>
      <c r="D71" s="16">
        <v>36.96</v>
      </c>
      <c r="E71" s="16">
        <v>19.59</v>
      </c>
      <c r="F71" s="16">
        <v>34.06</v>
      </c>
      <c r="G71" s="16">
        <v>16.68</v>
      </c>
      <c r="H71" s="16">
        <v>25.63</v>
      </c>
      <c r="I71" s="16">
        <v>49.81</v>
      </c>
      <c r="J71" s="16">
        <v>65.790000000000006</v>
      </c>
      <c r="K71" s="16">
        <v>46.07</v>
      </c>
      <c r="L71" s="16">
        <v>42.99</v>
      </c>
      <c r="M71" s="16">
        <v>35.299999999999997</v>
      </c>
      <c r="N71" s="16">
        <v>21.57</v>
      </c>
      <c r="O71" s="16">
        <v>7.82</v>
      </c>
      <c r="P71" s="16">
        <v>37.28</v>
      </c>
      <c r="Q71" s="16">
        <v>20.2</v>
      </c>
      <c r="R71" s="16">
        <v>20.420000000000002</v>
      </c>
      <c r="S71" s="16">
        <v>45.5</v>
      </c>
    </row>
    <row r="72" spans="1:19">
      <c r="A72" s="21">
        <v>69</v>
      </c>
      <c r="B72" s="16">
        <v>21.8</v>
      </c>
      <c r="C72" s="16">
        <v>7.38</v>
      </c>
      <c r="D72" s="16">
        <v>33.15</v>
      </c>
      <c r="E72" s="16">
        <v>19.13</v>
      </c>
      <c r="F72" s="16">
        <v>33.03</v>
      </c>
      <c r="G72" s="16">
        <v>14.75</v>
      </c>
      <c r="H72" s="16">
        <v>25.43</v>
      </c>
      <c r="I72" s="16">
        <v>46.29</v>
      </c>
      <c r="J72" s="16">
        <v>70.599999999999994</v>
      </c>
      <c r="K72" s="16">
        <v>47.74</v>
      </c>
      <c r="L72" s="16">
        <v>43.9</v>
      </c>
      <c r="M72" s="16">
        <v>36.71</v>
      </c>
      <c r="N72" s="16">
        <v>20.71</v>
      </c>
      <c r="O72" s="16">
        <v>8.49</v>
      </c>
      <c r="P72" s="16">
        <v>37.97</v>
      </c>
      <c r="Q72" s="16">
        <v>20.67</v>
      </c>
      <c r="R72" s="16">
        <v>18.260000000000002</v>
      </c>
      <c r="S72" s="16">
        <v>49.47</v>
      </c>
    </row>
    <row r="73" spans="1:19">
      <c r="A73" s="21">
        <v>70</v>
      </c>
      <c r="B73" s="16">
        <v>16.77</v>
      </c>
      <c r="C73" s="16">
        <v>7.25</v>
      </c>
      <c r="D73" s="16">
        <v>30.52</v>
      </c>
      <c r="E73" s="16">
        <v>16.309999999999999</v>
      </c>
      <c r="F73" s="16">
        <v>29.56</v>
      </c>
      <c r="G73" s="16">
        <v>14.24</v>
      </c>
      <c r="H73" s="16">
        <v>22.68</v>
      </c>
      <c r="I73" s="16">
        <v>49</v>
      </c>
      <c r="J73" s="16">
        <v>54.61</v>
      </c>
      <c r="K73" s="16">
        <v>47.54</v>
      </c>
      <c r="L73" s="16">
        <v>41.45</v>
      </c>
      <c r="M73" s="16">
        <v>29.84</v>
      </c>
      <c r="N73" s="16">
        <v>15.39</v>
      </c>
      <c r="O73" s="16">
        <v>6.68</v>
      </c>
      <c r="P73" s="16">
        <v>34.61</v>
      </c>
      <c r="Q73" s="16">
        <v>18.420000000000002</v>
      </c>
      <c r="R73" s="16">
        <v>14.84</v>
      </c>
      <c r="S73" s="16">
        <v>45.61</v>
      </c>
    </row>
    <row r="74" spans="1:19">
      <c r="A74" s="21">
        <v>71</v>
      </c>
      <c r="B74" s="16">
        <v>19.16</v>
      </c>
      <c r="C74" s="16">
        <v>8.0299999999999994</v>
      </c>
      <c r="D74" s="16">
        <v>26.6</v>
      </c>
      <c r="E74" s="16">
        <v>18.07</v>
      </c>
      <c r="F74" s="16">
        <v>33.799999999999997</v>
      </c>
      <c r="G74" s="16">
        <v>15.71</v>
      </c>
      <c r="H74" s="16">
        <v>28.17</v>
      </c>
      <c r="I74" s="16">
        <v>52.06</v>
      </c>
      <c r="J74" s="16">
        <v>73.930000000000007</v>
      </c>
      <c r="K74" s="16">
        <v>51.64</v>
      </c>
      <c r="L74" s="16">
        <v>40.17</v>
      </c>
      <c r="M74" s="16">
        <v>25.5</v>
      </c>
      <c r="N74" s="16">
        <v>15.78</v>
      </c>
      <c r="O74" s="16">
        <v>7.01</v>
      </c>
      <c r="P74" s="16">
        <v>41.07</v>
      </c>
      <c r="Q74" s="16">
        <v>22.52</v>
      </c>
      <c r="R74" s="16">
        <v>19.190000000000001</v>
      </c>
      <c r="S74" s="16">
        <v>49.61</v>
      </c>
    </row>
    <row r="75" spans="1:19">
      <c r="A75" s="21">
        <v>72</v>
      </c>
      <c r="B75" s="16">
        <v>22.34</v>
      </c>
      <c r="C75" s="16">
        <v>7.75</v>
      </c>
      <c r="D75" s="16">
        <v>30.61</v>
      </c>
      <c r="E75" s="16">
        <v>22.07</v>
      </c>
      <c r="F75" s="16">
        <v>36.869999999999997</v>
      </c>
      <c r="G75" s="16">
        <v>18.649999999999999</v>
      </c>
      <c r="H75" s="16">
        <v>31.57</v>
      </c>
      <c r="I75" s="16">
        <v>51.45</v>
      </c>
      <c r="J75" s="16">
        <v>81.55</v>
      </c>
      <c r="K75" s="16">
        <v>50.29</v>
      </c>
      <c r="L75" s="16">
        <v>39.619999999999997</v>
      </c>
      <c r="M75" s="16">
        <v>30.9</v>
      </c>
      <c r="N75" s="16">
        <v>16.350000000000001</v>
      </c>
      <c r="O75" s="16">
        <v>6.49</v>
      </c>
      <c r="P75" s="16">
        <v>44.99</v>
      </c>
      <c r="Q75" s="16">
        <v>24.29</v>
      </c>
      <c r="R75" s="16">
        <v>21.31</v>
      </c>
      <c r="S75" s="16">
        <v>49.93</v>
      </c>
    </row>
    <row r="76" spans="1:19">
      <c r="A76" s="21">
        <v>73</v>
      </c>
      <c r="B76" s="16">
        <v>19.920000000000002</v>
      </c>
      <c r="C76" s="16">
        <v>7.16</v>
      </c>
      <c r="D76" s="16">
        <v>29.66</v>
      </c>
      <c r="E76" s="16">
        <v>20.22</v>
      </c>
      <c r="F76" s="16">
        <v>35.03</v>
      </c>
      <c r="G76" s="16">
        <v>15.53</v>
      </c>
      <c r="H76" s="16">
        <v>29.96</v>
      </c>
      <c r="I76" s="16">
        <v>53.11</v>
      </c>
      <c r="J76" s="16">
        <v>72.72</v>
      </c>
      <c r="K76" s="16">
        <v>47.37</v>
      </c>
      <c r="L76" s="16">
        <v>38.049999999999997</v>
      </c>
      <c r="M76" s="16">
        <v>28.69</v>
      </c>
      <c r="N76" s="16">
        <v>14.21</v>
      </c>
      <c r="O76" s="16">
        <v>7.08</v>
      </c>
      <c r="P76" s="16">
        <v>43.13</v>
      </c>
      <c r="Q76" s="16">
        <v>21.77</v>
      </c>
      <c r="R76" s="16">
        <v>20.27</v>
      </c>
      <c r="S76" s="16">
        <v>46.86</v>
      </c>
    </row>
    <row r="77" spans="1:19">
      <c r="A77" s="21">
        <v>74</v>
      </c>
      <c r="B77" s="16">
        <v>17.28</v>
      </c>
      <c r="C77" s="16">
        <v>7.18</v>
      </c>
      <c r="D77" s="16">
        <v>28.4</v>
      </c>
      <c r="E77" s="16">
        <v>19.600000000000001</v>
      </c>
      <c r="F77" s="16">
        <v>31.29</v>
      </c>
      <c r="G77" s="16">
        <v>16.670000000000002</v>
      </c>
      <c r="H77" s="16">
        <v>25.91</v>
      </c>
      <c r="I77" s="16">
        <v>51.53</v>
      </c>
      <c r="J77" s="16">
        <v>73.37</v>
      </c>
      <c r="K77" s="16">
        <v>47.29</v>
      </c>
      <c r="L77" s="16">
        <v>35.119999999999997</v>
      </c>
      <c r="M77" s="16">
        <v>28.28</v>
      </c>
      <c r="N77" s="16">
        <v>12.58</v>
      </c>
      <c r="O77" s="16">
        <v>6.62</v>
      </c>
      <c r="P77" s="16">
        <v>42.2</v>
      </c>
      <c r="Q77" s="16">
        <v>19.989999999999998</v>
      </c>
      <c r="R77" s="16">
        <v>18.440000000000001</v>
      </c>
      <c r="S77" s="16">
        <v>44.35</v>
      </c>
    </row>
    <row r="78" spans="1:19">
      <c r="A78" s="21">
        <v>75</v>
      </c>
      <c r="B78" s="16">
        <v>18.059999999999999</v>
      </c>
      <c r="C78" s="16">
        <v>7.51</v>
      </c>
      <c r="D78" s="16">
        <v>24.91</v>
      </c>
      <c r="E78" s="16">
        <v>20.94</v>
      </c>
      <c r="F78" s="16">
        <v>30.59</v>
      </c>
      <c r="G78" s="16">
        <v>16.25</v>
      </c>
      <c r="H78" s="16">
        <v>25.31</v>
      </c>
      <c r="I78" s="16">
        <v>50.35</v>
      </c>
      <c r="J78" s="16">
        <v>73.28</v>
      </c>
      <c r="K78" s="16">
        <v>46.45</v>
      </c>
      <c r="L78" s="16">
        <v>34.909999999999997</v>
      </c>
      <c r="M78" s="16">
        <v>26.65</v>
      </c>
      <c r="N78" s="16">
        <v>12.03</v>
      </c>
      <c r="O78" s="16">
        <v>6.75</v>
      </c>
      <c r="P78" s="16">
        <v>40.19</v>
      </c>
      <c r="Q78" s="16">
        <v>20.02</v>
      </c>
      <c r="R78" s="16">
        <v>15.7</v>
      </c>
      <c r="S78" s="16">
        <v>44.59</v>
      </c>
    </row>
    <row r="79" spans="1:19">
      <c r="A79" s="21">
        <v>76</v>
      </c>
      <c r="B79" s="16">
        <v>17.079999999999998</v>
      </c>
      <c r="C79" s="16">
        <v>7.07</v>
      </c>
      <c r="D79" s="16">
        <v>22.65</v>
      </c>
      <c r="E79" s="16">
        <v>21.92</v>
      </c>
      <c r="F79" s="16">
        <v>32.42</v>
      </c>
      <c r="G79" s="16">
        <v>16.21</v>
      </c>
      <c r="H79" s="16">
        <v>25.31</v>
      </c>
      <c r="I79" s="16">
        <v>54</v>
      </c>
      <c r="J79" s="16">
        <v>73.73</v>
      </c>
      <c r="K79" s="16">
        <v>51.25</v>
      </c>
      <c r="L79" s="16">
        <v>35.340000000000003</v>
      </c>
      <c r="M79" s="16">
        <v>26.54</v>
      </c>
      <c r="N79" s="16">
        <v>12.78</v>
      </c>
      <c r="O79" s="16">
        <v>5.33</v>
      </c>
      <c r="P79" s="16">
        <v>42.03</v>
      </c>
      <c r="Q79" s="16">
        <v>20.46</v>
      </c>
      <c r="R79" s="16">
        <v>15.14</v>
      </c>
      <c r="S79" s="16">
        <v>48.35</v>
      </c>
    </row>
    <row r="80" spans="1:19">
      <c r="A80" s="21">
        <v>77</v>
      </c>
      <c r="B80" s="16">
        <v>20.34</v>
      </c>
      <c r="C80" s="16">
        <v>7.11</v>
      </c>
      <c r="D80" s="16">
        <v>24.66</v>
      </c>
      <c r="E80" s="16">
        <v>23.6</v>
      </c>
      <c r="F80" s="16">
        <v>35.479999999999997</v>
      </c>
      <c r="G80" s="16">
        <v>17.77</v>
      </c>
      <c r="H80" s="16">
        <v>25.58</v>
      </c>
      <c r="I80" s="16">
        <v>58.72</v>
      </c>
      <c r="J80" s="16">
        <v>79.81</v>
      </c>
      <c r="K80" s="16">
        <v>49.92</v>
      </c>
      <c r="L80" s="16">
        <v>35.270000000000003</v>
      </c>
      <c r="M80" s="16">
        <v>28.45</v>
      </c>
      <c r="N80" s="16">
        <v>15.11</v>
      </c>
      <c r="O80" s="16">
        <v>5.47</v>
      </c>
      <c r="P80" s="16">
        <v>44.64</v>
      </c>
      <c r="Q80" s="16">
        <v>21.6</v>
      </c>
      <c r="R80" s="16">
        <v>17.899999999999999</v>
      </c>
      <c r="S80" s="16">
        <v>52.34</v>
      </c>
    </row>
    <row r="81" spans="1:19">
      <c r="A81" s="21">
        <v>78</v>
      </c>
      <c r="B81" s="16">
        <v>21.83</v>
      </c>
      <c r="C81" s="16">
        <v>8.98</v>
      </c>
      <c r="D81" s="16">
        <v>27.88</v>
      </c>
      <c r="E81" s="16">
        <v>23.39</v>
      </c>
      <c r="F81" s="16">
        <v>35.44</v>
      </c>
      <c r="G81" s="16">
        <v>18.72</v>
      </c>
      <c r="H81" s="16">
        <v>26.96</v>
      </c>
      <c r="I81" s="16">
        <v>62.74</v>
      </c>
      <c r="J81" s="16">
        <v>82.92</v>
      </c>
      <c r="K81" s="16">
        <v>48.35</v>
      </c>
      <c r="L81" s="16">
        <v>39.79</v>
      </c>
      <c r="M81" s="16">
        <v>28.27</v>
      </c>
      <c r="N81" s="16">
        <v>16.55</v>
      </c>
      <c r="O81" s="16">
        <v>7.35</v>
      </c>
      <c r="P81" s="16">
        <v>42.65</v>
      </c>
      <c r="Q81" s="16">
        <v>20.79</v>
      </c>
      <c r="R81" s="16">
        <v>19.510000000000002</v>
      </c>
      <c r="S81" s="16">
        <v>48.89</v>
      </c>
    </row>
    <row r="82" spans="1:19">
      <c r="A82" s="21">
        <v>79</v>
      </c>
      <c r="B82" s="16">
        <v>22.62</v>
      </c>
      <c r="C82" s="16">
        <v>9.5299999999999994</v>
      </c>
      <c r="D82" s="16">
        <v>31.2</v>
      </c>
      <c r="E82" s="16">
        <v>24.97</v>
      </c>
      <c r="F82" s="16">
        <v>35.020000000000003</v>
      </c>
      <c r="G82" s="16">
        <v>18.809999999999999</v>
      </c>
      <c r="H82" s="16">
        <v>24.07</v>
      </c>
      <c r="I82" s="16">
        <v>60.87</v>
      </c>
      <c r="J82" s="16">
        <v>77.7</v>
      </c>
      <c r="K82" s="16">
        <v>45.99</v>
      </c>
      <c r="L82" s="16">
        <v>40.71</v>
      </c>
      <c r="M82" s="16">
        <v>28.81</v>
      </c>
      <c r="N82" s="16">
        <v>19.5</v>
      </c>
      <c r="O82" s="16">
        <v>8.1999999999999993</v>
      </c>
      <c r="P82" s="16">
        <v>46.76</v>
      </c>
      <c r="Q82" s="16">
        <v>21.66</v>
      </c>
      <c r="R82" s="16">
        <v>19.579999999999998</v>
      </c>
      <c r="S82" s="16">
        <v>49.96</v>
      </c>
    </row>
    <row r="83" spans="1:19">
      <c r="A83" s="21">
        <v>80</v>
      </c>
      <c r="B83" s="16">
        <v>24.63</v>
      </c>
      <c r="C83" s="16">
        <v>10.54</v>
      </c>
      <c r="D83" s="16">
        <v>30.11</v>
      </c>
      <c r="E83" s="16">
        <v>30.45</v>
      </c>
      <c r="F83" s="16">
        <v>36.96</v>
      </c>
      <c r="G83" s="16">
        <v>20.88</v>
      </c>
      <c r="H83" s="16">
        <v>24.32</v>
      </c>
      <c r="I83" s="16">
        <v>63.19</v>
      </c>
      <c r="J83" s="16">
        <v>76.52</v>
      </c>
      <c r="K83" s="16">
        <v>46.07</v>
      </c>
      <c r="L83" s="16">
        <v>39.450000000000003</v>
      </c>
      <c r="M83" s="16">
        <v>29.95</v>
      </c>
      <c r="N83" s="16">
        <v>20.34</v>
      </c>
      <c r="O83" s="16">
        <v>7.22</v>
      </c>
      <c r="P83" s="16">
        <v>42.69</v>
      </c>
      <c r="Q83" s="16">
        <v>22.31</v>
      </c>
      <c r="R83" s="16">
        <v>18.16</v>
      </c>
      <c r="S83" s="16">
        <v>52.04</v>
      </c>
    </row>
    <row r="84" spans="1:19">
      <c r="A84" s="21">
        <v>81</v>
      </c>
      <c r="B84" s="16">
        <v>25.47</v>
      </c>
      <c r="C84" s="16">
        <v>11.31</v>
      </c>
      <c r="D84" s="16">
        <v>34.17</v>
      </c>
      <c r="E84" s="16">
        <v>32.42</v>
      </c>
      <c r="F84" s="16">
        <v>37.93</v>
      </c>
      <c r="G84" s="16">
        <v>19.53</v>
      </c>
      <c r="H84" s="16">
        <v>24.54</v>
      </c>
      <c r="I84" s="16">
        <v>65.849999999999994</v>
      </c>
      <c r="J84" s="16">
        <v>77.39</v>
      </c>
      <c r="K84" s="16">
        <v>44.31</v>
      </c>
      <c r="L84" s="16">
        <v>38.18</v>
      </c>
      <c r="M84" s="16">
        <v>33.33</v>
      </c>
      <c r="N84" s="16">
        <v>19.809999999999999</v>
      </c>
      <c r="O84" s="16">
        <v>7.44</v>
      </c>
      <c r="P84" s="16">
        <v>41.06</v>
      </c>
      <c r="Q84" s="16">
        <v>22.41</v>
      </c>
      <c r="R84" s="16">
        <v>17.46</v>
      </c>
      <c r="S84" s="16">
        <v>55.08</v>
      </c>
    </row>
    <row r="85" spans="1:19">
      <c r="A85" s="21">
        <v>82</v>
      </c>
      <c r="B85" s="16">
        <v>23.33</v>
      </c>
      <c r="C85" s="16">
        <v>10.36</v>
      </c>
      <c r="D85" s="16">
        <v>31.38</v>
      </c>
      <c r="E85" s="16">
        <v>31.07</v>
      </c>
      <c r="F85" s="16">
        <v>33.92</v>
      </c>
      <c r="G85" s="16">
        <v>19.21</v>
      </c>
      <c r="H85" s="16">
        <v>18.43</v>
      </c>
      <c r="I85" s="16">
        <v>63.28</v>
      </c>
      <c r="J85" s="16">
        <v>83.36</v>
      </c>
      <c r="K85" s="16">
        <v>44.26</v>
      </c>
      <c r="L85" s="16">
        <v>37.869999999999997</v>
      </c>
      <c r="M85" s="16">
        <v>33.200000000000003</v>
      </c>
      <c r="N85" s="16">
        <v>20.8</v>
      </c>
      <c r="O85" s="16">
        <v>8.0399999999999991</v>
      </c>
      <c r="P85" s="16">
        <v>41.6</v>
      </c>
      <c r="Q85" s="16">
        <v>23.49</v>
      </c>
      <c r="R85" s="16">
        <v>17.3</v>
      </c>
      <c r="S85" s="16">
        <v>51.99</v>
      </c>
    </row>
    <row r="86" spans="1:19">
      <c r="A86" s="21">
        <v>83</v>
      </c>
      <c r="B86" s="16">
        <v>28.16</v>
      </c>
      <c r="C86" s="16">
        <v>11.44</v>
      </c>
      <c r="D86" s="16">
        <v>35.18</v>
      </c>
      <c r="E86" s="16">
        <v>33.229999999999997</v>
      </c>
      <c r="F86" s="16">
        <v>34.25</v>
      </c>
      <c r="G86" s="16">
        <v>21.56</v>
      </c>
      <c r="H86" s="16">
        <v>21.72</v>
      </c>
      <c r="I86" s="16">
        <v>74.400000000000006</v>
      </c>
      <c r="J86" s="16">
        <v>84.44</v>
      </c>
      <c r="K86" s="16">
        <v>44.98</v>
      </c>
      <c r="L86" s="16">
        <v>40.909999999999997</v>
      </c>
      <c r="M86" s="16">
        <v>34.61</v>
      </c>
      <c r="N86" s="16">
        <v>22.09</v>
      </c>
      <c r="O86" s="16">
        <v>8.5399999999999991</v>
      </c>
      <c r="P86" s="16">
        <v>36.369999999999997</v>
      </c>
      <c r="Q86" s="16">
        <v>22.21</v>
      </c>
      <c r="R86" s="16">
        <v>18.96</v>
      </c>
      <c r="S86" s="16">
        <v>54.96</v>
      </c>
    </row>
    <row r="87" spans="1:19">
      <c r="A87" s="21">
        <v>84</v>
      </c>
      <c r="B87" s="16">
        <v>29.4</v>
      </c>
      <c r="C87" s="16">
        <v>10.45</v>
      </c>
      <c r="D87" s="16">
        <v>35.24</v>
      </c>
      <c r="E87" s="16">
        <v>34.479999999999997</v>
      </c>
      <c r="F87" s="16">
        <v>35.46</v>
      </c>
      <c r="G87" s="16">
        <v>21.99</v>
      </c>
      <c r="H87" s="16">
        <v>21.66</v>
      </c>
      <c r="I87" s="16">
        <v>71.400000000000006</v>
      </c>
      <c r="J87" s="16">
        <v>85.6</v>
      </c>
      <c r="K87" s="16">
        <v>44.27</v>
      </c>
      <c r="L87" s="16">
        <v>41.19</v>
      </c>
      <c r="M87" s="16">
        <v>35.11</v>
      </c>
      <c r="N87" s="16">
        <v>23</v>
      </c>
      <c r="O87" s="16">
        <v>9.5500000000000007</v>
      </c>
      <c r="P87" s="16">
        <v>33.369999999999997</v>
      </c>
      <c r="Q87" s="16">
        <v>21.84</v>
      </c>
      <c r="R87" s="16">
        <v>18.41</v>
      </c>
      <c r="S87" s="16">
        <v>51.87</v>
      </c>
    </row>
    <row r="88" spans="1:19">
      <c r="A88" s="21">
        <v>85</v>
      </c>
      <c r="B88" s="16">
        <v>34.049999999999997</v>
      </c>
      <c r="C88" s="16">
        <v>10.69</v>
      </c>
      <c r="D88" s="16">
        <v>38.69</v>
      </c>
      <c r="E88" s="16">
        <v>37.64</v>
      </c>
      <c r="F88" s="16">
        <v>39.24</v>
      </c>
      <c r="G88" s="16">
        <v>22.43</v>
      </c>
      <c r="H88" s="16">
        <v>22.82</v>
      </c>
      <c r="I88" s="16">
        <v>66.349999999999994</v>
      </c>
      <c r="J88" s="16">
        <v>87.62</v>
      </c>
      <c r="K88" s="16">
        <v>46.39</v>
      </c>
      <c r="L88" s="16">
        <v>44.95</v>
      </c>
      <c r="M88" s="16">
        <v>43.82</v>
      </c>
      <c r="N88" s="16">
        <v>22.29</v>
      </c>
      <c r="O88" s="16">
        <v>10.119999999999999</v>
      </c>
      <c r="P88" s="16">
        <v>38.299999999999997</v>
      </c>
      <c r="Q88" s="16">
        <v>23.26</v>
      </c>
      <c r="R88" s="16">
        <v>20.61</v>
      </c>
      <c r="S88" s="16">
        <v>49.55</v>
      </c>
    </row>
    <row r="89" spans="1:19">
      <c r="A89" s="21">
        <v>86</v>
      </c>
      <c r="B89" s="16">
        <v>30.63</v>
      </c>
      <c r="C89" s="16">
        <v>11.28</v>
      </c>
      <c r="D89" s="16">
        <v>38.33</v>
      </c>
      <c r="E89" s="16">
        <v>35.58</v>
      </c>
      <c r="F89" s="16">
        <v>37.54</v>
      </c>
      <c r="G89" s="16">
        <v>23.08</v>
      </c>
      <c r="H89" s="16">
        <v>25.26</v>
      </c>
      <c r="I89" s="16">
        <v>66.13</v>
      </c>
      <c r="J89" s="16">
        <v>93.81</v>
      </c>
      <c r="K89" s="16">
        <v>47.97</v>
      </c>
      <c r="L89" s="16">
        <v>43.62</v>
      </c>
      <c r="M89" s="16">
        <v>40.770000000000003</v>
      </c>
      <c r="N89" s="16">
        <v>23.1</v>
      </c>
      <c r="O89" s="16">
        <v>10.33</v>
      </c>
      <c r="P89" s="16">
        <v>39.46</v>
      </c>
      <c r="Q89" s="16">
        <v>23.49</v>
      </c>
      <c r="R89" s="16">
        <v>20.399999999999999</v>
      </c>
      <c r="S89" s="16">
        <v>50.29</v>
      </c>
    </row>
    <row r="90" spans="1:19">
      <c r="A90" s="21">
        <v>87</v>
      </c>
      <c r="B90" s="16">
        <v>33.729999999999997</v>
      </c>
      <c r="C90" s="16">
        <v>11.96</v>
      </c>
      <c r="D90" s="16">
        <v>39.97</v>
      </c>
      <c r="E90" s="16">
        <v>34.5</v>
      </c>
      <c r="F90" s="16">
        <v>38.86</v>
      </c>
      <c r="G90" s="16">
        <v>25.51</v>
      </c>
      <c r="H90" s="16">
        <v>25.38</v>
      </c>
      <c r="I90" s="16">
        <v>67.510000000000005</v>
      </c>
      <c r="J90" s="16">
        <v>91.38</v>
      </c>
      <c r="K90" s="16">
        <v>48.63</v>
      </c>
      <c r="L90" s="16">
        <v>44.25</v>
      </c>
      <c r="M90" s="16">
        <v>39.89</v>
      </c>
      <c r="N90" s="16">
        <v>25.4</v>
      </c>
      <c r="O90" s="16">
        <v>10.7</v>
      </c>
      <c r="P90" s="16">
        <v>39.86</v>
      </c>
      <c r="Q90" s="16">
        <v>22.54</v>
      </c>
      <c r="R90" s="16">
        <v>19.21</v>
      </c>
      <c r="S90" s="16">
        <v>55.63</v>
      </c>
    </row>
    <row r="91" spans="1:19">
      <c r="A91" s="21">
        <v>88</v>
      </c>
      <c r="B91" s="16">
        <v>31.23</v>
      </c>
      <c r="C91" s="16">
        <v>13.52</v>
      </c>
      <c r="D91" s="16">
        <v>37.85</v>
      </c>
      <c r="E91" s="16">
        <v>36.01</v>
      </c>
      <c r="F91" s="16">
        <v>36.39</v>
      </c>
      <c r="G91" s="16">
        <v>24.03</v>
      </c>
      <c r="H91" s="16">
        <v>23.27</v>
      </c>
      <c r="I91" s="16">
        <v>73.94</v>
      </c>
      <c r="J91" s="16">
        <v>86.97</v>
      </c>
      <c r="K91" s="16">
        <v>45.75</v>
      </c>
      <c r="L91" s="16">
        <v>44.78</v>
      </c>
      <c r="M91" s="16">
        <v>39.17</v>
      </c>
      <c r="N91" s="16">
        <v>25.64</v>
      </c>
      <c r="O91" s="16">
        <v>10.24</v>
      </c>
      <c r="P91" s="16">
        <v>36.92</v>
      </c>
      <c r="Q91" s="16">
        <v>21.18</v>
      </c>
      <c r="R91" s="16">
        <v>19.63</v>
      </c>
      <c r="S91" s="16">
        <v>55.87</v>
      </c>
    </row>
    <row r="92" spans="1:19">
      <c r="A92" s="21">
        <v>89</v>
      </c>
      <c r="B92" s="16">
        <v>27.68</v>
      </c>
      <c r="C92" s="16">
        <v>12.89</v>
      </c>
      <c r="D92" s="16">
        <v>39.340000000000003</v>
      </c>
      <c r="E92" s="16">
        <v>35.56</v>
      </c>
      <c r="F92" s="16">
        <v>37.020000000000003</v>
      </c>
      <c r="G92" s="16">
        <v>22.14</v>
      </c>
      <c r="H92" s="16">
        <v>22.93</v>
      </c>
      <c r="I92" s="16">
        <v>70.739999999999995</v>
      </c>
      <c r="J92" s="16">
        <v>83.49</v>
      </c>
      <c r="K92" s="16">
        <v>48.73</v>
      </c>
      <c r="L92" s="16">
        <v>45.02</v>
      </c>
      <c r="M92" s="16">
        <v>39.31</v>
      </c>
      <c r="N92" s="16">
        <v>24.44</v>
      </c>
      <c r="O92" s="16">
        <v>10.42</v>
      </c>
      <c r="P92" s="16">
        <v>39.270000000000003</v>
      </c>
      <c r="Q92" s="16">
        <v>22.2</v>
      </c>
      <c r="R92" s="16">
        <v>20.170000000000002</v>
      </c>
      <c r="S92" s="16">
        <v>53.36</v>
      </c>
    </row>
    <row r="93" spans="1:19">
      <c r="A93" s="21">
        <v>90</v>
      </c>
      <c r="B93" s="16">
        <v>28.31</v>
      </c>
      <c r="C93" s="16">
        <v>14.03</v>
      </c>
      <c r="D93" s="16">
        <v>42.41</v>
      </c>
      <c r="E93" s="16">
        <v>34.47</v>
      </c>
      <c r="F93" s="16">
        <v>37.549999999999997</v>
      </c>
      <c r="G93" s="16">
        <v>22.57</v>
      </c>
      <c r="H93" s="16">
        <v>23.5</v>
      </c>
      <c r="I93" s="16">
        <v>72.38</v>
      </c>
      <c r="J93" s="16">
        <v>84.06</v>
      </c>
      <c r="K93" s="16">
        <v>50.51</v>
      </c>
      <c r="L93" s="16">
        <v>45.71</v>
      </c>
      <c r="M93" s="16">
        <v>38.06</v>
      </c>
      <c r="N93" s="16">
        <v>23.69</v>
      </c>
      <c r="O93" s="16">
        <v>9.02</v>
      </c>
      <c r="P93" s="16">
        <v>39.520000000000003</v>
      </c>
      <c r="Q93" s="16">
        <v>22.29</v>
      </c>
      <c r="R93" s="16">
        <v>19.2</v>
      </c>
      <c r="S93" s="16">
        <v>52.29</v>
      </c>
    </row>
    <row r="94" spans="1:19">
      <c r="A94" s="21">
        <v>91</v>
      </c>
      <c r="B94" s="16">
        <v>29.88</v>
      </c>
      <c r="C94" s="16">
        <v>16.27</v>
      </c>
      <c r="D94" s="16">
        <v>47.3</v>
      </c>
      <c r="E94" s="16">
        <v>36.35</v>
      </c>
      <c r="F94" s="16">
        <v>38.61</v>
      </c>
      <c r="G94" s="16">
        <v>24.51</v>
      </c>
      <c r="H94" s="16">
        <v>24.22</v>
      </c>
      <c r="I94" s="16">
        <v>80.44</v>
      </c>
      <c r="J94" s="16">
        <v>83.64</v>
      </c>
      <c r="K94" s="16">
        <v>50.5</v>
      </c>
      <c r="L94" s="16">
        <v>45.16</v>
      </c>
      <c r="M94" s="16">
        <v>39.06</v>
      </c>
      <c r="N94" s="16">
        <v>23.34</v>
      </c>
      <c r="O94" s="16">
        <v>9.5500000000000007</v>
      </c>
      <c r="P94" s="16">
        <v>39.99</v>
      </c>
      <c r="Q94" s="16">
        <v>24.27</v>
      </c>
      <c r="R94" s="16">
        <v>19.64</v>
      </c>
      <c r="S94" s="16">
        <v>49.26</v>
      </c>
    </row>
    <row r="95" spans="1:19">
      <c r="A95" s="21">
        <v>92</v>
      </c>
      <c r="B95" s="16">
        <v>28.97</v>
      </c>
      <c r="C95" s="16">
        <v>16.170000000000002</v>
      </c>
      <c r="D95" s="16">
        <v>46.99</v>
      </c>
      <c r="E95" s="16">
        <v>33.799999999999997</v>
      </c>
      <c r="F95" s="16">
        <v>37.26</v>
      </c>
      <c r="G95" s="16">
        <v>22.2</v>
      </c>
      <c r="H95" s="16">
        <v>23.78</v>
      </c>
      <c r="I95" s="16">
        <v>80.62</v>
      </c>
      <c r="J95" s="16">
        <v>82.62</v>
      </c>
      <c r="K95" s="16">
        <v>50.11</v>
      </c>
      <c r="L95" s="16">
        <v>39.24</v>
      </c>
      <c r="M95" s="16">
        <v>36.17</v>
      </c>
      <c r="N95" s="16">
        <v>24.68</v>
      </c>
      <c r="O95" s="16">
        <v>9.08</v>
      </c>
      <c r="P95" s="16">
        <v>38.18</v>
      </c>
      <c r="Q95" s="16">
        <v>24.21</v>
      </c>
      <c r="R95" s="16">
        <v>20.79</v>
      </c>
      <c r="S95" s="16">
        <v>49.74</v>
      </c>
    </row>
    <row r="96" spans="1:19">
      <c r="A96" s="21">
        <v>93</v>
      </c>
      <c r="B96" s="16">
        <v>29.43</v>
      </c>
      <c r="C96" s="16">
        <v>17.25</v>
      </c>
      <c r="D96" s="16">
        <v>48.55</v>
      </c>
      <c r="E96" s="16">
        <v>33.43</v>
      </c>
      <c r="F96" s="16">
        <v>37.04</v>
      </c>
      <c r="G96" s="16">
        <v>21.59</v>
      </c>
      <c r="H96" s="16">
        <v>26.56</v>
      </c>
      <c r="I96" s="16">
        <v>80.73</v>
      </c>
      <c r="J96" s="16">
        <v>80.53</v>
      </c>
      <c r="K96" s="16">
        <v>52.95</v>
      </c>
      <c r="L96" s="16">
        <v>40</v>
      </c>
      <c r="M96" s="16">
        <v>35.049999999999997</v>
      </c>
      <c r="N96" s="16">
        <v>24.25</v>
      </c>
      <c r="O96" s="16">
        <v>9.34</v>
      </c>
      <c r="P96" s="16">
        <v>37.86</v>
      </c>
      <c r="Q96" s="16">
        <v>23.26</v>
      </c>
      <c r="R96" s="16">
        <v>21.16</v>
      </c>
      <c r="S96" s="16">
        <v>49.54</v>
      </c>
    </row>
    <row r="97" spans="1:19">
      <c r="A97" s="21">
        <v>94</v>
      </c>
      <c r="B97" s="16">
        <v>30.53</v>
      </c>
      <c r="C97" s="16">
        <v>19.38</v>
      </c>
      <c r="D97" s="16">
        <v>47.99</v>
      </c>
      <c r="E97" s="16">
        <v>37</v>
      </c>
      <c r="F97" s="16">
        <v>37.520000000000003</v>
      </c>
      <c r="G97" s="16">
        <v>21.68</v>
      </c>
      <c r="H97" s="16">
        <v>28.93</v>
      </c>
      <c r="I97" s="16">
        <v>84.45</v>
      </c>
      <c r="J97" s="16">
        <v>81.53</v>
      </c>
      <c r="K97" s="16">
        <v>51.33</v>
      </c>
      <c r="L97" s="16">
        <v>36.04</v>
      </c>
      <c r="M97" s="16">
        <v>36.04</v>
      </c>
      <c r="N97" s="16">
        <v>25.16</v>
      </c>
      <c r="O97" s="16">
        <v>9.11</v>
      </c>
      <c r="P97" s="16">
        <v>28.02</v>
      </c>
      <c r="Q97" s="16">
        <v>23.56</v>
      </c>
      <c r="R97" s="16">
        <v>21.3</v>
      </c>
      <c r="S97" s="16">
        <v>50.03</v>
      </c>
    </row>
    <row r="98" spans="1:19">
      <c r="A98" s="21">
        <v>95</v>
      </c>
      <c r="B98" s="16">
        <v>29.54</v>
      </c>
      <c r="C98" s="16">
        <v>26.2</v>
      </c>
      <c r="D98" s="16">
        <v>46.39</v>
      </c>
      <c r="E98" s="16">
        <v>37.229999999999997</v>
      </c>
      <c r="F98" s="16">
        <v>37.58</v>
      </c>
      <c r="G98" s="16">
        <v>24.25</v>
      </c>
      <c r="H98" s="16">
        <v>27.41</v>
      </c>
      <c r="I98" s="16">
        <v>89.8</v>
      </c>
      <c r="J98" s="16">
        <v>85.34</v>
      </c>
      <c r="K98" s="16">
        <v>53.2</v>
      </c>
      <c r="L98" s="16">
        <v>36.590000000000003</v>
      </c>
      <c r="M98" s="16">
        <v>32.71</v>
      </c>
      <c r="N98" s="16">
        <v>26.16</v>
      </c>
      <c r="O98" s="16">
        <v>9.3800000000000008</v>
      </c>
      <c r="P98" s="16">
        <v>26.59</v>
      </c>
      <c r="Q98" s="16">
        <v>23.84</v>
      </c>
      <c r="R98" s="16">
        <v>20.97</v>
      </c>
      <c r="S98" s="16">
        <v>50.71</v>
      </c>
    </row>
    <row r="99" spans="1:19">
      <c r="A99" s="21">
        <v>96</v>
      </c>
      <c r="B99" s="16">
        <v>31.03</v>
      </c>
      <c r="C99" s="16">
        <v>33.53</v>
      </c>
      <c r="D99" s="16">
        <v>49.99</v>
      </c>
      <c r="E99" s="16">
        <v>42.32</v>
      </c>
      <c r="F99" s="16">
        <v>40.04</v>
      </c>
      <c r="G99" s="16">
        <v>25.85</v>
      </c>
      <c r="H99" s="16">
        <v>29.61</v>
      </c>
      <c r="I99" s="16">
        <v>93.65</v>
      </c>
      <c r="J99" s="16">
        <v>89.78</v>
      </c>
      <c r="K99" s="16">
        <v>55.23</v>
      </c>
      <c r="L99" s="16">
        <v>35.590000000000003</v>
      </c>
      <c r="M99" s="16">
        <v>33.17</v>
      </c>
      <c r="N99" s="16">
        <v>28.1</v>
      </c>
      <c r="O99" s="16">
        <v>11.13</v>
      </c>
      <c r="P99" s="16">
        <v>23.79</v>
      </c>
      <c r="Q99" s="16">
        <v>25.46</v>
      </c>
      <c r="R99" s="16">
        <v>20.9</v>
      </c>
      <c r="S99" s="16">
        <v>48.96</v>
      </c>
    </row>
    <row r="100" spans="1:19">
      <c r="A100" s="21">
        <v>97</v>
      </c>
      <c r="B100" s="16">
        <v>28.68</v>
      </c>
      <c r="C100" s="16">
        <v>32.200000000000003</v>
      </c>
      <c r="D100" s="16">
        <v>48.31</v>
      </c>
      <c r="E100" s="16">
        <v>45.07</v>
      </c>
      <c r="F100" s="16">
        <v>43.33</v>
      </c>
      <c r="G100" s="16">
        <v>26.97</v>
      </c>
      <c r="H100" s="16">
        <v>29.19</v>
      </c>
      <c r="I100" s="16">
        <v>97.13</v>
      </c>
      <c r="J100" s="16">
        <v>93.92</v>
      </c>
      <c r="K100" s="16">
        <v>58.07</v>
      </c>
      <c r="L100" s="16">
        <v>37.700000000000003</v>
      </c>
      <c r="M100" s="16">
        <v>34.43</v>
      </c>
      <c r="N100" s="16">
        <v>29.31</v>
      </c>
      <c r="O100" s="16">
        <v>11.97</v>
      </c>
      <c r="P100" s="16">
        <v>27.67</v>
      </c>
      <c r="Q100" s="16">
        <v>25.38</v>
      </c>
      <c r="R100" s="16">
        <v>21.39</v>
      </c>
      <c r="S100" s="16">
        <v>49.8</v>
      </c>
    </row>
    <row r="101" spans="1:19">
      <c r="A101" s="21">
        <v>98</v>
      </c>
      <c r="B101" s="16">
        <v>26.95</v>
      </c>
      <c r="C101" s="16">
        <v>38.450000000000003</v>
      </c>
      <c r="D101" s="16">
        <v>47.22</v>
      </c>
      <c r="E101" s="16">
        <v>41.37</v>
      </c>
      <c r="F101" s="16">
        <v>42.02</v>
      </c>
      <c r="G101" s="16">
        <v>27.77</v>
      </c>
      <c r="H101" s="16">
        <v>29.95</v>
      </c>
      <c r="I101" s="16">
        <v>94.33</v>
      </c>
      <c r="J101" s="16">
        <v>89</v>
      </c>
      <c r="K101" s="16">
        <v>59.24</v>
      </c>
      <c r="L101" s="16">
        <v>37.57</v>
      </c>
      <c r="M101" s="16">
        <v>31.64</v>
      </c>
      <c r="N101" s="16">
        <v>29.61</v>
      </c>
      <c r="O101" s="16">
        <v>12.51</v>
      </c>
      <c r="P101" s="16">
        <v>24.15</v>
      </c>
      <c r="Q101" s="16">
        <v>24.96</v>
      </c>
      <c r="R101" s="16">
        <v>19.98</v>
      </c>
      <c r="S101" s="16">
        <v>49.4</v>
      </c>
    </row>
    <row r="102" spans="1:19">
      <c r="A102" s="21">
        <v>99</v>
      </c>
      <c r="B102" s="16">
        <v>29.48</v>
      </c>
      <c r="C102" s="16">
        <v>44.86</v>
      </c>
      <c r="D102" s="16">
        <v>51.54</v>
      </c>
      <c r="E102" s="16">
        <v>44.13</v>
      </c>
      <c r="F102" s="16">
        <v>47.42</v>
      </c>
      <c r="G102" s="16">
        <v>27.11</v>
      </c>
      <c r="H102" s="16">
        <v>30.77</v>
      </c>
      <c r="I102" s="16">
        <v>96.43</v>
      </c>
      <c r="J102" s="16">
        <v>88.37</v>
      </c>
      <c r="K102" s="16">
        <v>60.32</v>
      </c>
      <c r="L102" s="16">
        <v>38.75</v>
      </c>
      <c r="M102" s="16">
        <v>31.06</v>
      </c>
      <c r="N102" s="16">
        <v>30.24</v>
      </c>
      <c r="O102" s="16">
        <v>12.86</v>
      </c>
      <c r="P102" s="16">
        <v>27.29</v>
      </c>
      <c r="Q102" s="16">
        <v>23.97</v>
      </c>
      <c r="R102" s="16">
        <v>20.23</v>
      </c>
      <c r="S102" s="16">
        <v>48.66</v>
      </c>
    </row>
    <row r="103" spans="1:19">
      <c r="A103" s="21">
        <v>100</v>
      </c>
      <c r="B103" s="16">
        <v>27.89</v>
      </c>
      <c r="C103" s="16">
        <v>41.67</v>
      </c>
      <c r="D103" s="16">
        <v>54.81</v>
      </c>
      <c r="E103" s="16">
        <v>42.45</v>
      </c>
      <c r="F103" s="16">
        <v>45.58</v>
      </c>
      <c r="G103" s="16">
        <v>27.87</v>
      </c>
      <c r="H103" s="16">
        <v>29.46</v>
      </c>
      <c r="I103" s="16">
        <v>92.72</v>
      </c>
      <c r="J103" s="16">
        <v>87.23</v>
      </c>
      <c r="K103" s="16">
        <v>61.76</v>
      </c>
      <c r="L103" s="16">
        <v>37.979999999999997</v>
      </c>
      <c r="M103" s="16">
        <v>25.6</v>
      </c>
      <c r="N103" s="16">
        <v>28.47</v>
      </c>
      <c r="O103" s="16">
        <v>12.96</v>
      </c>
      <c r="P103" s="16">
        <v>28.2</v>
      </c>
      <c r="Q103" s="16">
        <v>23.03</v>
      </c>
      <c r="R103" s="16">
        <v>19.920000000000002</v>
      </c>
      <c r="S103" s="16">
        <v>47.38</v>
      </c>
    </row>
    <row r="104" spans="1:19">
      <c r="A104" s="21">
        <v>101</v>
      </c>
      <c r="B104" s="16">
        <v>26.63</v>
      </c>
      <c r="C104" s="16">
        <v>36.06</v>
      </c>
      <c r="D104" s="16">
        <v>55.81</v>
      </c>
      <c r="E104" s="16">
        <v>41.07</v>
      </c>
      <c r="F104" s="16">
        <v>41.91</v>
      </c>
      <c r="G104" s="16">
        <v>25.61</v>
      </c>
      <c r="H104" s="16">
        <v>22.63</v>
      </c>
      <c r="I104" s="16">
        <v>83.83</v>
      </c>
      <c r="J104" s="16">
        <v>72.91</v>
      </c>
      <c r="K104" s="16">
        <v>63.11</v>
      </c>
      <c r="L104" s="16">
        <v>39.590000000000003</v>
      </c>
      <c r="M104" s="16">
        <v>23.24</v>
      </c>
      <c r="N104" s="16">
        <v>26.79</v>
      </c>
      <c r="O104" s="16">
        <v>12.88</v>
      </c>
      <c r="P104" s="16">
        <v>29.53</v>
      </c>
      <c r="Q104" s="16">
        <v>24.1</v>
      </c>
      <c r="R104" s="16">
        <v>20.28</v>
      </c>
      <c r="S104" s="16">
        <v>44.57</v>
      </c>
    </row>
    <row r="105" spans="1:19">
      <c r="A105" s="21">
        <v>102</v>
      </c>
      <c r="B105" s="16">
        <v>25</v>
      </c>
      <c r="C105" s="16">
        <v>39.76</v>
      </c>
      <c r="D105" s="16">
        <v>60.16</v>
      </c>
      <c r="E105" s="16">
        <v>43.9</v>
      </c>
      <c r="F105" s="16">
        <v>41.7</v>
      </c>
      <c r="G105" s="16">
        <v>26.62</v>
      </c>
      <c r="H105" s="16">
        <v>24.01</v>
      </c>
      <c r="I105" s="16">
        <v>88.25</v>
      </c>
      <c r="J105" s="16">
        <v>72.31</v>
      </c>
      <c r="K105" s="16">
        <v>62</v>
      </c>
      <c r="L105" s="16">
        <v>40.68</v>
      </c>
      <c r="M105" s="16">
        <v>27.92</v>
      </c>
      <c r="N105" s="16">
        <v>28.28</v>
      </c>
      <c r="O105" s="16">
        <v>13.3</v>
      </c>
      <c r="P105" s="16">
        <v>28.26</v>
      </c>
      <c r="Q105" s="16">
        <v>24.66</v>
      </c>
      <c r="R105" s="16">
        <v>19.93</v>
      </c>
      <c r="S105" s="16">
        <v>44.8</v>
      </c>
    </row>
    <row r="106" spans="1:19">
      <c r="A106" s="21">
        <v>103</v>
      </c>
      <c r="B106" s="16">
        <v>24.1</v>
      </c>
      <c r="C106" s="16">
        <v>36.81</v>
      </c>
      <c r="D106" s="16">
        <v>62.14</v>
      </c>
      <c r="E106" s="16">
        <v>44.46</v>
      </c>
      <c r="F106" s="16">
        <v>38.56</v>
      </c>
      <c r="G106" s="16">
        <v>24.43</v>
      </c>
      <c r="H106" s="16">
        <v>24.53</v>
      </c>
      <c r="I106" s="16">
        <v>80.02</v>
      </c>
      <c r="J106" s="16">
        <v>71.010000000000005</v>
      </c>
      <c r="K106" s="16">
        <v>60.06</v>
      </c>
      <c r="L106" s="16">
        <v>38.299999999999997</v>
      </c>
      <c r="M106" s="16">
        <v>30.11</v>
      </c>
      <c r="N106" s="16">
        <v>25.37</v>
      </c>
      <c r="O106" s="16">
        <v>12.95</v>
      </c>
      <c r="P106" s="16">
        <v>27.15</v>
      </c>
      <c r="Q106" s="16">
        <v>23.74</v>
      </c>
      <c r="R106" s="16">
        <v>20.239999999999998</v>
      </c>
      <c r="S106" s="16">
        <v>45.72</v>
      </c>
    </row>
    <row r="107" spans="1:19">
      <c r="A107" s="21">
        <v>104</v>
      </c>
      <c r="B107" s="16">
        <v>25.88</v>
      </c>
      <c r="C107" s="16">
        <v>42.65</v>
      </c>
      <c r="D107" s="16">
        <v>62.15</v>
      </c>
      <c r="E107" s="16">
        <v>50.53</v>
      </c>
      <c r="F107" s="16">
        <v>38.270000000000003</v>
      </c>
      <c r="G107" s="16">
        <v>24.87</v>
      </c>
      <c r="H107" s="16">
        <v>24.43</v>
      </c>
      <c r="I107" s="16">
        <v>83.06</v>
      </c>
      <c r="J107" s="16">
        <v>79.88</v>
      </c>
      <c r="K107" s="16">
        <v>59.1</v>
      </c>
      <c r="L107" s="16">
        <v>40.14</v>
      </c>
      <c r="M107" s="16">
        <v>32.6</v>
      </c>
      <c r="N107" s="16">
        <v>28.49</v>
      </c>
      <c r="O107" s="16">
        <v>13.41</v>
      </c>
      <c r="P107" s="16">
        <v>27.38</v>
      </c>
      <c r="Q107" s="16">
        <v>24.48</v>
      </c>
      <c r="R107" s="16">
        <v>21.12</v>
      </c>
      <c r="S107" s="16">
        <v>46.81</v>
      </c>
    </row>
    <row r="108" spans="1:19">
      <c r="A108" s="21">
        <v>105</v>
      </c>
      <c r="B108" s="16">
        <v>24.84</v>
      </c>
      <c r="C108" s="16">
        <v>46.89</v>
      </c>
      <c r="D108" s="16">
        <v>63.33</v>
      </c>
      <c r="E108" s="16">
        <v>52.01</v>
      </c>
      <c r="F108" s="16">
        <v>35.79</v>
      </c>
      <c r="G108" s="16">
        <v>24.44</v>
      </c>
      <c r="H108" s="16">
        <v>22.27</v>
      </c>
      <c r="I108" s="16">
        <v>80.44</v>
      </c>
      <c r="J108" s="16">
        <v>77.34</v>
      </c>
      <c r="K108" s="16">
        <v>58.88</v>
      </c>
      <c r="L108" s="16">
        <v>40.36</v>
      </c>
      <c r="M108" s="16">
        <v>30.71</v>
      </c>
      <c r="N108" s="16">
        <v>29.67</v>
      </c>
      <c r="O108" s="16">
        <v>14.16</v>
      </c>
      <c r="P108" s="16">
        <v>25.22</v>
      </c>
      <c r="Q108" s="16">
        <v>26.25</v>
      </c>
      <c r="R108" s="16">
        <v>20.8</v>
      </c>
      <c r="S108" s="16">
        <v>42.78</v>
      </c>
    </row>
    <row r="109" spans="1:19">
      <c r="A109" s="21">
        <v>106</v>
      </c>
      <c r="B109" s="16">
        <v>22.65</v>
      </c>
      <c r="C109" s="16">
        <v>53.61</v>
      </c>
      <c r="D109" s="16">
        <v>64.209999999999994</v>
      </c>
      <c r="E109" s="16">
        <v>55.07</v>
      </c>
      <c r="F109" s="16">
        <v>35.43</v>
      </c>
      <c r="G109" s="16">
        <v>23.41</v>
      </c>
      <c r="H109" s="16">
        <v>22.23</v>
      </c>
      <c r="I109" s="16">
        <v>86.15</v>
      </c>
      <c r="J109" s="16">
        <v>76.959999999999994</v>
      </c>
      <c r="K109" s="16">
        <v>58.78</v>
      </c>
      <c r="L109" s="16">
        <v>39.869999999999997</v>
      </c>
      <c r="M109" s="16">
        <v>27.49</v>
      </c>
      <c r="N109" s="16">
        <v>30.62</v>
      </c>
      <c r="O109" s="16">
        <v>14.93</v>
      </c>
      <c r="P109" s="16">
        <v>24.31</v>
      </c>
      <c r="Q109" s="16">
        <v>24.66</v>
      </c>
      <c r="R109" s="16">
        <v>20.71</v>
      </c>
      <c r="S109" s="16">
        <v>41.7</v>
      </c>
    </row>
    <row r="110" spans="1:19">
      <c r="A110" s="21">
        <v>107</v>
      </c>
      <c r="B110" s="16">
        <v>22.52</v>
      </c>
      <c r="C110" s="16">
        <v>57.59</v>
      </c>
      <c r="D110" s="16">
        <v>61.08</v>
      </c>
      <c r="E110" s="16">
        <v>49.52</v>
      </c>
      <c r="F110" s="16">
        <v>37.71</v>
      </c>
      <c r="G110" s="16">
        <v>23.64</v>
      </c>
      <c r="H110" s="16">
        <v>20.25</v>
      </c>
      <c r="I110" s="16">
        <v>90.89</v>
      </c>
      <c r="J110" s="16">
        <v>78.55</v>
      </c>
      <c r="K110" s="16">
        <v>58.16</v>
      </c>
      <c r="L110" s="16">
        <v>39.49</v>
      </c>
      <c r="M110" s="16">
        <v>24.61</v>
      </c>
      <c r="N110" s="16">
        <v>28.89</v>
      </c>
      <c r="O110" s="16">
        <v>15.2</v>
      </c>
      <c r="P110" s="16">
        <v>25.21</v>
      </c>
      <c r="Q110" s="16">
        <v>24.64</v>
      </c>
      <c r="R110" s="16">
        <v>20.88</v>
      </c>
      <c r="S110" s="16">
        <v>45.02</v>
      </c>
    </row>
    <row r="111" spans="1:19">
      <c r="A111" s="21">
        <v>108</v>
      </c>
      <c r="B111" s="16">
        <v>25.57</v>
      </c>
      <c r="C111" s="16">
        <v>67.819999999999993</v>
      </c>
      <c r="D111" s="16">
        <v>64.680000000000007</v>
      </c>
      <c r="E111" s="16">
        <v>54.4</v>
      </c>
      <c r="F111" s="16">
        <v>39.01</v>
      </c>
      <c r="G111" s="16">
        <v>24.19</v>
      </c>
      <c r="H111" s="16">
        <v>22.17</v>
      </c>
      <c r="I111" s="16">
        <v>96.52</v>
      </c>
      <c r="J111" s="16">
        <v>85.49</v>
      </c>
      <c r="K111" s="16">
        <v>57.66</v>
      </c>
      <c r="L111" s="16">
        <v>39.67</v>
      </c>
      <c r="M111" s="16">
        <v>20.04</v>
      </c>
      <c r="N111" s="16">
        <v>31.58</v>
      </c>
      <c r="O111" s="16">
        <v>14.74</v>
      </c>
      <c r="P111" s="16">
        <v>26.6</v>
      </c>
      <c r="Q111" s="16">
        <v>26.61</v>
      </c>
      <c r="R111" s="16">
        <v>21.81</v>
      </c>
      <c r="S111" s="16">
        <v>46.21</v>
      </c>
    </row>
    <row r="112" spans="1:19">
      <c r="A112" s="21">
        <v>109</v>
      </c>
      <c r="B112" s="16">
        <v>27.59</v>
      </c>
      <c r="C112" s="16">
        <v>71.89</v>
      </c>
      <c r="D112" s="16">
        <v>66.63</v>
      </c>
      <c r="E112" s="16">
        <v>54.39</v>
      </c>
      <c r="F112" s="16">
        <v>38.78</v>
      </c>
      <c r="G112" s="16">
        <v>23.5</v>
      </c>
      <c r="H112" s="16">
        <v>21.64</v>
      </c>
      <c r="I112" s="16">
        <v>102.31</v>
      </c>
      <c r="J112" s="16">
        <v>79.05</v>
      </c>
      <c r="K112" s="16">
        <v>56.12</v>
      </c>
      <c r="L112" s="16">
        <v>37.450000000000003</v>
      </c>
      <c r="M112" s="16">
        <v>17.77</v>
      </c>
      <c r="N112" s="16">
        <v>31.46</v>
      </c>
      <c r="O112" s="16">
        <v>15.29</v>
      </c>
      <c r="P112" s="16">
        <v>28.79</v>
      </c>
      <c r="Q112" s="16">
        <v>25.14</v>
      </c>
      <c r="R112" s="16">
        <v>21.44</v>
      </c>
      <c r="S112" s="16">
        <v>44.67</v>
      </c>
    </row>
    <row r="113" spans="1:19">
      <c r="A113" s="21">
        <v>110</v>
      </c>
      <c r="B113" s="16">
        <v>29.39</v>
      </c>
      <c r="C113" s="16">
        <v>75.510000000000005</v>
      </c>
      <c r="D113" s="16">
        <v>64.8</v>
      </c>
      <c r="E113" s="16">
        <v>64.19</v>
      </c>
      <c r="F113" s="16">
        <v>35.72</v>
      </c>
      <c r="G113" s="16">
        <v>24.81</v>
      </c>
      <c r="H113" s="16">
        <v>23.21</v>
      </c>
      <c r="I113" s="16">
        <v>100.09</v>
      </c>
      <c r="J113" s="16">
        <v>78.180000000000007</v>
      </c>
      <c r="K113" s="16">
        <v>53.73</v>
      </c>
      <c r="L113" s="16">
        <v>38.450000000000003</v>
      </c>
      <c r="M113" s="16">
        <v>22.01</v>
      </c>
      <c r="N113" s="16">
        <v>32.659999999999997</v>
      </c>
      <c r="O113" s="16">
        <v>14.8</v>
      </c>
      <c r="P113" s="16">
        <v>31.22</v>
      </c>
      <c r="Q113" s="16">
        <v>27.06</v>
      </c>
      <c r="R113" s="16">
        <v>23.03</v>
      </c>
      <c r="S113" s="16">
        <v>44.01</v>
      </c>
    </row>
    <row r="114" spans="1:19">
      <c r="A114" s="21">
        <v>111</v>
      </c>
      <c r="B114" s="16">
        <v>27.49</v>
      </c>
      <c r="C114" s="16">
        <v>68.489999999999995</v>
      </c>
      <c r="D114" s="16">
        <v>69.239999999999995</v>
      </c>
      <c r="E114" s="16">
        <v>69.08</v>
      </c>
      <c r="F114" s="16">
        <v>37.06</v>
      </c>
      <c r="G114" s="16">
        <v>27.44</v>
      </c>
      <c r="H114" s="16">
        <v>25.94</v>
      </c>
      <c r="I114" s="16">
        <v>106.12</v>
      </c>
      <c r="J114" s="16">
        <v>77.36</v>
      </c>
      <c r="K114" s="16">
        <v>54.13</v>
      </c>
      <c r="L114" s="16">
        <v>39</v>
      </c>
      <c r="M114" s="16">
        <v>18.8</v>
      </c>
      <c r="N114" s="16">
        <v>32.57</v>
      </c>
      <c r="O114" s="16">
        <v>14.71</v>
      </c>
      <c r="P114" s="16">
        <v>31.55</v>
      </c>
      <c r="Q114" s="16">
        <v>25.92</v>
      </c>
      <c r="R114" s="16">
        <v>24.49</v>
      </c>
      <c r="S114" s="16">
        <v>43.3</v>
      </c>
    </row>
    <row r="115" spans="1:19">
      <c r="A115" s="21">
        <v>112</v>
      </c>
      <c r="B115" s="16">
        <v>28.65</v>
      </c>
      <c r="C115" s="16">
        <v>62.72</v>
      </c>
      <c r="D115" s="16">
        <v>74.239999999999995</v>
      </c>
      <c r="E115" s="16">
        <v>67.88</v>
      </c>
      <c r="F115" s="16">
        <v>38.869999999999997</v>
      </c>
      <c r="G115" s="16">
        <v>27.34</v>
      </c>
      <c r="H115" s="16">
        <v>26.3</v>
      </c>
      <c r="I115" s="16">
        <v>111.84</v>
      </c>
      <c r="J115" s="16">
        <v>79.510000000000005</v>
      </c>
      <c r="K115" s="16">
        <v>55.61</v>
      </c>
      <c r="L115" s="16">
        <v>39.19</v>
      </c>
      <c r="M115" s="16">
        <v>19.68</v>
      </c>
      <c r="N115" s="16">
        <v>32.06</v>
      </c>
      <c r="O115" s="16">
        <v>14.66</v>
      </c>
      <c r="P115" s="16">
        <v>32.229999999999997</v>
      </c>
      <c r="Q115" s="16">
        <v>26.25</v>
      </c>
      <c r="R115" s="16">
        <v>24</v>
      </c>
      <c r="S115" s="16">
        <v>45.26</v>
      </c>
    </row>
    <row r="116" spans="1:19">
      <c r="A116" s="21">
        <v>113</v>
      </c>
      <c r="B116" s="16">
        <v>31.67</v>
      </c>
      <c r="C116" s="16">
        <v>70.39</v>
      </c>
      <c r="D116" s="16">
        <v>79.489999999999995</v>
      </c>
      <c r="E116" s="16">
        <v>71.819999999999993</v>
      </c>
      <c r="F116" s="16">
        <v>40.61</v>
      </c>
      <c r="G116" s="16">
        <v>27.41</v>
      </c>
      <c r="H116" s="16">
        <v>24.93</v>
      </c>
      <c r="I116" s="16">
        <v>114.01</v>
      </c>
      <c r="J116" s="16">
        <v>79.38</v>
      </c>
      <c r="K116" s="16">
        <v>55.03</v>
      </c>
      <c r="L116" s="16">
        <v>39.270000000000003</v>
      </c>
      <c r="M116" s="16">
        <v>21.17</v>
      </c>
      <c r="N116" s="16">
        <v>32.25</v>
      </c>
      <c r="O116" s="16">
        <v>15.13</v>
      </c>
      <c r="P116" s="16">
        <v>31.49</v>
      </c>
      <c r="Q116" s="16">
        <v>23.3</v>
      </c>
      <c r="R116" s="16">
        <v>23.55</v>
      </c>
      <c r="S116" s="16">
        <v>43.14</v>
      </c>
    </row>
    <row r="117" spans="1:19">
      <c r="A117" s="21">
        <v>114</v>
      </c>
      <c r="B117" s="16">
        <v>29.87</v>
      </c>
      <c r="C117" s="16">
        <v>59.77</v>
      </c>
      <c r="D117" s="16">
        <v>79.569999999999993</v>
      </c>
      <c r="E117" s="16">
        <v>69.180000000000007</v>
      </c>
      <c r="F117" s="16">
        <v>39.479999999999997</v>
      </c>
      <c r="G117" s="16">
        <v>29.9</v>
      </c>
      <c r="H117" s="16">
        <v>22.52</v>
      </c>
      <c r="I117" s="16">
        <v>108.2</v>
      </c>
      <c r="J117" s="16">
        <v>77.31</v>
      </c>
      <c r="K117" s="16">
        <v>56.9</v>
      </c>
      <c r="L117" s="16">
        <v>41.21</v>
      </c>
      <c r="M117" s="16">
        <v>25.17</v>
      </c>
      <c r="N117" s="16">
        <v>30.95</v>
      </c>
      <c r="O117" s="16">
        <v>14.97</v>
      </c>
      <c r="P117" s="16">
        <v>30.81</v>
      </c>
      <c r="Q117" s="16">
        <v>21.93</v>
      </c>
      <c r="R117" s="16">
        <v>23.42</v>
      </c>
      <c r="S117" s="16">
        <v>46.58</v>
      </c>
    </row>
    <row r="118" spans="1:19">
      <c r="A118" s="21">
        <v>115</v>
      </c>
      <c r="B118" s="16">
        <v>30.47</v>
      </c>
      <c r="C118" s="16">
        <v>57.27</v>
      </c>
      <c r="D118" s="16">
        <v>78.290000000000006</v>
      </c>
      <c r="E118" s="16">
        <v>70.63</v>
      </c>
      <c r="F118" s="16">
        <v>38.619999999999997</v>
      </c>
      <c r="G118" s="16">
        <v>29.41</v>
      </c>
      <c r="H118" s="16">
        <v>22.21</v>
      </c>
      <c r="I118" s="16">
        <v>115.82</v>
      </c>
      <c r="J118" s="16">
        <v>74.33</v>
      </c>
      <c r="K118" s="16">
        <v>56.61</v>
      </c>
      <c r="L118" s="16">
        <v>40.549999999999997</v>
      </c>
      <c r="M118" s="16">
        <v>27.84</v>
      </c>
      <c r="N118" s="16">
        <v>31.35</v>
      </c>
      <c r="O118" s="16">
        <v>15.36</v>
      </c>
      <c r="P118" s="16">
        <v>33.72</v>
      </c>
      <c r="Q118" s="16">
        <v>22.56</v>
      </c>
      <c r="R118" s="16">
        <v>25.06</v>
      </c>
      <c r="S118" s="16">
        <v>46.31</v>
      </c>
    </row>
    <row r="119" spans="1:19">
      <c r="A119" s="21">
        <v>116</v>
      </c>
      <c r="B119" s="16">
        <v>28.2</v>
      </c>
      <c r="C119" s="16">
        <v>67.959999999999994</v>
      </c>
      <c r="D119" s="16">
        <v>74</v>
      </c>
      <c r="E119" s="16">
        <v>67.5</v>
      </c>
      <c r="F119" s="16">
        <v>36.82</v>
      </c>
      <c r="G119" s="16">
        <v>29.11</v>
      </c>
      <c r="H119" s="16">
        <v>20.78</v>
      </c>
      <c r="I119" s="16">
        <v>103.77</v>
      </c>
      <c r="J119" s="16">
        <v>74.900000000000006</v>
      </c>
      <c r="K119" s="16">
        <v>59.1</v>
      </c>
      <c r="L119" s="16">
        <v>41.95</v>
      </c>
      <c r="M119" s="16">
        <v>30.12</v>
      </c>
      <c r="N119" s="16">
        <v>33.020000000000003</v>
      </c>
      <c r="O119" s="16">
        <v>16.73</v>
      </c>
      <c r="P119" s="16">
        <v>37.270000000000003</v>
      </c>
      <c r="Q119" s="16">
        <v>23.3</v>
      </c>
      <c r="R119" s="16">
        <v>27.27</v>
      </c>
      <c r="S119" s="16">
        <v>42.78</v>
      </c>
    </row>
    <row r="120" spans="1:19">
      <c r="A120" s="21">
        <v>117</v>
      </c>
      <c r="B120" s="16">
        <v>27.06</v>
      </c>
      <c r="C120" s="16">
        <v>67.849999999999994</v>
      </c>
      <c r="D120" s="16">
        <v>71.87</v>
      </c>
      <c r="E120" s="16">
        <v>63.19</v>
      </c>
      <c r="F120" s="16">
        <v>37.46</v>
      </c>
      <c r="G120" s="16">
        <v>29.07</v>
      </c>
      <c r="H120" s="16">
        <v>19.87</v>
      </c>
      <c r="I120" s="16">
        <v>100.13</v>
      </c>
      <c r="J120" s="16">
        <v>78.66</v>
      </c>
      <c r="K120" s="16">
        <v>61.45</v>
      </c>
      <c r="L120" s="16">
        <v>42.24</v>
      </c>
      <c r="M120" s="16">
        <v>27.49</v>
      </c>
      <c r="N120" s="16">
        <v>33.49</v>
      </c>
      <c r="O120" s="16">
        <v>17.48</v>
      </c>
      <c r="P120" s="16">
        <v>37.880000000000003</v>
      </c>
      <c r="Q120" s="16">
        <v>24.98</v>
      </c>
      <c r="R120" s="16">
        <v>28.31</v>
      </c>
      <c r="S120" s="16">
        <v>43.16</v>
      </c>
    </row>
    <row r="121" spans="1:19">
      <c r="A121" s="21">
        <v>118</v>
      </c>
      <c r="B121" s="16">
        <v>26.54</v>
      </c>
      <c r="C121" s="16">
        <v>76.98</v>
      </c>
      <c r="D121" s="16">
        <v>75.66</v>
      </c>
      <c r="E121" s="16">
        <v>62.67</v>
      </c>
      <c r="F121" s="16">
        <v>40.15</v>
      </c>
      <c r="G121" s="16">
        <v>30.31</v>
      </c>
      <c r="H121" s="16">
        <v>20.92</v>
      </c>
      <c r="I121" s="16">
        <v>107.81</v>
      </c>
      <c r="J121" s="16">
        <v>79.599999999999994</v>
      </c>
      <c r="K121" s="16">
        <v>61.71</v>
      </c>
      <c r="L121" s="16">
        <v>42.41</v>
      </c>
      <c r="M121" s="16">
        <v>31.33</v>
      </c>
      <c r="N121" s="16">
        <v>36.5</v>
      </c>
      <c r="O121" s="16">
        <v>16.18</v>
      </c>
      <c r="P121" s="16">
        <v>39.14</v>
      </c>
      <c r="Q121" s="16">
        <v>26.58</v>
      </c>
      <c r="R121" s="16">
        <v>29.61</v>
      </c>
      <c r="S121" s="16">
        <v>47.59</v>
      </c>
    </row>
    <row r="122" spans="1:19">
      <c r="A122" s="21">
        <v>119</v>
      </c>
      <c r="B122" s="16">
        <v>27.36</v>
      </c>
      <c r="C122" s="16">
        <v>81.08</v>
      </c>
      <c r="D122" s="16">
        <v>76.63</v>
      </c>
      <c r="E122" s="16">
        <v>58.07</v>
      </c>
      <c r="F122" s="16">
        <v>42.92</v>
      </c>
      <c r="G122" s="16">
        <v>30.84</v>
      </c>
      <c r="H122" s="16">
        <v>23.03</v>
      </c>
      <c r="I122" s="16">
        <v>113.62</v>
      </c>
      <c r="J122" s="16">
        <v>89.69</v>
      </c>
      <c r="K122" s="16">
        <v>64.05</v>
      </c>
      <c r="L122" s="16">
        <v>44.35</v>
      </c>
      <c r="M122" s="16">
        <v>32.9</v>
      </c>
      <c r="N122" s="16">
        <v>39.11</v>
      </c>
      <c r="O122" s="16">
        <v>17.190000000000001</v>
      </c>
      <c r="P122" s="16">
        <v>42.43</v>
      </c>
      <c r="Q122" s="16">
        <v>27.9</v>
      </c>
      <c r="R122" s="16">
        <v>31.47</v>
      </c>
      <c r="S122" s="16">
        <v>47.56</v>
      </c>
    </row>
    <row r="123" spans="1:19">
      <c r="A123" s="21">
        <v>120</v>
      </c>
      <c r="B123" s="16">
        <v>29.65</v>
      </c>
      <c r="C123" s="16">
        <v>91.66</v>
      </c>
      <c r="D123" s="16">
        <v>85.25</v>
      </c>
      <c r="E123" s="16">
        <v>59.34</v>
      </c>
      <c r="F123" s="16">
        <v>44.33</v>
      </c>
      <c r="G123" s="16">
        <v>32.4</v>
      </c>
      <c r="H123" s="16">
        <v>24.56</v>
      </c>
      <c r="I123" s="16">
        <v>114.5</v>
      </c>
      <c r="J123" s="16">
        <v>89.58</v>
      </c>
      <c r="K123" s="16">
        <v>62.99</v>
      </c>
      <c r="L123" s="16">
        <v>44.75</v>
      </c>
      <c r="M123" s="16">
        <v>27.73</v>
      </c>
      <c r="N123" s="16">
        <v>40.11</v>
      </c>
      <c r="O123" s="16">
        <v>17.8</v>
      </c>
      <c r="P123" s="16">
        <v>41.58</v>
      </c>
      <c r="Q123" s="16">
        <v>28.63</v>
      </c>
      <c r="R123" s="16">
        <v>31.15</v>
      </c>
      <c r="S123" s="16">
        <v>44.49</v>
      </c>
    </row>
    <row r="124" spans="1:19">
      <c r="A124" s="21">
        <v>121</v>
      </c>
      <c r="B124" s="16">
        <v>28.6</v>
      </c>
      <c r="C124" s="16">
        <v>84.84</v>
      </c>
      <c r="D124" s="16">
        <v>85.55</v>
      </c>
      <c r="E124" s="16">
        <v>58.67</v>
      </c>
      <c r="F124" s="16">
        <v>46.01</v>
      </c>
      <c r="G124" s="16">
        <v>33.9</v>
      </c>
      <c r="H124" s="16">
        <v>24.35</v>
      </c>
      <c r="I124" s="16">
        <v>107.83</v>
      </c>
      <c r="J124" s="16">
        <v>94.68</v>
      </c>
      <c r="K124" s="16">
        <v>63.09</v>
      </c>
      <c r="L124" s="16">
        <v>46.11</v>
      </c>
      <c r="M124" s="16">
        <v>29.15</v>
      </c>
      <c r="N124" s="16">
        <v>42.37</v>
      </c>
      <c r="O124" s="16">
        <v>18.329999999999998</v>
      </c>
      <c r="P124" s="16">
        <v>41.07</v>
      </c>
      <c r="Q124" s="16">
        <v>29.12</v>
      </c>
      <c r="R124" s="16">
        <v>32.840000000000003</v>
      </c>
      <c r="S124" s="16">
        <v>44.73</v>
      </c>
    </row>
    <row r="125" spans="1:19">
      <c r="A125" s="21">
        <v>122</v>
      </c>
      <c r="B125" s="16">
        <v>30.94</v>
      </c>
      <c r="C125" s="16">
        <v>85.73</v>
      </c>
      <c r="D125" s="16">
        <v>86.24</v>
      </c>
      <c r="E125" s="16">
        <v>61.6</v>
      </c>
      <c r="F125" s="16">
        <v>46.81</v>
      </c>
      <c r="G125" s="16">
        <v>34.79</v>
      </c>
      <c r="H125" s="16">
        <v>24.41</v>
      </c>
      <c r="I125" s="16">
        <v>109.6</v>
      </c>
      <c r="J125" s="16">
        <v>96.63</v>
      </c>
      <c r="K125" s="16">
        <v>63.84</v>
      </c>
      <c r="L125" s="16">
        <v>45.76</v>
      </c>
      <c r="M125" s="16">
        <v>31.16</v>
      </c>
      <c r="N125" s="16">
        <v>42.39</v>
      </c>
      <c r="O125" s="16">
        <v>18.66</v>
      </c>
      <c r="P125" s="16">
        <v>42.15</v>
      </c>
      <c r="Q125" s="16">
        <v>30.1</v>
      </c>
      <c r="R125" s="16">
        <v>34.94</v>
      </c>
      <c r="S125" s="16">
        <v>46.19</v>
      </c>
    </row>
    <row r="126" spans="1:19">
      <c r="A126" s="21">
        <v>123</v>
      </c>
      <c r="B126" s="16">
        <v>32.01</v>
      </c>
      <c r="C126" s="16">
        <v>84.61</v>
      </c>
      <c r="D126" s="16">
        <v>84.35</v>
      </c>
      <c r="E126" s="16">
        <v>61.94</v>
      </c>
      <c r="F126" s="16">
        <v>48.26</v>
      </c>
      <c r="G126" s="16">
        <v>33.880000000000003</v>
      </c>
      <c r="H126" s="16">
        <v>22.53</v>
      </c>
      <c r="I126" s="16">
        <v>113.4</v>
      </c>
      <c r="J126" s="16">
        <v>90.85</v>
      </c>
      <c r="K126" s="16">
        <v>60.49</v>
      </c>
      <c r="L126" s="16">
        <v>44.61</v>
      </c>
      <c r="M126" s="16">
        <v>30.47</v>
      </c>
      <c r="N126" s="16">
        <v>41.75</v>
      </c>
      <c r="O126" s="16">
        <v>18</v>
      </c>
      <c r="P126" s="16">
        <v>41.59</v>
      </c>
      <c r="Q126" s="16">
        <v>27.57</v>
      </c>
      <c r="R126" s="16">
        <v>34.17</v>
      </c>
      <c r="S126" s="16">
        <v>46.79</v>
      </c>
    </row>
    <row r="127" spans="1:19">
      <c r="A127" s="21">
        <v>124</v>
      </c>
      <c r="B127" s="16">
        <v>32.479999999999997</v>
      </c>
      <c r="C127" s="16">
        <v>92.91</v>
      </c>
      <c r="D127" s="16">
        <v>85.95</v>
      </c>
      <c r="E127" s="16">
        <v>64.44</v>
      </c>
      <c r="F127" s="16">
        <v>47.03</v>
      </c>
      <c r="G127" s="16">
        <v>34.06</v>
      </c>
      <c r="H127" s="16">
        <v>21.29</v>
      </c>
      <c r="I127" s="16">
        <v>106.73</v>
      </c>
      <c r="J127" s="16">
        <v>92.14</v>
      </c>
      <c r="K127" s="16">
        <v>57.92</v>
      </c>
      <c r="L127" s="16">
        <v>46.2</v>
      </c>
      <c r="M127" s="16">
        <v>29.27</v>
      </c>
      <c r="N127" s="16">
        <v>43.05</v>
      </c>
      <c r="O127" s="16">
        <v>18.940000000000001</v>
      </c>
      <c r="P127" s="16">
        <v>41.96</v>
      </c>
      <c r="Q127" s="16">
        <v>27.28</v>
      </c>
      <c r="R127" s="16">
        <v>36.61</v>
      </c>
      <c r="S127" s="16">
        <v>45.69</v>
      </c>
    </row>
    <row r="128" spans="1:19">
      <c r="A128" s="21">
        <v>125</v>
      </c>
      <c r="B128" s="16">
        <v>34</v>
      </c>
      <c r="C128" s="16">
        <v>99.8</v>
      </c>
      <c r="D128" s="16">
        <v>89.9</v>
      </c>
      <c r="E128" s="16">
        <v>70.12</v>
      </c>
      <c r="F128" s="16">
        <v>46.78</v>
      </c>
      <c r="G128" s="16">
        <v>34.61</v>
      </c>
      <c r="H128" s="16">
        <v>23.51</v>
      </c>
      <c r="I128" s="16">
        <v>104.76</v>
      </c>
      <c r="J128" s="16">
        <v>99.91</v>
      </c>
      <c r="K128" s="16">
        <v>61.73</v>
      </c>
      <c r="L128" s="16">
        <v>50.23</v>
      </c>
      <c r="M128" s="16">
        <v>29.83</v>
      </c>
      <c r="N128" s="16">
        <v>46.14</v>
      </c>
      <c r="O128" s="16">
        <v>19.809999999999999</v>
      </c>
      <c r="P128" s="16">
        <v>48.87</v>
      </c>
      <c r="Q128" s="16">
        <v>29.3</v>
      </c>
      <c r="R128" s="16">
        <v>36.28</v>
      </c>
      <c r="S128" s="16">
        <v>46.64</v>
      </c>
    </row>
    <row r="129" spans="1:19">
      <c r="A129" s="21">
        <v>126</v>
      </c>
      <c r="B129" s="16">
        <v>39.74</v>
      </c>
      <c r="C129" s="16">
        <v>121.19</v>
      </c>
      <c r="D129" s="16">
        <v>97.6</v>
      </c>
      <c r="E129" s="16">
        <v>75.87</v>
      </c>
      <c r="F129" s="16">
        <v>50.14</v>
      </c>
      <c r="G129" s="16">
        <v>35.06</v>
      </c>
      <c r="H129" s="16">
        <v>24.18</v>
      </c>
      <c r="I129" s="16">
        <v>110.9</v>
      </c>
      <c r="J129" s="16">
        <v>104.61</v>
      </c>
      <c r="K129" s="16">
        <v>61.22</v>
      </c>
      <c r="L129" s="16">
        <v>51</v>
      </c>
      <c r="M129" s="16">
        <v>28.89</v>
      </c>
      <c r="N129" s="16">
        <v>48.31</v>
      </c>
      <c r="O129" s="16">
        <v>20.43</v>
      </c>
      <c r="P129" s="16">
        <v>49.83</v>
      </c>
      <c r="Q129" s="16">
        <v>30.13</v>
      </c>
      <c r="R129" s="16">
        <v>38.729999999999997</v>
      </c>
      <c r="S129" s="16">
        <v>46.54</v>
      </c>
    </row>
    <row r="130" spans="1:19">
      <c r="A130" s="21">
        <v>127</v>
      </c>
      <c r="B130" s="16">
        <v>39.020000000000003</v>
      </c>
      <c r="C130" s="16">
        <v>122.04</v>
      </c>
      <c r="D130" s="16">
        <v>93.3</v>
      </c>
      <c r="E130" s="16">
        <v>75.599999999999994</v>
      </c>
      <c r="F130" s="16">
        <v>48.73</v>
      </c>
      <c r="G130" s="16">
        <v>33.78</v>
      </c>
      <c r="H130" s="16">
        <v>26.53</v>
      </c>
      <c r="I130" s="16">
        <v>110.35</v>
      </c>
      <c r="J130" s="16">
        <v>103.28</v>
      </c>
      <c r="K130" s="16">
        <v>59.62</v>
      </c>
      <c r="L130" s="16">
        <v>50.68</v>
      </c>
      <c r="M130" s="16">
        <v>36.409999999999997</v>
      </c>
      <c r="N130" s="16">
        <v>48.51</v>
      </c>
      <c r="O130" s="16">
        <v>20.36</v>
      </c>
      <c r="P130" s="16">
        <v>47.67</v>
      </c>
      <c r="Q130" s="16">
        <v>28.93</v>
      </c>
      <c r="R130" s="16">
        <v>38.880000000000003</v>
      </c>
      <c r="S130" s="16">
        <v>47.04</v>
      </c>
    </row>
    <row r="131" spans="1:19">
      <c r="A131" s="21">
        <v>128</v>
      </c>
      <c r="B131" s="16">
        <v>36.78</v>
      </c>
      <c r="C131" s="16">
        <v>131.76</v>
      </c>
      <c r="D131" s="16">
        <v>100.35</v>
      </c>
      <c r="E131" s="16">
        <v>76.400000000000006</v>
      </c>
      <c r="F131" s="16">
        <v>44.79</v>
      </c>
      <c r="G131" s="16">
        <v>32.65</v>
      </c>
      <c r="H131" s="16">
        <v>24.07</v>
      </c>
      <c r="I131" s="16">
        <v>110.12</v>
      </c>
      <c r="J131" s="16">
        <v>108.58</v>
      </c>
      <c r="K131" s="16">
        <v>58.54</v>
      </c>
      <c r="L131" s="16">
        <v>50.49</v>
      </c>
      <c r="M131" s="16">
        <v>31.21</v>
      </c>
      <c r="N131" s="16">
        <v>45.75</v>
      </c>
      <c r="O131" s="16">
        <v>19.29</v>
      </c>
      <c r="P131" s="16">
        <v>47.52</v>
      </c>
      <c r="Q131" s="16">
        <v>28.46</v>
      </c>
      <c r="R131" s="16">
        <v>37.01</v>
      </c>
      <c r="S131" s="16">
        <v>44.93</v>
      </c>
    </row>
    <row r="132" spans="1:19">
      <c r="A132" s="21">
        <v>129</v>
      </c>
      <c r="B132" s="16">
        <v>35.32</v>
      </c>
      <c r="C132" s="16">
        <v>138.47999999999999</v>
      </c>
      <c r="D132" s="16">
        <v>94.14</v>
      </c>
      <c r="E132" s="16">
        <v>73.47</v>
      </c>
      <c r="F132" s="16">
        <v>47.08</v>
      </c>
      <c r="G132" s="16">
        <v>33.24</v>
      </c>
      <c r="H132" s="16">
        <v>25.42</v>
      </c>
      <c r="I132" s="16">
        <v>109.07</v>
      </c>
      <c r="J132" s="16">
        <v>114.92</v>
      </c>
      <c r="K132" s="16">
        <v>60.19</v>
      </c>
      <c r="L132" s="16">
        <v>52.11</v>
      </c>
      <c r="M132" s="16">
        <v>29.84</v>
      </c>
      <c r="N132" s="16">
        <v>47.07</v>
      </c>
      <c r="O132" s="16">
        <v>20.149999999999999</v>
      </c>
      <c r="P132" s="16">
        <v>48.02</v>
      </c>
      <c r="Q132" s="16">
        <v>28.31</v>
      </c>
      <c r="R132" s="16">
        <v>37.68</v>
      </c>
      <c r="S132" s="16">
        <v>42.87</v>
      </c>
    </row>
    <row r="133" spans="1:19">
      <c r="A133" s="21">
        <v>130</v>
      </c>
      <c r="B133" s="16">
        <v>37.83</v>
      </c>
      <c r="C133" s="16">
        <v>153.47</v>
      </c>
      <c r="D133" s="16">
        <v>102.21</v>
      </c>
      <c r="E133" s="16">
        <v>76.05</v>
      </c>
      <c r="F133" s="16">
        <v>47.86</v>
      </c>
      <c r="G133" s="16">
        <v>34.020000000000003</v>
      </c>
      <c r="H133" s="16">
        <v>25.51</v>
      </c>
      <c r="I133" s="16">
        <v>104.26</v>
      </c>
      <c r="J133" s="16">
        <v>116.01</v>
      </c>
      <c r="K133" s="16">
        <v>63.99</v>
      </c>
      <c r="L133" s="16">
        <v>56.02</v>
      </c>
      <c r="M133" s="16">
        <v>35.619999999999997</v>
      </c>
      <c r="N133" s="16">
        <v>52.06</v>
      </c>
      <c r="O133" s="16">
        <v>20.41</v>
      </c>
      <c r="P133" s="16">
        <v>49.85</v>
      </c>
      <c r="Q133" s="16">
        <v>29.03</v>
      </c>
      <c r="R133" s="16">
        <v>39.99</v>
      </c>
      <c r="S133" s="16">
        <v>42.89</v>
      </c>
    </row>
    <row r="134" spans="1:19">
      <c r="A134" s="21">
        <v>131</v>
      </c>
      <c r="B134" s="16">
        <v>38.450000000000003</v>
      </c>
      <c r="C134" s="16">
        <v>189.95</v>
      </c>
      <c r="D134" s="16">
        <v>95.98</v>
      </c>
      <c r="E134" s="16">
        <v>72.680000000000007</v>
      </c>
      <c r="F134" s="16">
        <v>47.82</v>
      </c>
      <c r="G134" s="16">
        <v>34.26</v>
      </c>
      <c r="H134" s="16">
        <v>27.56</v>
      </c>
      <c r="I134" s="16">
        <v>102.86</v>
      </c>
      <c r="J134" s="16">
        <v>114.35</v>
      </c>
      <c r="K134" s="16">
        <v>63.48</v>
      </c>
      <c r="L134" s="16">
        <v>60.21</v>
      </c>
      <c r="M134" s="16">
        <v>38.04</v>
      </c>
      <c r="N134" s="16">
        <v>57.1</v>
      </c>
      <c r="O134" s="16">
        <v>21.4</v>
      </c>
      <c r="P134" s="16">
        <v>56.19</v>
      </c>
      <c r="Q134" s="16">
        <v>36.270000000000003</v>
      </c>
      <c r="R134" s="16">
        <v>39.83</v>
      </c>
      <c r="S134" s="16">
        <v>44.43</v>
      </c>
    </row>
    <row r="135" spans="1:19">
      <c r="A135" s="21">
        <v>132</v>
      </c>
      <c r="B135" s="16">
        <v>35.32</v>
      </c>
      <c r="C135" s="16">
        <v>182.22</v>
      </c>
      <c r="D135" s="16">
        <v>90.42</v>
      </c>
      <c r="E135" s="16">
        <v>70.040000000000006</v>
      </c>
      <c r="F135" s="16">
        <v>44.96</v>
      </c>
      <c r="G135" s="16">
        <v>32.799999999999997</v>
      </c>
      <c r="H135" s="16">
        <v>22.58</v>
      </c>
      <c r="I135" s="16">
        <v>98.01</v>
      </c>
      <c r="J135" s="16">
        <v>103.95</v>
      </c>
      <c r="K135" s="16">
        <v>66.39</v>
      </c>
      <c r="L135" s="16">
        <v>60.87</v>
      </c>
      <c r="M135" s="16">
        <v>29.18</v>
      </c>
      <c r="N135" s="16">
        <v>57.35</v>
      </c>
      <c r="O135" s="16">
        <v>22.76</v>
      </c>
      <c r="P135" s="16">
        <v>57.25</v>
      </c>
      <c r="Q135" s="16">
        <v>33.21</v>
      </c>
      <c r="R135" s="16">
        <v>36.42</v>
      </c>
      <c r="S135" s="16">
        <v>47.07</v>
      </c>
    </row>
    <row r="136" spans="1:19">
      <c r="A136" s="21">
        <v>133</v>
      </c>
      <c r="B136" s="16">
        <v>35.5</v>
      </c>
      <c r="C136" s="16">
        <v>198.08</v>
      </c>
      <c r="D136" s="16">
        <v>85.45</v>
      </c>
      <c r="E136" s="16">
        <v>70.680000000000007</v>
      </c>
      <c r="F136" s="16">
        <v>42.96</v>
      </c>
      <c r="G136" s="16">
        <v>32.28</v>
      </c>
      <c r="H136" s="16">
        <v>21.03</v>
      </c>
      <c r="I136" s="16">
        <v>88.84</v>
      </c>
      <c r="J136" s="16">
        <v>106.83</v>
      </c>
      <c r="K136" s="16">
        <v>65.37</v>
      </c>
      <c r="L136" s="16">
        <v>60.15</v>
      </c>
      <c r="M136" s="16">
        <v>24.35</v>
      </c>
      <c r="N136" s="16">
        <v>57.78</v>
      </c>
      <c r="O136" s="16">
        <v>22.4</v>
      </c>
      <c r="P136" s="16">
        <v>56.41</v>
      </c>
      <c r="Q136" s="16">
        <v>35.19</v>
      </c>
      <c r="R136" s="16">
        <v>39.61</v>
      </c>
      <c r="S136" s="16">
        <v>46.92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3">
    <pageSetUpPr fitToPage="1"/>
  </sheetPr>
  <dimension ref="A1:S196"/>
  <sheetViews>
    <sheetView workbookViewId="0">
      <selection activeCell="A2" sqref="A2"/>
    </sheetView>
  </sheetViews>
  <sheetFormatPr defaultRowHeight="15"/>
  <cols>
    <col min="1" max="1" width="9.140625" style="12"/>
    <col min="2" max="16384" width="9.140625" style="14"/>
  </cols>
  <sheetData>
    <row r="1" spans="1:19" s="7" customFormat="1">
      <c r="A1" s="20" t="s">
        <v>83</v>
      </c>
      <c r="B1" s="16"/>
      <c r="C1" s="16"/>
      <c r="D1" s="16"/>
      <c r="E1" s="16"/>
      <c r="F1" s="16"/>
      <c r="G1" s="16"/>
      <c r="H1" s="16"/>
      <c r="I1" s="16"/>
      <c r="J1" s="16"/>
      <c r="K1" s="16"/>
      <c r="L1" s="16"/>
      <c r="M1" s="16"/>
      <c r="N1" s="16"/>
      <c r="O1" s="16"/>
      <c r="P1" s="16"/>
      <c r="Q1" s="16"/>
      <c r="R1" s="16"/>
      <c r="S1" s="16"/>
    </row>
    <row r="2" spans="1:19" s="7" customFormat="1">
      <c r="A2" s="16"/>
      <c r="B2" s="16"/>
      <c r="C2" s="16"/>
      <c r="D2" s="16"/>
      <c r="E2" s="16"/>
      <c r="F2" s="16"/>
      <c r="G2" s="16"/>
      <c r="H2" s="16"/>
      <c r="I2" s="16"/>
      <c r="J2" s="16"/>
      <c r="K2" s="16"/>
      <c r="L2" s="16"/>
      <c r="M2" s="16"/>
      <c r="N2" s="16"/>
      <c r="O2" s="16"/>
      <c r="P2" s="16"/>
      <c r="Q2" s="16"/>
      <c r="R2" s="16"/>
      <c r="S2" s="16"/>
    </row>
    <row r="3" spans="1:19" s="11" customFormat="1">
      <c r="A3" s="19" t="s">
        <v>82</v>
      </c>
      <c r="B3" s="18" t="s">
        <v>3</v>
      </c>
      <c r="C3" s="18" t="s">
        <v>51</v>
      </c>
      <c r="D3" s="18" t="s">
        <v>4</v>
      </c>
      <c r="E3" s="18" t="s">
        <v>6</v>
      </c>
      <c r="F3" s="18" t="s">
        <v>8</v>
      </c>
      <c r="G3" s="18" t="s">
        <v>49</v>
      </c>
      <c r="H3" s="18" t="s">
        <v>10</v>
      </c>
      <c r="I3" s="18" t="s">
        <v>53</v>
      </c>
      <c r="J3" s="18" t="s">
        <v>11</v>
      </c>
      <c r="K3" s="18"/>
      <c r="L3" s="18"/>
      <c r="M3" s="18"/>
      <c r="N3" s="18"/>
      <c r="O3" s="18"/>
      <c r="P3" s="18"/>
      <c r="Q3" s="18"/>
      <c r="R3" s="18"/>
      <c r="S3" s="18"/>
    </row>
    <row r="4" spans="1:19">
      <c r="A4" s="21">
        <v>1</v>
      </c>
      <c r="B4" s="16">
        <v>38.79</v>
      </c>
      <c r="C4" s="16">
        <v>121.19</v>
      </c>
      <c r="D4" s="16">
        <v>62.21</v>
      </c>
      <c r="E4" s="16">
        <v>95.68</v>
      </c>
      <c r="F4" s="16">
        <v>74.11</v>
      </c>
      <c r="G4" s="16">
        <v>26.92</v>
      </c>
      <c r="H4" s="16">
        <v>47.86</v>
      </c>
      <c r="I4" s="16">
        <v>34.54</v>
      </c>
      <c r="J4" s="16">
        <v>24.18</v>
      </c>
      <c r="K4" s="16"/>
      <c r="L4" s="16"/>
      <c r="M4" s="16"/>
      <c r="N4" s="16"/>
      <c r="O4" s="16"/>
      <c r="P4" s="16"/>
      <c r="Q4" s="16"/>
      <c r="R4" s="16"/>
      <c r="S4" s="16"/>
    </row>
    <row r="5" spans="1:19">
      <c r="A5" s="21">
        <v>2</v>
      </c>
      <c r="B5" s="16">
        <v>38.08</v>
      </c>
      <c r="C5" s="16">
        <v>122.04</v>
      </c>
      <c r="D5" s="16">
        <v>58.57</v>
      </c>
      <c r="E5" s="16">
        <v>91.47</v>
      </c>
      <c r="F5" s="16">
        <v>73.849999999999994</v>
      </c>
      <c r="G5" s="16">
        <v>27.85</v>
      </c>
      <c r="H5" s="16">
        <v>46.51</v>
      </c>
      <c r="I5" s="16">
        <v>33.28</v>
      </c>
      <c r="J5" s="16">
        <v>26.53</v>
      </c>
      <c r="K5" s="16"/>
      <c r="L5" s="16"/>
      <c r="M5" s="16"/>
      <c r="N5" s="16"/>
      <c r="O5" s="16"/>
      <c r="P5" s="16"/>
      <c r="Q5" s="16"/>
      <c r="R5" s="16"/>
      <c r="S5" s="16"/>
    </row>
    <row r="6" spans="1:19">
      <c r="A6" s="21">
        <v>3</v>
      </c>
      <c r="B6" s="16">
        <v>35.89</v>
      </c>
      <c r="C6" s="16">
        <v>131.76</v>
      </c>
      <c r="D6" s="16">
        <v>56.18</v>
      </c>
      <c r="E6" s="16">
        <v>98.39</v>
      </c>
      <c r="F6" s="16">
        <v>74.63</v>
      </c>
      <c r="G6" s="16">
        <v>28.91</v>
      </c>
      <c r="H6" s="16">
        <v>42.75</v>
      </c>
      <c r="I6" s="16">
        <v>32.17</v>
      </c>
      <c r="J6" s="16">
        <v>24.07</v>
      </c>
      <c r="K6" s="16"/>
      <c r="L6" s="16"/>
      <c r="M6" s="16"/>
      <c r="N6" s="16"/>
      <c r="O6" s="16"/>
      <c r="P6" s="16"/>
      <c r="Q6" s="16"/>
      <c r="R6" s="16"/>
      <c r="S6" s="16"/>
    </row>
    <row r="7" spans="1:19">
      <c r="A7" s="21">
        <v>4</v>
      </c>
      <c r="B7" s="16">
        <v>34.479999999999997</v>
      </c>
      <c r="C7" s="16">
        <v>138.47999999999999</v>
      </c>
      <c r="D7" s="16">
        <v>56.26</v>
      </c>
      <c r="E7" s="16">
        <v>92.3</v>
      </c>
      <c r="F7" s="16">
        <v>71.760000000000005</v>
      </c>
      <c r="G7" s="16">
        <v>31.92</v>
      </c>
      <c r="H7" s="16">
        <v>44.94</v>
      </c>
      <c r="I7" s="16">
        <v>32.75</v>
      </c>
      <c r="J7" s="16">
        <v>25.42</v>
      </c>
      <c r="K7" s="16"/>
      <c r="L7" s="16"/>
      <c r="M7" s="16"/>
      <c r="N7" s="16"/>
      <c r="O7" s="16"/>
      <c r="P7" s="16"/>
      <c r="Q7" s="16"/>
      <c r="R7" s="16"/>
      <c r="S7" s="16"/>
    </row>
    <row r="8" spans="1:19">
      <c r="A8" s="21">
        <v>5</v>
      </c>
      <c r="B8" s="16">
        <v>36.92</v>
      </c>
      <c r="C8" s="16">
        <v>153.47</v>
      </c>
      <c r="D8" s="16">
        <v>56.98</v>
      </c>
      <c r="E8" s="16">
        <v>100.21</v>
      </c>
      <c r="F8" s="16">
        <v>74.28</v>
      </c>
      <c r="G8" s="16">
        <v>33.130000000000003</v>
      </c>
      <c r="H8" s="16">
        <v>45.69</v>
      </c>
      <c r="I8" s="16">
        <v>33.520000000000003</v>
      </c>
      <c r="J8" s="16">
        <v>25.51</v>
      </c>
      <c r="K8" s="16"/>
      <c r="L8" s="16"/>
      <c r="M8" s="16"/>
      <c r="N8" s="16"/>
      <c r="O8" s="16"/>
      <c r="P8" s="16"/>
      <c r="Q8" s="16"/>
      <c r="R8" s="16"/>
      <c r="S8" s="16"/>
    </row>
    <row r="9" spans="1:19">
      <c r="A9" s="21">
        <v>6</v>
      </c>
      <c r="B9" s="16">
        <v>37.53</v>
      </c>
      <c r="C9" s="16">
        <v>189.95</v>
      </c>
      <c r="D9" s="16">
        <v>58.64</v>
      </c>
      <c r="E9" s="16">
        <v>94.1</v>
      </c>
      <c r="F9" s="16">
        <v>70.989999999999995</v>
      </c>
      <c r="G9" s="16">
        <v>33.06</v>
      </c>
      <c r="H9" s="16">
        <v>45.64</v>
      </c>
      <c r="I9" s="16">
        <v>33.75</v>
      </c>
      <c r="J9" s="16">
        <v>27.56</v>
      </c>
      <c r="K9" s="16"/>
      <c r="L9" s="16"/>
      <c r="M9" s="16"/>
      <c r="N9" s="16"/>
      <c r="O9" s="16"/>
      <c r="P9" s="16"/>
      <c r="Q9" s="16"/>
      <c r="R9" s="16"/>
      <c r="S9" s="16"/>
    </row>
    <row r="10" spans="1:19">
      <c r="A10" s="21">
        <v>7</v>
      </c>
      <c r="B10" s="16">
        <v>34.47</v>
      </c>
      <c r="C10" s="16">
        <v>182.22</v>
      </c>
      <c r="D10" s="16">
        <v>56.74</v>
      </c>
      <c r="E10" s="16">
        <v>88.64</v>
      </c>
      <c r="F10" s="16">
        <v>68.41</v>
      </c>
      <c r="G10" s="16">
        <v>28.02</v>
      </c>
      <c r="H10" s="16">
        <v>42.92</v>
      </c>
      <c r="I10" s="16">
        <v>32.31</v>
      </c>
      <c r="J10" s="16">
        <v>22.58</v>
      </c>
      <c r="K10" s="16"/>
      <c r="L10" s="16"/>
      <c r="M10" s="16"/>
      <c r="N10" s="16"/>
      <c r="O10" s="16"/>
      <c r="P10" s="16"/>
      <c r="Q10" s="16"/>
      <c r="R10" s="16"/>
      <c r="S10" s="16"/>
    </row>
    <row r="11" spans="1:19">
      <c r="A11" s="21">
        <v>8</v>
      </c>
      <c r="B11" s="16">
        <v>34.64</v>
      </c>
      <c r="C11" s="16">
        <v>198.08</v>
      </c>
      <c r="D11" s="16">
        <v>50.05</v>
      </c>
      <c r="E11" s="16">
        <v>83.78</v>
      </c>
      <c r="F11" s="16">
        <v>69.040000000000006</v>
      </c>
      <c r="G11" s="16">
        <v>27.07</v>
      </c>
      <c r="H11" s="16">
        <v>41</v>
      </c>
      <c r="I11" s="16">
        <v>31.8</v>
      </c>
      <c r="J11" s="16">
        <v>21.03</v>
      </c>
      <c r="K11" s="16"/>
      <c r="L11" s="16"/>
      <c r="M11" s="16"/>
      <c r="N11" s="16"/>
      <c r="O11" s="16"/>
      <c r="P11" s="16"/>
      <c r="Q11" s="16"/>
      <c r="R11" s="16"/>
      <c r="S11" s="16"/>
    </row>
    <row r="12" spans="1:19">
      <c r="A12" s="21">
        <v>9</v>
      </c>
      <c r="B12" s="16">
        <v>31.36</v>
      </c>
      <c r="C12" s="16">
        <v>135.36000000000001</v>
      </c>
      <c r="D12" s="16">
        <v>47.43</v>
      </c>
      <c r="E12" s="16">
        <v>79.680000000000007</v>
      </c>
      <c r="F12" s="16">
        <v>67.930000000000007</v>
      </c>
      <c r="G12" s="16">
        <v>24.5</v>
      </c>
      <c r="H12" s="16">
        <v>42.02</v>
      </c>
      <c r="I12" s="16">
        <v>29.4</v>
      </c>
      <c r="J12" s="16">
        <v>19.16</v>
      </c>
      <c r="K12" s="16"/>
      <c r="L12" s="16"/>
      <c r="M12" s="16"/>
      <c r="N12" s="16"/>
      <c r="O12" s="16"/>
      <c r="P12" s="16"/>
      <c r="Q12" s="16"/>
      <c r="R12" s="16"/>
      <c r="S12" s="16"/>
    </row>
    <row r="13" spans="1:19">
      <c r="A13" s="21">
        <v>10</v>
      </c>
      <c r="B13" s="16">
        <v>35.39</v>
      </c>
      <c r="C13" s="16">
        <v>125.02</v>
      </c>
      <c r="D13" s="16">
        <v>40.840000000000003</v>
      </c>
      <c r="E13" s="16">
        <v>79.69</v>
      </c>
      <c r="F13" s="16">
        <v>69.209999999999994</v>
      </c>
      <c r="G13" s="16">
        <v>24.39</v>
      </c>
      <c r="H13" s="16">
        <v>43.55</v>
      </c>
      <c r="I13" s="16">
        <v>31.93</v>
      </c>
      <c r="J13" s="16">
        <v>16.329999999999998</v>
      </c>
      <c r="K13" s="16"/>
      <c r="L13" s="16"/>
      <c r="M13" s="16"/>
      <c r="N13" s="16"/>
      <c r="O13" s="16"/>
      <c r="P13" s="16"/>
      <c r="Q13" s="16"/>
      <c r="R13" s="16"/>
      <c r="S13" s="16"/>
    </row>
    <row r="14" spans="1:19">
      <c r="A14" s="21">
        <v>11</v>
      </c>
      <c r="B14" s="16">
        <v>34.36</v>
      </c>
      <c r="C14" s="16">
        <v>143.5</v>
      </c>
      <c r="D14" s="16">
        <v>42.21</v>
      </c>
      <c r="E14" s="16">
        <v>71.59</v>
      </c>
      <c r="F14" s="16">
        <v>74.91</v>
      </c>
      <c r="G14" s="16">
        <v>24.09</v>
      </c>
      <c r="H14" s="16">
        <v>43.87</v>
      </c>
      <c r="I14" s="16">
        <v>30.92</v>
      </c>
      <c r="J14" s="16">
        <v>16.989999999999998</v>
      </c>
      <c r="K14" s="16"/>
      <c r="L14" s="16"/>
      <c r="M14" s="16"/>
      <c r="N14" s="16"/>
      <c r="O14" s="16"/>
      <c r="P14" s="16"/>
      <c r="Q14" s="16"/>
      <c r="R14" s="16"/>
      <c r="S14" s="16"/>
    </row>
    <row r="15" spans="1:19">
      <c r="A15" s="21">
        <v>12</v>
      </c>
      <c r="B15" s="16">
        <v>33.299999999999997</v>
      </c>
      <c r="C15" s="16">
        <v>173.95</v>
      </c>
      <c r="D15" s="16">
        <v>46.54</v>
      </c>
      <c r="E15" s="16">
        <v>81.69</v>
      </c>
      <c r="F15" s="16">
        <v>78.709999999999994</v>
      </c>
      <c r="G15" s="16">
        <v>25.64</v>
      </c>
      <c r="H15" s="16">
        <v>45.89</v>
      </c>
      <c r="I15" s="16">
        <v>31.95</v>
      </c>
      <c r="J15" s="16">
        <v>17.21</v>
      </c>
      <c r="K15" s="16"/>
      <c r="L15" s="16"/>
      <c r="M15" s="16"/>
      <c r="N15" s="16"/>
      <c r="O15" s="16"/>
      <c r="P15" s="16"/>
      <c r="Q15" s="16"/>
      <c r="R15" s="16"/>
      <c r="S15" s="16"/>
    </row>
    <row r="16" spans="1:19">
      <c r="A16" s="21">
        <v>13</v>
      </c>
      <c r="B16" s="16">
        <v>38.869999999999997</v>
      </c>
      <c r="C16" s="16">
        <v>188.75</v>
      </c>
      <c r="D16" s="16">
        <v>44.92</v>
      </c>
      <c r="E16" s="16">
        <v>80.05</v>
      </c>
      <c r="F16" s="16">
        <v>79.44</v>
      </c>
      <c r="G16" s="16">
        <v>26.72</v>
      </c>
      <c r="H16" s="16">
        <v>45.32</v>
      </c>
      <c r="I16" s="16">
        <v>33.1</v>
      </c>
      <c r="J16" s="16">
        <v>14.97</v>
      </c>
      <c r="K16" s="16"/>
      <c r="L16" s="16"/>
      <c r="M16" s="16"/>
      <c r="N16" s="16"/>
      <c r="O16" s="16"/>
      <c r="P16" s="16"/>
      <c r="Q16" s="16"/>
      <c r="R16" s="16"/>
      <c r="S16" s="16"/>
    </row>
    <row r="17" spans="1:19">
      <c r="A17" s="21">
        <v>14</v>
      </c>
      <c r="B17" s="16">
        <v>34.11</v>
      </c>
      <c r="C17" s="16">
        <v>167.44</v>
      </c>
      <c r="D17" s="16">
        <v>36.51</v>
      </c>
      <c r="E17" s="16">
        <v>63.56</v>
      </c>
      <c r="F17" s="16">
        <v>70.959999999999994</v>
      </c>
      <c r="G17" s="16">
        <v>23.26</v>
      </c>
      <c r="H17" s="16">
        <v>40.57</v>
      </c>
      <c r="I17" s="16">
        <v>30.74</v>
      </c>
      <c r="J17" s="16">
        <v>14.1</v>
      </c>
      <c r="K17" s="16"/>
      <c r="L17" s="16"/>
      <c r="M17" s="16"/>
      <c r="N17" s="16"/>
      <c r="O17" s="16"/>
      <c r="P17" s="16"/>
      <c r="Q17" s="16"/>
      <c r="R17" s="16"/>
      <c r="S17" s="16"/>
    </row>
    <row r="18" spans="1:19">
      <c r="A18" s="21">
        <v>15</v>
      </c>
      <c r="B18" s="16">
        <v>32.32</v>
      </c>
      <c r="C18" s="16">
        <v>158.94999999999999</v>
      </c>
      <c r="D18" s="16">
        <v>36.130000000000003</v>
      </c>
      <c r="E18" s="16">
        <v>59.1</v>
      </c>
      <c r="F18" s="16">
        <v>67.23</v>
      </c>
      <c r="G18" s="16">
        <v>21.99</v>
      </c>
      <c r="H18" s="16">
        <v>41.44</v>
      </c>
      <c r="I18" s="16">
        <v>29.9</v>
      </c>
      <c r="J18" s="16">
        <v>14.31</v>
      </c>
      <c r="K18" s="16"/>
      <c r="L18" s="16"/>
      <c r="M18" s="16"/>
      <c r="N18" s="16"/>
      <c r="O18" s="16"/>
      <c r="P18" s="16"/>
      <c r="Q18" s="16"/>
      <c r="R18" s="16"/>
      <c r="S18" s="16"/>
    </row>
    <row r="19" spans="1:19">
      <c r="A19" s="21">
        <v>16</v>
      </c>
      <c r="B19" s="16">
        <v>30.93</v>
      </c>
      <c r="C19" s="16">
        <v>169.53</v>
      </c>
      <c r="D19" s="16">
        <v>38.619999999999997</v>
      </c>
      <c r="E19" s="16">
        <v>63.79</v>
      </c>
      <c r="F19" s="16">
        <v>68.400000000000006</v>
      </c>
      <c r="G19" s="16">
        <v>24.05</v>
      </c>
      <c r="H19" s="16">
        <v>42.42</v>
      </c>
      <c r="I19" s="16">
        <v>31.87</v>
      </c>
      <c r="J19" s="16">
        <v>15.83</v>
      </c>
      <c r="K19" s="16"/>
      <c r="L19" s="16"/>
      <c r="M19" s="16"/>
      <c r="N19" s="16"/>
      <c r="O19" s="16"/>
      <c r="P19" s="16"/>
      <c r="Q19" s="16"/>
      <c r="R19" s="16"/>
      <c r="S19" s="16"/>
    </row>
    <row r="20" spans="1:19">
      <c r="A20" s="21">
        <v>17</v>
      </c>
      <c r="B20" s="16">
        <v>21.74</v>
      </c>
      <c r="C20" s="16">
        <v>113.66</v>
      </c>
      <c r="D20" s="16">
        <v>34.49</v>
      </c>
      <c r="E20" s="16">
        <v>55.81</v>
      </c>
      <c r="F20" s="16">
        <v>57.63</v>
      </c>
      <c r="G20" s="16">
        <v>22.56</v>
      </c>
      <c r="H20" s="16">
        <v>38.47</v>
      </c>
      <c r="I20" s="16">
        <v>30.24</v>
      </c>
      <c r="J20" s="16">
        <v>15.03</v>
      </c>
      <c r="K20" s="16"/>
      <c r="L20" s="16"/>
      <c r="M20" s="16"/>
      <c r="N20" s="16"/>
      <c r="O20" s="16"/>
      <c r="P20" s="16"/>
      <c r="Q20" s="16"/>
      <c r="R20" s="16"/>
      <c r="S20" s="16"/>
    </row>
    <row r="21" spans="1:19">
      <c r="A21" s="21">
        <v>18</v>
      </c>
      <c r="B21" s="16">
        <v>11.07</v>
      </c>
      <c r="C21" s="16">
        <v>107.59</v>
      </c>
      <c r="D21" s="16">
        <v>26.91</v>
      </c>
      <c r="E21" s="16">
        <v>51.01</v>
      </c>
      <c r="F21" s="16">
        <v>37.31</v>
      </c>
      <c r="G21" s="16">
        <v>17.77</v>
      </c>
      <c r="H21" s="16">
        <v>30.58</v>
      </c>
      <c r="I21" s="16">
        <v>25.53</v>
      </c>
      <c r="J21" s="16">
        <v>9.16</v>
      </c>
      <c r="K21" s="16"/>
      <c r="L21" s="16"/>
      <c r="M21" s="16"/>
      <c r="N21" s="16"/>
      <c r="O21" s="16"/>
      <c r="P21" s="16"/>
      <c r="Q21" s="16"/>
      <c r="R21" s="16"/>
      <c r="S21" s="16"/>
    </row>
    <row r="22" spans="1:19">
      <c r="A22" s="21">
        <v>19</v>
      </c>
      <c r="B22" s="16">
        <v>10.5</v>
      </c>
      <c r="C22" s="16">
        <v>92.67</v>
      </c>
      <c r="D22" s="16">
        <v>22.81</v>
      </c>
      <c r="E22" s="16">
        <v>41.79</v>
      </c>
      <c r="F22" s="16">
        <v>40.04</v>
      </c>
      <c r="G22" s="16">
        <v>16.54</v>
      </c>
      <c r="H22" s="16">
        <v>24.27</v>
      </c>
      <c r="I22" s="16">
        <v>22.19</v>
      </c>
      <c r="J22" s="16">
        <v>7.57</v>
      </c>
      <c r="K22" s="16"/>
      <c r="L22" s="16"/>
      <c r="M22" s="16"/>
      <c r="N22" s="16"/>
      <c r="O22" s="16"/>
      <c r="P22" s="16"/>
      <c r="Q22" s="16"/>
      <c r="R22" s="16"/>
      <c r="S22" s="16"/>
    </row>
    <row r="23" spans="1:19">
      <c r="A23" s="21">
        <v>20</v>
      </c>
      <c r="B23" s="16">
        <v>10.99</v>
      </c>
      <c r="C23" s="16">
        <v>85.35</v>
      </c>
      <c r="D23" s="16">
        <v>18.149999999999999</v>
      </c>
      <c r="E23" s="16">
        <v>41.83</v>
      </c>
      <c r="F23" s="16">
        <v>43.63</v>
      </c>
      <c r="G23" s="16">
        <v>16.3</v>
      </c>
      <c r="H23" s="16">
        <v>24.5</v>
      </c>
      <c r="I23" s="16">
        <v>22.69</v>
      </c>
      <c r="J23" s="16">
        <v>6.58</v>
      </c>
      <c r="K23" s="16"/>
      <c r="L23" s="16"/>
      <c r="M23" s="16"/>
      <c r="N23" s="16"/>
      <c r="O23" s="16"/>
      <c r="P23" s="16"/>
      <c r="Q23" s="16"/>
      <c r="R23" s="16"/>
      <c r="S23" s="16"/>
    </row>
    <row r="24" spans="1:19">
      <c r="A24" s="21">
        <v>21</v>
      </c>
      <c r="B24" s="16">
        <v>7.6</v>
      </c>
      <c r="C24" s="16">
        <v>90.13</v>
      </c>
      <c r="D24" s="16">
        <v>16.510000000000002</v>
      </c>
      <c r="E24" s="16">
        <v>41.48</v>
      </c>
      <c r="F24" s="16">
        <v>30.46</v>
      </c>
      <c r="G24" s="16">
        <v>14.97</v>
      </c>
      <c r="H24" s="16">
        <v>22.23</v>
      </c>
      <c r="I24" s="16">
        <v>20.68</v>
      </c>
      <c r="J24" s="16">
        <v>4.53</v>
      </c>
      <c r="K24" s="16"/>
      <c r="L24" s="16"/>
      <c r="M24" s="16"/>
      <c r="N24" s="16"/>
      <c r="O24" s="16"/>
      <c r="P24" s="16"/>
      <c r="Q24" s="16"/>
      <c r="R24" s="16"/>
      <c r="S24" s="16"/>
    </row>
    <row r="25" spans="1:19">
      <c r="A25" s="21">
        <v>22</v>
      </c>
      <c r="B25" s="16">
        <v>6.21</v>
      </c>
      <c r="C25" s="16">
        <v>89.31</v>
      </c>
      <c r="D25" s="16">
        <v>11.9</v>
      </c>
      <c r="E25" s="16">
        <v>31.13</v>
      </c>
      <c r="F25" s="16">
        <v>24.3</v>
      </c>
      <c r="G25" s="16">
        <v>14.57</v>
      </c>
      <c r="H25" s="16">
        <v>18.489999999999998</v>
      </c>
      <c r="I25" s="16">
        <v>16.77</v>
      </c>
      <c r="J25" s="16">
        <v>3.19</v>
      </c>
      <c r="K25" s="16"/>
      <c r="L25" s="16"/>
      <c r="M25" s="16"/>
      <c r="N25" s="16"/>
      <c r="O25" s="16"/>
      <c r="P25" s="16"/>
      <c r="Q25" s="16"/>
      <c r="R25" s="16"/>
      <c r="S25" s="16"/>
    </row>
    <row r="26" spans="1:19">
      <c r="A26" s="21">
        <v>23</v>
      </c>
      <c r="B26" s="16">
        <v>7.32</v>
      </c>
      <c r="C26" s="16">
        <v>105.12</v>
      </c>
      <c r="D26" s="16">
        <v>13.45</v>
      </c>
      <c r="E26" s="16">
        <v>35.229999999999997</v>
      </c>
      <c r="F26" s="16">
        <v>27.6</v>
      </c>
      <c r="G26" s="16">
        <v>16.77</v>
      </c>
      <c r="H26" s="16">
        <v>22</v>
      </c>
      <c r="I26" s="16">
        <v>18.16</v>
      </c>
      <c r="J26" s="16">
        <v>3.8</v>
      </c>
      <c r="K26" s="16"/>
      <c r="L26" s="16"/>
      <c r="M26" s="16"/>
      <c r="N26" s="16"/>
      <c r="O26" s="16"/>
      <c r="P26" s="16"/>
      <c r="Q26" s="16"/>
      <c r="R26" s="16"/>
      <c r="S26" s="16"/>
    </row>
    <row r="27" spans="1:19">
      <c r="A27" s="21">
        <v>24</v>
      </c>
      <c r="B27" s="16">
        <v>9.0399999999999991</v>
      </c>
      <c r="C27" s="16">
        <v>125.83</v>
      </c>
      <c r="D27" s="16">
        <v>25.22</v>
      </c>
      <c r="E27" s="16">
        <v>39.659999999999997</v>
      </c>
      <c r="F27" s="16">
        <v>35.58</v>
      </c>
      <c r="G27" s="16">
        <v>19.32</v>
      </c>
      <c r="H27" s="16">
        <v>27.49</v>
      </c>
      <c r="I27" s="16">
        <v>21.9</v>
      </c>
      <c r="J27" s="16">
        <v>3.05</v>
      </c>
      <c r="K27" s="16"/>
      <c r="L27" s="16"/>
      <c r="M27" s="16"/>
      <c r="N27" s="16"/>
      <c r="O27" s="16"/>
      <c r="P27" s="16"/>
      <c r="Q27" s="16"/>
      <c r="R27" s="16"/>
      <c r="S27" s="16"/>
    </row>
    <row r="28" spans="1:19">
      <c r="A28" s="21">
        <v>25</v>
      </c>
      <c r="B28" s="16">
        <v>9.0299999999999994</v>
      </c>
      <c r="C28" s="16">
        <v>122.42</v>
      </c>
      <c r="D28" s="16">
        <v>24.23</v>
      </c>
      <c r="E28" s="16">
        <v>43</v>
      </c>
      <c r="F28" s="16">
        <v>35.74</v>
      </c>
      <c r="G28" s="16">
        <v>17.920000000000002</v>
      </c>
      <c r="H28" s="16">
        <v>26.93</v>
      </c>
      <c r="I28" s="16">
        <v>23.41</v>
      </c>
      <c r="J28" s="16">
        <v>2.4700000000000002</v>
      </c>
      <c r="K28" s="16"/>
      <c r="L28" s="16"/>
      <c r="M28" s="16"/>
      <c r="N28" s="16"/>
      <c r="O28" s="16"/>
      <c r="P28" s="16"/>
      <c r="Q28" s="16"/>
      <c r="R28" s="16"/>
      <c r="S28" s="16"/>
    </row>
    <row r="29" spans="1:19">
      <c r="A29" s="21"/>
      <c r="B29" s="16"/>
      <c r="C29" s="16"/>
      <c r="D29" s="16"/>
      <c r="E29" s="16"/>
      <c r="F29" s="16"/>
      <c r="G29" s="16"/>
      <c r="H29" s="16"/>
      <c r="I29" s="16"/>
      <c r="J29" s="16"/>
      <c r="K29" s="16"/>
      <c r="L29" s="16"/>
      <c r="M29" s="16"/>
      <c r="N29" s="16"/>
      <c r="O29" s="16"/>
      <c r="P29" s="16"/>
      <c r="Q29" s="16"/>
      <c r="R29" s="16"/>
      <c r="S29" s="16"/>
    </row>
    <row r="30" spans="1:19">
      <c r="A30" s="21"/>
      <c r="B30" s="16"/>
      <c r="C30" s="16"/>
      <c r="D30" s="16"/>
      <c r="E30" s="16"/>
      <c r="F30" s="16"/>
      <c r="G30" s="16"/>
      <c r="H30" s="16"/>
      <c r="I30" s="16"/>
      <c r="J30" s="16"/>
      <c r="K30" s="16"/>
      <c r="L30" s="16"/>
      <c r="M30" s="16"/>
      <c r="N30" s="16"/>
      <c r="O30" s="16"/>
      <c r="P30" s="16"/>
      <c r="Q30" s="16"/>
      <c r="R30" s="16"/>
      <c r="S30" s="16"/>
    </row>
    <row r="31" spans="1:19">
      <c r="A31" s="21"/>
      <c r="B31" s="16"/>
      <c r="C31" s="16"/>
      <c r="D31" s="16"/>
      <c r="E31" s="16"/>
      <c r="F31" s="16"/>
      <c r="G31" s="16"/>
      <c r="H31" s="16"/>
      <c r="I31" s="16"/>
      <c r="J31" s="16"/>
      <c r="K31" s="16"/>
      <c r="L31" s="16"/>
      <c r="M31" s="16"/>
      <c r="N31" s="16"/>
      <c r="O31" s="16"/>
      <c r="P31" s="16"/>
      <c r="Q31" s="16"/>
      <c r="R31" s="16"/>
      <c r="S31" s="16"/>
    </row>
    <row r="32" spans="1:19">
      <c r="A32" s="21"/>
      <c r="B32" s="16"/>
      <c r="C32" s="16"/>
      <c r="D32" s="16"/>
      <c r="E32" s="16"/>
      <c r="F32" s="16"/>
      <c r="G32" s="16"/>
      <c r="H32" s="16"/>
      <c r="I32" s="16"/>
      <c r="J32" s="16"/>
      <c r="K32" s="16"/>
      <c r="L32" s="16"/>
      <c r="M32" s="16"/>
      <c r="N32" s="16"/>
      <c r="O32" s="16"/>
      <c r="P32" s="16"/>
      <c r="Q32" s="16"/>
      <c r="R32" s="16"/>
      <c r="S32" s="16"/>
    </row>
    <row r="33" spans="1:19">
      <c r="A33" s="21"/>
      <c r="B33" s="16"/>
      <c r="C33" s="16"/>
      <c r="D33" s="16"/>
      <c r="E33" s="16"/>
      <c r="F33" s="16"/>
      <c r="G33" s="16"/>
      <c r="H33" s="16"/>
      <c r="I33" s="16"/>
      <c r="J33" s="16"/>
      <c r="K33" s="16"/>
      <c r="L33" s="16"/>
      <c r="M33" s="16"/>
      <c r="N33" s="16"/>
      <c r="O33" s="16"/>
      <c r="P33" s="16"/>
      <c r="Q33" s="16"/>
      <c r="R33" s="16"/>
      <c r="S33" s="16"/>
    </row>
    <row r="34" spans="1:19">
      <c r="A34" s="21"/>
      <c r="B34" s="16"/>
      <c r="C34" s="16"/>
      <c r="D34" s="16"/>
      <c r="E34" s="16"/>
      <c r="F34" s="16"/>
      <c r="G34" s="16"/>
      <c r="H34" s="16"/>
      <c r="I34" s="16"/>
      <c r="J34" s="16"/>
      <c r="K34" s="16"/>
      <c r="L34" s="16"/>
      <c r="M34" s="16"/>
      <c r="N34" s="16"/>
      <c r="O34" s="16"/>
      <c r="P34" s="16"/>
      <c r="Q34" s="16"/>
      <c r="R34" s="16"/>
      <c r="S34" s="16"/>
    </row>
    <row r="35" spans="1:19">
      <c r="A35" s="21"/>
      <c r="B35" s="16"/>
      <c r="C35" s="16"/>
      <c r="D35" s="16"/>
      <c r="E35" s="16"/>
      <c r="F35" s="16"/>
      <c r="G35" s="16"/>
      <c r="H35" s="16"/>
      <c r="I35" s="16"/>
      <c r="J35" s="16"/>
      <c r="K35" s="16"/>
      <c r="L35" s="16"/>
      <c r="M35" s="16"/>
      <c r="N35" s="16"/>
      <c r="O35" s="16"/>
      <c r="P35" s="16"/>
      <c r="Q35" s="16"/>
      <c r="R35" s="16"/>
      <c r="S35" s="16"/>
    </row>
    <row r="36" spans="1:19">
      <c r="A36" s="21"/>
      <c r="B36" s="16"/>
      <c r="C36" s="16"/>
      <c r="D36" s="16"/>
      <c r="E36" s="16"/>
      <c r="F36" s="16"/>
      <c r="G36" s="16"/>
      <c r="H36" s="16"/>
      <c r="I36" s="16"/>
      <c r="J36" s="16"/>
      <c r="K36" s="16"/>
      <c r="L36" s="16"/>
      <c r="M36" s="16"/>
      <c r="N36" s="16"/>
      <c r="O36" s="16"/>
      <c r="P36" s="16"/>
      <c r="Q36" s="16"/>
      <c r="R36" s="16"/>
      <c r="S36" s="16"/>
    </row>
    <row r="37" spans="1:19">
      <c r="A37" s="21"/>
      <c r="B37" s="16"/>
      <c r="C37" s="16"/>
      <c r="D37" s="16"/>
      <c r="E37" s="16"/>
      <c r="F37" s="16"/>
      <c r="G37" s="16"/>
      <c r="H37" s="16"/>
      <c r="I37" s="16"/>
      <c r="J37" s="16"/>
      <c r="K37" s="16"/>
      <c r="L37" s="16"/>
      <c r="M37" s="16"/>
      <c r="N37" s="16"/>
      <c r="O37" s="16"/>
      <c r="P37" s="16"/>
      <c r="Q37" s="16"/>
      <c r="R37" s="16"/>
      <c r="S37" s="16"/>
    </row>
    <row r="38" spans="1:19">
      <c r="A38" s="21"/>
      <c r="B38" s="16"/>
      <c r="C38" s="16"/>
      <c r="D38" s="16"/>
      <c r="E38" s="16"/>
      <c r="F38" s="16"/>
      <c r="G38" s="16"/>
      <c r="H38" s="16"/>
      <c r="I38" s="16"/>
      <c r="J38" s="16"/>
      <c r="K38" s="16"/>
      <c r="L38" s="16"/>
      <c r="M38" s="16"/>
      <c r="N38" s="16"/>
      <c r="O38" s="16"/>
      <c r="P38" s="16"/>
      <c r="Q38" s="16"/>
      <c r="R38" s="16"/>
      <c r="S38" s="16"/>
    </row>
    <row r="39" spans="1:19">
      <c r="A39" s="21"/>
      <c r="B39" s="16"/>
      <c r="C39" s="16"/>
      <c r="D39" s="16"/>
      <c r="E39" s="16"/>
      <c r="F39" s="16"/>
      <c r="G39" s="16"/>
      <c r="H39" s="16"/>
      <c r="I39" s="16"/>
      <c r="J39" s="16"/>
      <c r="K39" s="16"/>
      <c r="L39" s="16"/>
      <c r="M39" s="16"/>
      <c r="N39" s="16"/>
      <c r="O39" s="16"/>
      <c r="P39" s="16"/>
      <c r="Q39" s="16"/>
      <c r="R39" s="16"/>
      <c r="S39" s="16"/>
    </row>
    <row r="40" spans="1:19">
      <c r="A40" s="21"/>
      <c r="B40" s="16"/>
      <c r="C40" s="16"/>
      <c r="D40" s="16"/>
      <c r="E40" s="16"/>
      <c r="F40" s="16"/>
      <c r="G40" s="16"/>
      <c r="H40" s="16"/>
      <c r="I40" s="16"/>
      <c r="J40" s="16"/>
      <c r="K40" s="16"/>
      <c r="L40" s="16"/>
      <c r="M40" s="16"/>
      <c r="N40" s="16"/>
      <c r="O40" s="16"/>
      <c r="P40" s="16"/>
      <c r="Q40" s="16"/>
      <c r="R40" s="16"/>
      <c r="S40" s="16"/>
    </row>
    <row r="41" spans="1:19">
      <c r="A41" s="21"/>
      <c r="B41" s="16"/>
      <c r="C41" s="16"/>
      <c r="D41" s="16"/>
      <c r="E41" s="16"/>
      <c r="F41" s="16"/>
      <c r="G41" s="16"/>
      <c r="H41" s="16"/>
      <c r="I41" s="16"/>
      <c r="J41" s="16"/>
      <c r="K41" s="16"/>
      <c r="L41" s="16"/>
      <c r="M41" s="16"/>
      <c r="N41" s="16"/>
      <c r="O41" s="16"/>
      <c r="P41" s="16"/>
      <c r="Q41" s="16"/>
      <c r="R41" s="16"/>
      <c r="S41" s="16"/>
    </row>
    <row r="42" spans="1:19">
      <c r="A42" s="21"/>
      <c r="B42" s="16"/>
      <c r="C42" s="16"/>
      <c r="D42" s="16"/>
      <c r="E42" s="16"/>
      <c r="F42" s="16"/>
      <c r="G42" s="16"/>
      <c r="H42" s="16"/>
      <c r="I42" s="16"/>
      <c r="J42" s="16"/>
      <c r="K42" s="16"/>
      <c r="L42" s="16"/>
      <c r="M42" s="16"/>
      <c r="N42" s="16"/>
      <c r="O42" s="16"/>
      <c r="P42" s="16"/>
      <c r="Q42" s="16"/>
      <c r="R42" s="16"/>
      <c r="S42" s="16"/>
    </row>
    <row r="43" spans="1:19">
      <c r="A43" s="21"/>
      <c r="B43" s="16"/>
      <c r="C43" s="16"/>
      <c r="D43" s="16"/>
      <c r="E43" s="16"/>
      <c r="F43" s="16"/>
      <c r="G43" s="16"/>
      <c r="H43" s="16"/>
      <c r="I43" s="16"/>
      <c r="J43" s="16"/>
      <c r="K43" s="16"/>
      <c r="L43" s="16"/>
      <c r="M43" s="16"/>
      <c r="N43" s="16"/>
      <c r="O43" s="16"/>
      <c r="P43" s="16"/>
      <c r="Q43" s="16"/>
      <c r="R43" s="16"/>
      <c r="S43" s="16"/>
    </row>
    <row r="44" spans="1:19">
      <c r="A44" s="21"/>
      <c r="B44" s="16"/>
      <c r="C44" s="16"/>
      <c r="D44" s="16"/>
      <c r="E44" s="16"/>
      <c r="F44" s="16"/>
      <c r="G44" s="16"/>
      <c r="H44" s="16"/>
      <c r="I44" s="16"/>
      <c r="J44" s="16"/>
      <c r="K44" s="16"/>
      <c r="L44" s="16"/>
      <c r="M44" s="16"/>
      <c r="N44" s="16"/>
      <c r="O44" s="16"/>
      <c r="P44" s="16"/>
      <c r="Q44" s="16"/>
      <c r="R44" s="16"/>
      <c r="S44" s="16"/>
    </row>
    <row r="45" spans="1:19">
      <c r="A45" s="21"/>
      <c r="B45" s="16"/>
      <c r="C45" s="16"/>
      <c r="D45" s="16"/>
      <c r="E45" s="16"/>
      <c r="F45" s="16"/>
      <c r="G45" s="16"/>
      <c r="H45" s="16"/>
      <c r="I45" s="16"/>
      <c r="J45" s="16"/>
      <c r="K45" s="16"/>
      <c r="L45" s="16"/>
      <c r="M45" s="16"/>
      <c r="N45" s="16"/>
      <c r="O45" s="16"/>
      <c r="P45" s="16"/>
      <c r="Q45" s="16"/>
      <c r="R45" s="16"/>
      <c r="S45" s="16"/>
    </row>
    <row r="46" spans="1:19">
      <c r="A46" s="21"/>
      <c r="B46" s="16"/>
      <c r="C46" s="16"/>
      <c r="D46" s="16"/>
      <c r="E46" s="16"/>
      <c r="F46" s="16"/>
      <c r="G46" s="16"/>
      <c r="H46" s="16"/>
      <c r="I46" s="16"/>
      <c r="J46" s="16"/>
      <c r="K46" s="16"/>
      <c r="L46" s="16"/>
      <c r="M46" s="16"/>
      <c r="N46" s="16"/>
      <c r="O46" s="16"/>
      <c r="P46" s="16"/>
      <c r="Q46" s="16"/>
      <c r="R46" s="16"/>
      <c r="S46" s="16"/>
    </row>
    <row r="47" spans="1:19">
      <c r="A47" s="21"/>
      <c r="B47" s="16"/>
      <c r="C47" s="16"/>
      <c r="D47" s="16"/>
      <c r="E47" s="16"/>
      <c r="F47" s="16"/>
      <c r="G47" s="16"/>
      <c r="H47" s="16"/>
      <c r="I47" s="16"/>
      <c r="J47" s="16"/>
      <c r="K47" s="16"/>
      <c r="L47" s="16"/>
      <c r="M47" s="16"/>
      <c r="N47" s="16"/>
      <c r="O47" s="16"/>
      <c r="P47" s="16"/>
      <c r="Q47" s="16"/>
      <c r="R47" s="16"/>
      <c r="S47" s="16"/>
    </row>
    <row r="48" spans="1:19">
      <c r="A48" s="21"/>
      <c r="B48" s="16"/>
      <c r="C48" s="16"/>
      <c r="D48" s="16"/>
      <c r="E48" s="16"/>
      <c r="F48" s="16"/>
      <c r="G48" s="16"/>
      <c r="H48" s="16"/>
      <c r="I48" s="16"/>
      <c r="J48" s="16"/>
      <c r="K48" s="16"/>
      <c r="L48" s="16"/>
      <c r="M48" s="16"/>
      <c r="N48" s="16"/>
      <c r="O48" s="16"/>
      <c r="P48" s="16"/>
      <c r="Q48" s="16"/>
      <c r="R48" s="16"/>
      <c r="S48" s="16"/>
    </row>
    <row r="49" spans="1:19">
      <c r="A49" s="21"/>
      <c r="B49" s="16"/>
      <c r="C49" s="16"/>
      <c r="D49" s="16"/>
      <c r="E49" s="16"/>
      <c r="F49" s="16"/>
      <c r="G49" s="16"/>
      <c r="H49" s="16"/>
      <c r="I49" s="16"/>
      <c r="J49" s="16"/>
      <c r="K49" s="16"/>
      <c r="L49" s="16"/>
      <c r="M49" s="16"/>
      <c r="N49" s="16"/>
      <c r="O49" s="16"/>
      <c r="P49" s="16"/>
      <c r="Q49" s="16"/>
      <c r="R49" s="16"/>
      <c r="S49" s="16"/>
    </row>
    <row r="50" spans="1:19">
      <c r="A50" s="21"/>
      <c r="B50" s="16"/>
      <c r="C50" s="16"/>
      <c r="D50" s="16"/>
      <c r="E50" s="16"/>
      <c r="F50" s="16"/>
      <c r="G50" s="16"/>
      <c r="H50" s="16"/>
      <c r="I50" s="16"/>
      <c r="J50" s="16"/>
      <c r="K50" s="16"/>
      <c r="L50" s="16"/>
      <c r="M50" s="16"/>
      <c r="N50" s="16"/>
      <c r="O50" s="16"/>
      <c r="P50" s="16"/>
      <c r="Q50" s="16"/>
      <c r="R50" s="16"/>
      <c r="S50" s="16"/>
    </row>
    <row r="51" spans="1:19">
      <c r="A51" s="21"/>
      <c r="B51" s="16"/>
      <c r="C51" s="16"/>
      <c r="D51" s="16"/>
      <c r="E51" s="16"/>
      <c r="F51" s="16"/>
      <c r="G51" s="16"/>
      <c r="H51" s="16"/>
      <c r="I51" s="16"/>
      <c r="J51" s="16"/>
      <c r="K51" s="16"/>
      <c r="L51" s="16"/>
      <c r="M51" s="16"/>
      <c r="N51" s="16"/>
      <c r="O51" s="16"/>
      <c r="P51" s="16"/>
      <c r="Q51" s="16"/>
      <c r="R51" s="16"/>
      <c r="S51" s="16"/>
    </row>
    <row r="52" spans="1:19">
      <c r="A52" s="21"/>
      <c r="B52" s="16"/>
      <c r="C52" s="16"/>
      <c r="D52" s="16"/>
      <c r="E52" s="16"/>
      <c r="F52" s="16"/>
      <c r="G52" s="16"/>
      <c r="H52" s="16"/>
      <c r="I52" s="16"/>
      <c r="J52" s="16"/>
      <c r="K52" s="16"/>
      <c r="L52" s="16"/>
      <c r="M52" s="16"/>
      <c r="N52" s="16"/>
      <c r="O52" s="16"/>
      <c r="P52" s="16"/>
      <c r="Q52" s="16"/>
      <c r="R52" s="16"/>
      <c r="S52" s="16"/>
    </row>
    <row r="53" spans="1:19">
      <c r="A53" s="21"/>
      <c r="B53" s="16"/>
      <c r="C53" s="16"/>
      <c r="D53" s="16"/>
      <c r="E53" s="16"/>
      <c r="F53" s="16"/>
      <c r="G53" s="16"/>
      <c r="H53" s="16"/>
      <c r="I53" s="16"/>
      <c r="J53" s="16"/>
      <c r="K53" s="16"/>
      <c r="L53" s="16"/>
      <c r="M53" s="16"/>
      <c r="N53" s="16"/>
      <c r="O53" s="16"/>
      <c r="P53" s="16"/>
      <c r="Q53" s="16"/>
      <c r="R53" s="16"/>
      <c r="S53" s="16"/>
    </row>
    <row r="54" spans="1:19">
      <c r="A54" s="21"/>
      <c r="B54" s="16"/>
      <c r="C54" s="16"/>
      <c r="D54" s="16"/>
      <c r="E54" s="16"/>
      <c r="F54" s="16"/>
      <c r="G54" s="16"/>
      <c r="H54" s="16"/>
      <c r="I54" s="16"/>
      <c r="J54" s="16"/>
      <c r="K54" s="16"/>
      <c r="L54" s="16"/>
      <c r="M54" s="16"/>
      <c r="N54" s="16"/>
      <c r="O54" s="16"/>
      <c r="P54" s="16"/>
      <c r="Q54" s="16"/>
      <c r="R54" s="16"/>
      <c r="S54" s="16"/>
    </row>
    <row r="55" spans="1:19">
      <c r="A55" s="21"/>
      <c r="B55" s="16"/>
      <c r="C55" s="16"/>
      <c r="D55" s="16"/>
      <c r="E55" s="16"/>
      <c r="F55" s="16"/>
      <c r="G55" s="16"/>
      <c r="H55" s="16"/>
      <c r="I55" s="16"/>
      <c r="J55" s="16"/>
      <c r="K55" s="16"/>
      <c r="L55" s="16"/>
      <c r="M55" s="16"/>
      <c r="N55" s="16"/>
      <c r="O55" s="16"/>
      <c r="P55" s="16"/>
      <c r="Q55" s="16"/>
      <c r="R55" s="16"/>
      <c r="S55" s="16"/>
    </row>
    <row r="56" spans="1:19">
      <c r="A56" s="21"/>
      <c r="B56" s="16"/>
      <c r="C56" s="16"/>
      <c r="D56" s="16"/>
      <c r="E56" s="16"/>
      <c r="F56" s="16"/>
      <c r="G56" s="16"/>
      <c r="H56" s="16"/>
      <c r="I56" s="16"/>
      <c r="J56" s="16"/>
      <c r="K56" s="16"/>
      <c r="L56" s="16"/>
      <c r="M56" s="16"/>
      <c r="N56" s="16"/>
      <c r="O56" s="16"/>
      <c r="P56" s="16"/>
      <c r="Q56" s="16"/>
      <c r="R56" s="16"/>
      <c r="S56" s="16"/>
    </row>
    <row r="57" spans="1:19">
      <c r="A57" s="21"/>
      <c r="B57" s="16"/>
      <c r="C57" s="16"/>
      <c r="D57" s="16"/>
      <c r="E57" s="16"/>
      <c r="F57" s="16"/>
      <c r="G57" s="16"/>
      <c r="H57" s="16"/>
      <c r="I57" s="16"/>
      <c r="J57" s="16"/>
      <c r="K57" s="16"/>
      <c r="L57" s="16"/>
      <c r="M57" s="16"/>
      <c r="N57" s="16"/>
      <c r="O57" s="16"/>
      <c r="P57" s="16"/>
      <c r="Q57" s="16"/>
      <c r="R57" s="16"/>
      <c r="S57" s="16"/>
    </row>
    <row r="58" spans="1:19">
      <c r="A58" s="21"/>
      <c r="B58" s="16"/>
      <c r="C58" s="16"/>
      <c r="D58" s="16"/>
      <c r="E58" s="16"/>
      <c r="F58" s="16"/>
      <c r="G58" s="16"/>
      <c r="H58" s="16"/>
      <c r="I58" s="16"/>
      <c r="J58" s="16"/>
      <c r="K58" s="16"/>
      <c r="L58" s="16"/>
      <c r="M58" s="16"/>
      <c r="N58" s="16"/>
      <c r="O58" s="16"/>
      <c r="P58" s="16"/>
      <c r="Q58" s="16"/>
      <c r="R58" s="16"/>
      <c r="S58" s="16"/>
    </row>
    <row r="59" spans="1:19">
      <c r="A59" s="21"/>
      <c r="B59" s="16"/>
      <c r="C59" s="16"/>
      <c r="D59" s="16"/>
      <c r="E59" s="16"/>
      <c r="F59" s="16"/>
      <c r="G59" s="16"/>
      <c r="H59" s="16"/>
      <c r="I59" s="16"/>
      <c r="J59" s="16"/>
      <c r="K59" s="16"/>
      <c r="L59" s="16"/>
      <c r="M59" s="16"/>
      <c r="N59" s="16"/>
      <c r="O59" s="16"/>
      <c r="P59" s="16"/>
      <c r="Q59" s="16"/>
      <c r="R59" s="16"/>
      <c r="S59" s="16"/>
    </row>
    <row r="60" spans="1:19">
      <c r="A60" s="21"/>
      <c r="B60" s="16"/>
      <c r="C60" s="16"/>
      <c r="D60" s="16"/>
      <c r="E60" s="16"/>
      <c r="F60" s="16"/>
      <c r="G60" s="16"/>
      <c r="H60" s="16"/>
      <c r="I60" s="16"/>
      <c r="J60" s="16"/>
      <c r="K60" s="16"/>
      <c r="L60" s="16"/>
      <c r="M60" s="16"/>
      <c r="N60" s="16"/>
      <c r="O60" s="16"/>
      <c r="P60" s="16"/>
      <c r="Q60" s="16"/>
      <c r="R60" s="16"/>
      <c r="S60" s="16"/>
    </row>
    <row r="61" spans="1:19">
      <c r="A61" s="21"/>
      <c r="B61" s="16"/>
      <c r="C61" s="16"/>
      <c r="D61" s="16"/>
      <c r="E61" s="16"/>
      <c r="F61" s="16"/>
      <c r="G61" s="16"/>
      <c r="H61" s="16"/>
      <c r="I61" s="16"/>
      <c r="J61" s="16"/>
      <c r="K61" s="16"/>
      <c r="L61" s="16"/>
      <c r="M61" s="16"/>
      <c r="N61" s="16"/>
      <c r="O61" s="16"/>
      <c r="P61" s="16"/>
      <c r="Q61" s="16"/>
      <c r="R61" s="16"/>
      <c r="S61" s="16"/>
    </row>
    <row r="62" spans="1:19">
      <c r="A62" s="21"/>
      <c r="B62" s="16"/>
      <c r="C62" s="16"/>
      <c r="D62" s="16"/>
      <c r="E62" s="16"/>
      <c r="F62" s="16"/>
      <c r="G62" s="16"/>
      <c r="H62" s="16"/>
      <c r="I62" s="16"/>
      <c r="J62" s="16"/>
      <c r="K62" s="16"/>
      <c r="L62" s="16"/>
      <c r="M62" s="16"/>
      <c r="N62" s="16"/>
      <c r="O62" s="16"/>
      <c r="P62" s="16"/>
      <c r="Q62" s="16"/>
      <c r="R62" s="16"/>
      <c r="S62" s="16"/>
    </row>
    <row r="63" spans="1:19">
      <c r="A63" s="21"/>
      <c r="B63" s="16"/>
      <c r="C63" s="16"/>
      <c r="D63" s="16"/>
      <c r="E63" s="16"/>
      <c r="F63" s="16"/>
      <c r="G63" s="16"/>
      <c r="H63" s="16"/>
      <c r="I63" s="16"/>
      <c r="J63" s="16"/>
      <c r="K63" s="16"/>
      <c r="L63" s="16"/>
      <c r="M63" s="16"/>
      <c r="N63" s="16"/>
      <c r="O63" s="16"/>
      <c r="P63" s="16"/>
      <c r="Q63" s="16"/>
      <c r="R63" s="16"/>
      <c r="S63" s="16"/>
    </row>
    <row r="64" spans="1:19">
      <c r="A64" s="21"/>
      <c r="B64" s="16"/>
      <c r="C64" s="16"/>
      <c r="D64" s="16"/>
      <c r="E64" s="16"/>
      <c r="F64" s="16"/>
      <c r="G64" s="16"/>
      <c r="H64" s="16"/>
      <c r="I64" s="16"/>
      <c r="J64" s="16"/>
      <c r="K64" s="16"/>
      <c r="L64" s="16"/>
      <c r="M64" s="16"/>
      <c r="N64" s="16"/>
      <c r="O64" s="16"/>
      <c r="P64" s="16"/>
      <c r="Q64" s="16"/>
      <c r="R64" s="16"/>
      <c r="S64" s="16"/>
    </row>
    <row r="65" spans="1:19">
      <c r="A65" s="21"/>
      <c r="B65" s="16"/>
      <c r="C65" s="16"/>
      <c r="D65" s="16"/>
      <c r="E65" s="16"/>
      <c r="F65" s="16"/>
      <c r="G65" s="16"/>
      <c r="H65" s="16"/>
      <c r="I65" s="16"/>
      <c r="J65" s="16"/>
      <c r="K65" s="16"/>
      <c r="L65" s="16"/>
      <c r="M65" s="16"/>
      <c r="N65" s="16"/>
      <c r="O65" s="16"/>
      <c r="P65" s="16"/>
      <c r="Q65" s="16"/>
      <c r="R65" s="16"/>
      <c r="S65" s="16"/>
    </row>
    <row r="66" spans="1:19">
      <c r="A66" s="21"/>
      <c r="B66" s="16"/>
      <c r="C66" s="16"/>
      <c r="D66" s="16"/>
      <c r="E66" s="16"/>
      <c r="F66" s="16"/>
      <c r="G66" s="16"/>
      <c r="H66" s="16"/>
      <c r="I66" s="16"/>
      <c r="J66" s="16"/>
      <c r="K66" s="16"/>
      <c r="L66" s="16"/>
      <c r="M66" s="16"/>
      <c r="N66" s="16"/>
      <c r="O66" s="16"/>
      <c r="P66" s="16"/>
      <c r="Q66" s="16"/>
      <c r="R66" s="16"/>
      <c r="S66" s="16"/>
    </row>
    <row r="67" spans="1:19">
      <c r="A67" s="21"/>
      <c r="B67" s="16"/>
      <c r="C67" s="16"/>
      <c r="D67" s="16"/>
      <c r="E67" s="16"/>
      <c r="F67" s="16"/>
      <c r="G67" s="16"/>
      <c r="H67" s="16"/>
      <c r="I67" s="16"/>
      <c r="J67" s="16"/>
      <c r="K67" s="16"/>
      <c r="L67" s="16"/>
      <c r="M67" s="16"/>
      <c r="N67" s="16"/>
      <c r="O67" s="16"/>
      <c r="P67" s="16"/>
      <c r="Q67" s="16"/>
      <c r="R67" s="16"/>
      <c r="S67" s="16"/>
    </row>
    <row r="68" spans="1:19">
      <c r="A68" s="21"/>
      <c r="B68" s="16"/>
      <c r="C68" s="16"/>
      <c r="D68" s="16"/>
      <c r="E68" s="16"/>
      <c r="F68" s="16"/>
      <c r="G68" s="16"/>
      <c r="H68" s="16"/>
      <c r="I68" s="16"/>
      <c r="J68" s="16"/>
      <c r="K68" s="16"/>
      <c r="L68" s="16"/>
      <c r="M68" s="16"/>
      <c r="N68" s="16"/>
      <c r="O68" s="16"/>
      <c r="P68" s="16"/>
      <c r="Q68" s="16"/>
      <c r="R68" s="16"/>
      <c r="S68" s="16"/>
    </row>
    <row r="69" spans="1:19">
      <c r="A69" s="21"/>
      <c r="B69" s="16"/>
      <c r="C69" s="16"/>
      <c r="D69" s="16"/>
      <c r="E69" s="16"/>
      <c r="F69" s="16"/>
      <c r="G69" s="16"/>
      <c r="H69" s="16"/>
      <c r="I69" s="16"/>
      <c r="J69" s="16"/>
      <c r="K69" s="16"/>
      <c r="L69" s="16"/>
      <c r="M69" s="16"/>
      <c r="N69" s="16"/>
      <c r="O69" s="16"/>
      <c r="P69" s="16"/>
      <c r="Q69" s="16"/>
      <c r="R69" s="16"/>
      <c r="S69" s="16"/>
    </row>
    <row r="70" spans="1:19">
      <c r="A70" s="21"/>
      <c r="B70" s="16"/>
      <c r="C70" s="16"/>
      <c r="D70" s="16"/>
      <c r="E70" s="16"/>
      <c r="F70" s="16"/>
      <c r="G70" s="16"/>
      <c r="H70" s="16"/>
      <c r="I70" s="16"/>
      <c r="J70" s="16"/>
      <c r="K70" s="16"/>
      <c r="L70" s="16"/>
      <c r="M70" s="16"/>
      <c r="N70" s="16"/>
      <c r="O70" s="16"/>
      <c r="P70" s="16"/>
      <c r="Q70" s="16"/>
      <c r="R70" s="16"/>
      <c r="S70" s="16"/>
    </row>
    <row r="71" spans="1:19">
      <c r="A71" s="21"/>
      <c r="B71" s="16"/>
      <c r="C71" s="16"/>
      <c r="D71" s="16"/>
      <c r="E71" s="16"/>
      <c r="F71" s="16"/>
      <c r="G71" s="16"/>
      <c r="H71" s="16"/>
      <c r="I71" s="16"/>
      <c r="J71" s="16"/>
      <c r="K71" s="16"/>
      <c r="L71" s="16"/>
      <c r="M71" s="16"/>
      <c r="N71" s="16"/>
      <c r="O71" s="16"/>
      <c r="P71" s="16"/>
      <c r="Q71" s="16"/>
      <c r="R71" s="16"/>
      <c r="S71" s="16"/>
    </row>
    <row r="72" spans="1:19">
      <c r="A72" s="21"/>
      <c r="B72" s="16"/>
      <c r="C72" s="16"/>
      <c r="D72" s="16"/>
      <c r="E72" s="16"/>
      <c r="F72" s="16"/>
      <c r="G72" s="16"/>
      <c r="H72" s="16"/>
      <c r="I72" s="16"/>
      <c r="J72" s="16"/>
      <c r="K72" s="16"/>
      <c r="L72" s="16"/>
      <c r="M72" s="16"/>
      <c r="N72" s="16"/>
      <c r="O72" s="16"/>
      <c r="P72" s="16"/>
      <c r="Q72" s="16"/>
      <c r="R72" s="16"/>
      <c r="S72" s="16"/>
    </row>
    <row r="73" spans="1:19">
      <c r="A73" s="21"/>
      <c r="B73" s="16"/>
      <c r="C73" s="16"/>
      <c r="D73" s="16"/>
      <c r="E73" s="16"/>
      <c r="F73" s="16"/>
      <c r="G73" s="16"/>
      <c r="H73" s="16"/>
      <c r="I73" s="16"/>
      <c r="J73" s="16"/>
      <c r="K73" s="16"/>
      <c r="L73" s="16"/>
      <c r="M73" s="16"/>
      <c r="N73" s="16"/>
      <c r="O73" s="16"/>
      <c r="P73" s="16"/>
      <c r="Q73" s="16"/>
      <c r="R73" s="16"/>
      <c r="S73" s="16"/>
    </row>
    <row r="74" spans="1:19">
      <c r="A74" s="21"/>
      <c r="B74" s="16"/>
      <c r="C74" s="16"/>
      <c r="D74" s="16"/>
      <c r="E74" s="16"/>
      <c r="F74" s="16"/>
      <c r="G74" s="16"/>
      <c r="H74" s="16"/>
      <c r="I74" s="16"/>
      <c r="J74" s="16"/>
      <c r="K74" s="16"/>
      <c r="L74" s="16"/>
      <c r="M74" s="16"/>
      <c r="N74" s="16"/>
      <c r="O74" s="16"/>
      <c r="P74" s="16"/>
      <c r="Q74" s="16"/>
      <c r="R74" s="16"/>
      <c r="S74" s="16"/>
    </row>
    <row r="75" spans="1:19">
      <c r="A75" s="21"/>
      <c r="B75" s="16"/>
      <c r="C75" s="16"/>
      <c r="D75" s="16"/>
      <c r="E75" s="16"/>
      <c r="F75" s="16"/>
      <c r="G75" s="16"/>
      <c r="H75" s="16"/>
      <c r="I75" s="16"/>
      <c r="J75" s="16"/>
      <c r="K75" s="16"/>
      <c r="L75" s="16"/>
      <c r="M75" s="16"/>
      <c r="N75" s="16"/>
      <c r="O75" s="16"/>
      <c r="P75" s="16"/>
      <c r="Q75" s="16"/>
      <c r="R75" s="16"/>
      <c r="S75" s="16"/>
    </row>
    <row r="76" spans="1:19">
      <c r="A76" s="21"/>
      <c r="B76" s="16"/>
      <c r="C76" s="16"/>
      <c r="D76" s="16"/>
      <c r="E76" s="16"/>
      <c r="F76" s="16"/>
      <c r="G76" s="16"/>
      <c r="H76" s="16"/>
      <c r="I76" s="16"/>
      <c r="J76" s="16"/>
      <c r="K76" s="16"/>
      <c r="L76" s="16"/>
      <c r="M76" s="16"/>
      <c r="N76" s="16"/>
      <c r="O76" s="16"/>
      <c r="P76" s="16"/>
      <c r="Q76" s="16"/>
      <c r="R76" s="16"/>
      <c r="S76" s="16"/>
    </row>
    <row r="77" spans="1:19">
      <c r="A77" s="21"/>
      <c r="B77" s="16"/>
      <c r="C77" s="16"/>
      <c r="D77" s="16"/>
      <c r="E77" s="16"/>
      <c r="F77" s="16"/>
      <c r="G77" s="16"/>
      <c r="H77" s="16"/>
      <c r="I77" s="16"/>
      <c r="J77" s="16"/>
      <c r="K77" s="16"/>
      <c r="L77" s="16"/>
      <c r="M77" s="16"/>
      <c r="N77" s="16"/>
      <c r="O77" s="16"/>
      <c r="P77" s="16"/>
      <c r="Q77" s="16"/>
      <c r="R77" s="16"/>
      <c r="S77" s="16"/>
    </row>
    <row r="78" spans="1:19">
      <c r="A78" s="21"/>
      <c r="B78" s="16"/>
      <c r="C78" s="16"/>
      <c r="D78" s="16"/>
      <c r="E78" s="16"/>
      <c r="F78" s="16"/>
      <c r="G78" s="16"/>
      <c r="H78" s="16"/>
      <c r="I78" s="16"/>
      <c r="J78" s="16"/>
      <c r="K78" s="16"/>
      <c r="L78" s="16"/>
      <c r="M78" s="16"/>
      <c r="N78" s="16"/>
      <c r="O78" s="16"/>
      <c r="P78" s="16"/>
      <c r="Q78" s="16"/>
      <c r="R78" s="16"/>
      <c r="S78" s="16"/>
    </row>
    <row r="79" spans="1:19">
      <c r="A79" s="21"/>
      <c r="B79" s="16"/>
      <c r="C79" s="16"/>
      <c r="D79" s="16"/>
      <c r="E79" s="16"/>
      <c r="F79" s="16"/>
      <c r="G79" s="16"/>
      <c r="H79" s="16"/>
      <c r="I79" s="16"/>
      <c r="J79" s="16"/>
      <c r="K79" s="16"/>
      <c r="L79" s="16"/>
      <c r="M79" s="16"/>
      <c r="N79" s="16"/>
      <c r="O79" s="16"/>
      <c r="P79" s="16"/>
      <c r="Q79" s="16"/>
      <c r="R79" s="16"/>
      <c r="S79" s="16"/>
    </row>
    <row r="80" spans="1:19">
      <c r="A80" s="21"/>
      <c r="B80" s="16"/>
      <c r="C80" s="16"/>
      <c r="D80" s="16"/>
      <c r="E80" s="16"/>
      <c r="F80" s="16"/>
      <c r="G80" s="16"/>
      <c r="H80" s="16"/>
      <c r="I80" s="16"/>
      <c r="J80" s="16"/>
      <c r="K80" s="16"/>
      <c r="L80" s="16"/>
      <c r="M80" s="16"/>
      <c r="N80" s="16"/>
      <c r="O80" s="16"/>
      <c r="P80" s="16"/>
      <c r="Q80" s="16"/>
      <c r="R80" s="16"/>
      <c r="S80" s="16"/>
    </row>
    <row r="81" spans="1:19">
      <c r="A81" s="21"/>
      <c r="B81" s="16"/>
      <c r="C81" s="16"/>
      <c r="D81" s="16"/>
      <c r="E81" s="16"/>
      <c r="F81" s="16"/>
      <c r="G81" s="16"/>
      <c r="H81" s="16"/>
      <c r="I81" s="16"/>
      <c r="J81" s="16"/>
      <c r="K81" s="16"/>
      <c r="L81" s="16"/>
      <c r="M81" s="16"/>
      <c r="N81" s="16"/>
      <c r="O81" s="16"/>
      <c r="P81" s="16"/>
      <c r="Q81" s="16"/>
      <c r="R81" s="16"/>
      <c r="S81" s="16"/>
    </row>
    <row r="82" spans="1:19">
      <c r="A82" s="21"/>
      <c r="B82" s="16"/>
      <c r="C82" s="16"/>
      <c r="D82" s="16"/>
      <c r="E82" s="16"/>
      <c r="F82" s="16"/>
      <c r="G82" s="16"/>
      <c r="H82" s="16"/>
      <c r="I82" s="16"/>
      <c r="J82" s="16"/>
      <c r="K82" s="16"/>
      <c r="L82" s="16"/>
      <c r="M82" s="16"/>
      <c r="N82" s="16"/>
      <c r="O82" s="16"/>
      <c r="P82" s="16"/>
      <c r="Q82" s="16"/>
      <c r="R82" s="16"/>
      <c r="S82" s="16"/>
    </row>
    <row r="83" spans="1:19">
      <c r="A83" s="21"/>
      <c r="B83" s="16"/>
      <c r="C83" s="16"/>
      <c r="D83" s="16"/>
      <c r="E83" s="16"/>
      <c r="F83" s="16"/>
      <c r="G83" s="16"/>
      <c r="H83" s="16"/>
      <c r="I83" s="16"/>
      <c r="J83" s="16"/>
      <c r="K83" s="16"/>
      <c r="L83" s="16"/>
      <c r="M83" s="16"/>
      <c r="N83" s="16"/>
      <c r="O83" s="16"/>
      <c r="P83" s="16"/>
      <c r="Q83" s="16"/>
      <c r="R83" s="16"/>
      <c r="S83" s="16"/>
    </row>
    <row r="84" spans="1:19">
      <c r="A84" s="21"/>
      <c r="B84" s="16"/>
      <c r="C84" s="16"/>
      <c r="D84" s="16"/>
      <c r="E84" s="16"/>
      <c r="F84" s="16"/>
      <c r="G84" s="16"/>
      <c r="H84" s="16"/>
      <c r="I84" s="16"/>
      <c r="J84" s="16"/>
      <c r="K84" s="16"/>
      <c r="L84" s="16"/>
      <c r="M84" s="16"/>
      <c r="N84" s="16"/>
      <c r="O84" s="16"/>
      <c r="P84" s="16"/>
      <c r="Q84" s="16"/>
      <c r="R84" s="16"/>
      <c r="S84" s="16"/>
    </row>
    <row r="85" spans="1:19">
      <c r="A85" s="21"/>
      <c r="B85" s="16"/>
      <c r="C85" s="16"/>
      <c r="D85" s="16"/>
      <c r="E85" s="16"/>
      <c r="F85" s="16"/>
      <c r="G85" s="16"/>
      <c r="H85" s="16"/>
      <c r="I85" s="16"/>
      <c r="J85" s="16"/>
      <c r="K85" s="16"/>
      <c r="L85" s="16"/>
      <c r="M85" s="16"/>
      <c r="N85" s="16"/>
      <c r="O85" s="16"/>
      <c r="P85" s="16"/>
      <c r="Q85" s="16"/>
      <c r="R85" s="16"/>
      <c r="S85" s="16"/>
    </row>
    <row r="86" spans="1:19">
      <c r="A86" s="21"/>
      <c r="B86" s="16"/>
      <c r="C86" s="16"/>
      <c r="D86" s="16"/>
      <c r="E86" s="16"/>
      <c r="F86" s="16"/>
      <c r="G86" s="16"/>
      <c r="H86" s="16"/>
      <c r="I86" s="16"/>
      <c r="J86" s="16"/>
      <c r="K86" s="16"/>
      <c r="L86" s="16"/>
      <c r="M86" s="16"/>
      <c r="N86" s="16"/>
      <c r="O86" s="16"/>
      <c r="P86" s="16"/>
      <c r="Q86" s="16"/>
      <c r="R86" s="16"/>
      <c r="S86" s="16"/>
    </row>
    <row r="87" spans="1:19">
      <c r="A87" s="21"/>
      <c r="B87" s="16"/>
      <c r="C87" s="16"/>
      <c r="D87" s="16"/>
      <c r="E87" s="16"/>
      <c r="F87" s="16"/>
      <c r="G87" s="16"/>
      <c r="H87" s="16"/>
      <c r="I87" s="16"/>
      <c r="J87" s="16"/>
      <c r="K87" s="16"/>
      <c r="L87" s="16"/>
      <c r="M87" s="16"/>
      <c r="N87" s="16"/>
      <c r="O87" s="16"/>
      <c r="P87" s="16"/>
      <c r="Q87" s="16"/>
      <c r="R87" s="16"/>
      <c r="S87" s="16"/>
    </row>
    <row r="88" spans="1:19">
      <c r="A88" s="21"/>
      <c r="B88" s="16"/>
      <c r="C88" s="16"/>
      <c r="D88" s="16"/>
      <c r="E88" s="16"/>
      <c r="F88" s="16"/>
      <c r="G88" s="16"/>
      <c r="H88" s="16"/>
      <c r="I88" s="16"/>
      <c r="J88" s="16"/>
      <c r="K88" s="16"/>
      <c r="L88" s="16"/>
      <c r="M88" s="16"/>
      <c r="N88" s="16"/>
      <c r="O88" s="16"/>
      <c r="P88" s="16"/>
      <c r="Q88" s="16"/>
      <c r="R88" s="16"/>
      <c r="S88" s="16"/>
    </row>
    <row r="89" spans="1:19">
      <c r="A89" s="21"/>
      <c r="B89" s="16"/>
      <c r="C89" s="16"/>
      <c r="D89" s="16"/>
      <c r="E89" s="16"/>
      <c r="F89" s="16"/>
      <c r="G89" s="16"/>
      <c r="H89" s="16"/>
      <c r="I89" s="16"/>
      <c r="J89" s="16"/>
      <c r="K89" s="16"/>
      <c r="L89" s="16"/>
      <c r="M89" s="16"/>
      <c r="N89" s="16"/>
      <c r="O89" s="16"/>
      <c r="P89" s="16"/>
      <c r="Q89" s="16"/>
      <c r="R89" s="16"/>
      <c r="S89" s="16"/>
    </row>
    <row r="90" spans="1:19">
      <c r="A90" s="21"/>
      <c r="B90" s="16"/>
      <c r="C90" s="16"/>
      <c r="D90" s="16"/>
      <c r="E90" s="16"/>
      <c r="F90" s="16"/>
      <c r="G90" s="16"/>
      <c r="H90" s="16"/>
      <c r="I90" s="16"/>
      <c r="J90" s="16"/>
      <c r="K90" s="16"/>
      <c r="L90" s="16"/>
      <c r="M90" s="16"/>
      <c r="N90" s="16"/>
      <c r="O90" s="16"/>
      <c r="P90" s="16"/>
      <c r="Q90" s="16"/>
      <c r="R90" s="16"/>
      <c r="S90" s="16"/>
    </row>
    <row r="91" spans="1:19">
      <c r="A91" s="21"/>
      <c r="B91" s="16"/>
      <c r="C91" s="16"/>
      <c r="D91" s="16"/>
      <c r="E91" s="16"/>
      <c r="F91" s="16"/>
      <c r="G91" s="16"/>
      <c r="H91" s="16"/>
      <c r="I91" s="16"/>
      <c r="J91" s="16"/>
      <c r="K91" s="16"/>
      <c r="L91" s="16"/>
      <c r="M91" s="16"/>
      <c r="N91" s="16"/>
      <c r="O91" s="16"/>
      <c r="P91" s="16"/>
      <c r="Q91" s="16"/>
      <c r="R91" s="16"/>
      <c r="S91" s="16"/>
    </row>
    <row r="92" spans="1:19">
      <c r="A92" s="21"/>
      <c r="B92" s="16"/>
      <c r="C92" s="16"/>
      <c r="D92" s="16"/>
      <c r="E92" s="16"/>
      <c r="F92" s="16"/>
      <c r="G92" s="16"/>
      <c r="H92" s="16"/>
      <c r="I92" s="16"/>
      <c r="J92" s="16"/>
      <c r="K92" s="16"/>
      <c r="L92" s="16"/>
      <c r="M92" s="16"/>
      <c r="N92" s="16"/>
      <c r="O92" s="16"/>
      <c r="P92" s="16"/>
      <c r="Q92" s="16"/>
      <c r="R92" s="16"/>
      <c r="S92" s="16"/>
    </row>
    <row r="93" spans="1:19">
      <c r="A93" s="21"/>
      <c r="B93" s="16"/>
      <c r="C93" s="16"/>
      <c r="D93" s="16"/>
      <c r="E93" s="16"/>
      <c r="F93" s="16"/>
      <c r="G93" s="16"/>
      <c r="H93" s="16"/>
      <c r="I93" s="16"/>
      <c r="J93" s="16"/>
      <c r="K93" s="16"/>
      <c r="L93" s="16"/>
      <c r="M93" s="16"/>
      <c r="N93" s="16"/>
      <c r="O93" s="16"/>
      <c r="P93" s="16"/>
      <c r="Q93" s="16"/>
      <c r="R93" s="16"/>
      <c r="S93" s="16"/>
    </row>
    <row r="94" spans="1:19">
      <c r="A94" s="21"/>
      <c r="B94" s="16"/>
      <c r="C94" s="16"/>
      <c r="D94" s="16"/>
      <c r="E94" s="16"/>
      <c r="F94" s="16"/>
      <c r="G94" s="16"/>
      <c r="H94" s="16"/>
      <c r="I94" s="16"/>
      <c r="J94" s="16"/>
      <c r="K94" s="16"/>
      <c r="L94" s="16"/>
      <c r="M94" s="16"/>
      <c r="N94" s="16"/>
      <c r="O94" s="16"/>
      <c r="P94" s="16"/>
      <c r="Q94" s="16"/>
      <c r="R94" s="16"/>
      <c r="S94" s="16"/>
    </row>
    <row r="95" spans="1:19">
      <c r="A95" s="21"/>
      <c r="B95" s="16"/>
      <c r="C95" s="16"/>
      <c r="D95" s="16"/>
      <c r="E95" s="16"/>
      <c r="F95" s="16"/>
      <c r="G95" s="16"/>
      <c r="H95" s="16"/>
      <c r="I95" s="16"/>
      <c r="J95" s="16"/>
      <c r="K95" s="16"/>
      <c r="L95" s="16"/>
      <c r="M95" s="16"/>
      <c r="N95" s="16"/>
      <c r="O95" s="16"/>
      <c r="P95" s="16"/>
      <c r="Q95" s="16"/>
      <c r="R95" s="16"/>
      <c r="S95" s="16"/>
    </row>
    <row r="96" spans="1:19">
      <c r="A96" s="21"/>
      <c r="B96" s="16"/>
      <c r="C96" s="16"/>
      <c r="D96" s="16"/>
      <c r="E96" s="16"/>
      <c r="F96" s="16"/>
      <c r="G96" s="16"/>
      <c r="H96" s="16"/>
      <c r="I96" s="16"/>
      <c r="J96" s="16"/>
      <c r="K96" s="16"/>
      <c r="L96" s="16"/>
      <c r="M96" s="16"/>
      <c r="N96" s="16"/>
      <c r="O96" s="16"/>
      <c r="P96" s="16"/>
      <c r="Q96" s="16"/>
      <c r="R96" s="16"/>
      <c r="S96" s="16"/>
    </row>
    <row r="97" spans="1:19">
      <c r="A97" s="21"/>
      <c r="B97" s="16"/>
      <c r="C97" s="16"/>
      <c r="D97" s="16"/>
      <c r="E97" s="16"/>
      <c r="F97" s="16"/>
      <c r="G97" s="16"/>
      <c r="H97" s="16"/>
      <c r="I97" s="16"/>
      <c r="J97" s="16"/>
      <c r="K97" s="16"/>
      <c r="L97" s="16"/>
      <c r="M97" s="16"/>
      <c r="N97" s="16"/>
      <c r="O97" s="16"/>
      <c r="P97" s="16"/>
      <c r="Q97" s="16"/>
      <c r="R97" s="16"/>
      <c r="S97" s="16"/>
    </row>
    <row r="98" spans="1:19">
      <c r="A98" s="21"/>
      <c r="B98" s="16"/>
      <c r="C98" s="16"/>
      <c r="D98" s="16"/>
      <c r="E98" s="16"/>
      <c r="F98" s="16"/>
      <c r="G98" s="16"/>
      <c r="H98" s="16"/>
      <c r="I98" s="16"/>
      <c r="J98" s="16"/>
      <c r="K98" s="16"/>
      <c r="L98" s="16"/>
      <c r="M98" s="16"/>
      <c r="N98" s="16"/>
      <c r="O98" s="16"/>
      <c r="P98" s="16"/>
      <c r="Q98" s="16"/>
      <c r="R98" s="16"/>
      <c r="S98" s="16"/>
    </row>
    <row r="99" spans="1:19">
      <c r="A99" s="21"/>
      <c r="B99" s="16"/>
      <c r="C99" s="16"/>
      <c r="D99" s="16"/>
      <c r="E99" s="16"/>
      <c r="F99" s="16"/>
      <c r="G99" s="16"/>
      <c r="H99" s="16"/>
      <c r="I99" s="16"/>
      <c r="J99" s="16"/>
      <c r="K99" s="16"/>
      <c r="L99" s="16"/>
      <c r="M99" s="16"/>
      <c r="N99" s="16"/>
      <c r="O99" s="16"/>
      <c r="P99" s="16"/>
      <c r="Q99" s="16"/>
      <c r="R99" s="16"/>
      <c r="S99" s="16"/>
    </row>
    <row r="100" spans="1:19">
      <c r="A100" s="21"/>
      <c r="B100" s="16"/>
      <c r="C100" s="16"/>
      <c r="D100" s="16"/>
      <c r="E100" s="16"/>
      <c r="F100" s="16"/>
      <c r="G100" s="16"/>
      <c r="H100" s="16"/>
      <c r="I100" s="16"/>
      <c r="J100" s="16"/>
      <c r="K100" s="16"/>
      <c r="L100" s="16"/>
      <c r="M100" s="16"/>
      <c r="N100" s="16"/>
      <c r="O100" s="16"/>
      <c r="P100" s="16"/>
      <c r="Q100" s="16"/>
      <c r="R100" s="16"/>
      <c r="S100" s="16"/>
    </row>
    <row r="101" spans="1:19">
      <c r="A101" s="21"/>
      <c r="B101" s="16"/>
      <c r="C101" s="16"/>
      <c r="D101" s="16"/>
      <c r="E101" s="16"/>
      <c r="F101" s="16"/>
      <c r="G101" s="16"/>
      <c r="H101" s="16"/>
      <c r="I101" s="16"/>
      <c r="J101" s="16"/>
      <c r="K101" s="16"/>
      <c r="L101" s="16"/>
      <c r="M101" s="16"/>
      <c r="N101" s="16"/>
      <c r="O101" s="16"/>
      <c r="P101" s="16"/>
      <c r="Q101" s="16"/>
      <c r="R101" s="16"/>
      <c r="S101" s="16"/>
    </row>
    <row r="102" spans="1:19">
      <c r="A102" s="21"/>
      <c r="B102" s="16"/>
      <c r="C102" s="16"/>
      <c r="D102" s="16"/>
      <c r="E102" s="16"/>
      <c r="F102" s="16"/>
      <c r="G102" s="16"/>
      <c r="H102" s="16"/>
      <c r="I102" s="16"/>
      <c r="J102" s="16"/>
      <c r="K102" s="16"/>
      <c r="L102" s="16"/>
      <c r="M102" s="16"/>
      <c r="N102" s="16"/>
      <c r="O102" s="16"/>
      <c r="P102" s="16"/>
      <c r="Q102" s="16"/>
      <c r="R102" s="16"/>
      <c r="S102" s="16"/>
    </row>
    <row r="103" spans="1:19">
      <c r="A103" s="21"/>
      <c r="B103" s="16"/>
      <c r="C103" s="16"/>
      <c r="D103" s="16"/>
      <c r="E103" s="16"/>
      <c r="F103" s="16"/>
      <c r="G103" s="16"/>
      <c r="H103" s="16"/>
      <c r="I103" s="16"/>
      <c r="J103" s="16"/>
      <c r="K103" s="16"/>
      <c r="L103" s="16"/>
      <c r="M103" s="16"/>
      <c r="N103" s="16"/>
      <c r="O103" s="16"/>
      <c r="P103" s="16"/>
      <c r="Q103" s="16"/>
      <c r="R103" s="16"/>
      <c r="S103" s="16"/>
    </row>
    <row r="104" spans="1:19">
      <c r="A104" s="21"/>
      <c r="B104" s="16"/>
      <c r="C104" s="16"/>
      <c r="D104" s="16"/>
      <c r="E104" s="16"/>
      <c r="F104" s="16"/>
      <c r="G104" s="16"/>
      <c r="H104" s="16"/>
      <c r="I104" s="16"/>
      <c r="J104" s="16"/>
      <c r="K104" s="16"/>
      <c r="L104" s="16"/>
      <c r="M104" s="16"/>
      <c r="N104" s="16"/>
      <c r="O104" s="16"/>
      <c r="P104" s="16"/>
      <c r="Q104" s="16"/>
      <c r="R104" s="16"/>
      <c r="S104" s="16"/>
    </row>
    <row r="105" spans="1:19">
      <c r="A105" s="21"/>
      <c r="B105" s="16"/>
      <c r="C105" s="16"/>
      <c r="D105" s="16"/>
      <c r="E105" s="16"/>
      <c r="F105" s="16"/>
      <c r="G105" s="16"/>
      <c r="H105" s="16"/>
      <c r="I105" s="16"/>
      <c r="J105" s="16"/>
      <c r="K105" s="16"/>
      <c r="L105" s="16"/>
      <c r="M105" s="16"/>
      <c r="N105" s="16"/>
      <c r="O105" s="16"/>
      <c r="P105" s="16"/>
      <c r="Q105" s="16"/>
      <c r="R105" s="16"/>
      <c r="S105" s="16"/>
    </row>
    <row r="106" spans="1:19">
      <c r="A106" s="21"/>
      <c r="B106" s="16"/>
      <c r="C106" s="16"/>
      <c r="D106" s="16"/>
      <c r="E106" s="16"/>
      <c r="F106" s="16"/>
      <c r="G106" s="16"/>
      <c r="H106" s="16"/>
      <c r="I106" s="16"/>
      <c r="J106" s="16"/>
      <c r="K106" s="16"/>
      <c r="L106" s="16"/>
      <c r="M106" s="16"/>
      <c r="N106" s="16"/>
      <c r="O106" s="16"/>
      <c r="P106" s="16"/>
      <c r="Q106" s="16"/>
      <c r="R106" s="16"/>
      <c r="S106" s="16"/>
    </row>
    <row r="107" spans="1:19">
      <c r="A107" s="21"/>
      <c r="B107" s="16"/>
      <c r="C107" s="16"/>
      <c r="D107" s="16"/>
      <c r="E107" s="16"/>
      <c r="F107" s="16"/>
      <c r="G107" s="16"/>
      <c r="H107" s="16"/>
      <c r="I107" s="16"/>
      <c r="J107" s="16"/>
      <c r="K107" s="16"/>
      <c r="L107" s="16"/>
      <c r="M107" s="16"/>
      <c r="N107" s="16"/>
      <c r="O107" s="16"/>
      <c r="P107" s="16"/>
      <c r="Q107" s="16"/>
      <c r="R107" s="16"/>
      <c r="S107" s="16"/>
    </row>
    <row r="108" spans="1:19">
      <c r="A108" s="21"/>
      <c r="B108" s="16"/>
      <c r="C108" s="16"/>
      <c r="D108" s="16"/>
      <c r="E108" s="16"/>
      <c r="F108" s="16"/>
      <c r="G108" s="16"/>
      <c r="H108" s="16"/>
      <c r="I108" s="16"/>
      <c r="J108" s="16"/>
      <c r="K108" s="16"/>
      <c r="L108" s="16"/>
      <c r="M108" s="16"/>
      <c r="N108" s="16"/>
      <c r="O108" s="16"/>
      <c r="P108" s="16"/>
      <c r="Q108" s="16"/>
      <c r="R108" s="16"/>
      <c r="S108" s="16"/>
    </row>
    <row r="109" spans="1:19">
      <c r="A109" s="21"/>
      <c r="B109" s="16"/>
      <c r="C109" s="16"/>
      <c r="D109" s="16"/>
      <c r="E109" s="16"/>
      <c r="F109" s="16"/>
      <c r="G109" s="16"/>
      <c r="H109" s="16"/>
      <c r="I109" s="16"/>
      <c r="J109" s="16"/>
      <c r="K109" s="16"/>
      <c r="L109" s="16"/>
      <c r="M109" s="16"/>
      <c r="N109" s="16"/>
      <c r="O109" s="16"/>
      <c r="P109" s="16"/>
      <c r="Q109" s="16"/>
      <c r="R109" s="16"/>
      <c r="S109" s="16"/>
    </row>
    <row r="110" spans="1:19">
      <c r="A110" s="21"/>
      <c r="B110" s="16"/>
      <c r="C110" s="16"/>
      <c r="D110" s="16"/>
      <c r="E110" s="16"/>
      <c r="F110" s="16"/>
      <c r="G110" s="16"/>
      <c r="H110" s="16"/>
      <c r="I110" s="16"/>
      <c r="J110" s="16"/>
      <c r="K110" s="16"/>
      <c r="L110" s="16"/>
      <c r="M110" s="16"/>
      <c r="N110" s="16"/>
      <c r="O110" s="16"/>
      <c r="P110" s="16"/>
      <c r="Q110" s="16"/>
      <c r="R110" s="16"/>
      <c r="S110" s="16"/>
    </row>
    <row r="111" spans="1:19">
      <c r="A111" s="21"/>
      <c r="B111" s="16"/>
      <c r="C111" s="16"/>
      <c r="D111" s="16"/>
      <c r="E111" s="16"/>
      <c r="F111" s="16"/>
      <c r="G111" s="16"/>
      <c r="H111" s="16"/>
      <c r="I111" s="16"/>
      <c r="J111" s="16"/>
      <c r="K111" s="16"/>
      <c r="L111" s="16"/>
      <c r="M111" s="16"/>
      <c r="N111" s="16"/>
      <c r="O111" s="16"/>
      <c r="P111" s="16"/>
      <c r="Q111" s="16"/>
      <c r="R111" s="16"/>
      <c r="S111" s="16"/>
    </row>
    <row r="112" spans="1:19">
      <c r="A112" s="21"/>
      <c r="B112" s="16"/>
      <c r="C112" s="16"/>
      <c r="D112" s="16"/>
      <c r="E112" s="16"/>
      <c r="F112" s="16"/>
      <c r="G112" s="16"/>
      <c r="H112" s="16"/>
      <c r="I112" s="16"/>
      <c r="J112" s="16"/>
      <c r="K112" s="16"/>
      <c r="L112" s="16"/>
      <c r="M112" s="16"/>
      <c r="N112" s="16"/>
      <c r="O112" s="16"/>
      <c r="P112" s="16"/>
      <c r="Q112" s="16"/>
      <c r="R112" s="16"/>
      <c r="S112" s="16"/>
    </row>
    <row r="113" spans="1:19">
      <c r="A113" s="21"/>
      <c r="B113" s="16"/>
      <c r="C113" s="16"/>
      <c r="D113" s="16"/>
      <c r="E113" s="16"/>
      <c r="F113" s="16"/>
      <c r="G113" s="16"/>
      <c r="H113" s="16"/>
      <c r="I113" s="16"/>
      <c r="J113" s="16"/>
      <c r="K113" s="16"/>
      <c r="L113" s="16"/>
      <c r="M113" s="16"/>
      <c r="N113" s="16"/>
      <c r="O113" s="16"/>
      <c r="P113" s="16"/>
      <c r="Q113" s="16"/>
      <c r="R113" s="16"/>
      <c r="S113" s="16"/>
    </row>
    <row r="114" spans="1:19">
      <c r="A114" s="21"/>
      <c r="B114" s="16"/>
      <c r="C114" s="16"/>
      <c r="D114" s="16"/>
      <c r="E114" s="16"/>
      <c r="F114" s="16"/>
      <c r="G114" s="16"/>
      <c r="H114" s="16"/>
      <c r="I114" s="16"/>
      <c r="J114" s="16"/>
      <c r="K114" s="16"/>
      <c r="L114" s="16"/>
      <c r="M114" s="16"/>
      <c r="N114" s="16"/>
      <c r="O114" s="16"/>
      <c r="P114" s="16"/>
      <c r="Q114" s="16"/>
      <c r="R114" s="16"/>
      <c r="S114" s="16"/>
    </row>
    <row r="115" spans="1:19">
      <c r="A115" s="21"/>
      <c r="B115" s="16"/>
      <c r="C115" s="16"/>
      <c r="D115" s="16"/>
      <c r="E115" s="16"/>
      <c r="F115" s="16"/>
      <c r="G115" s="16"/>
      <c r="H115" s="16"/>
      <c r="I115" s="16"/>
      <c r="J115" s="16"/>
      <c r="K115" s="16"/>
      <c r="L115" s="16"/>
      <c r="M115" s="16"/>
      <c r="N115" s="16"/>
      <c r="O115" s="16"/>
      <c r="P115" s="16"/>
      <c r="Q115" s="16"/>
      <c r="R115" s="16"/>
      <c r="S115" s="16"/>
    </row>
    <row r="116" spans="1:19">
      <c r="A116" s="21"/>
      <c r="B116" s="16"/>
      <c r="C116" s="16"/>
      <c r="D116" s="16"/>
      <c r="E116" s="16"/>
      <c r="F116" s="16"/>
      <c r="G116" s="16"/>
      <c r="H116" s="16"/>
      <c r="I116" s="16"/>
      <c r="J116" s="16"/>
      <c r="K116" s="16"/>
      <c r="L116" s="16"/>
      <c r="M116" s="16"/>
      <c r="N116" s="16"/>
      <c r="O116" s="16"/>
      <c r="P116" s="16"/>
      <c r="Q116" s="16"/>
      <c r="R116" s="16"/>
      <c r="S116" s="16"/>
    </row>
    <row r="117" spans="1:19">
      <c r="A117" s="21"/>
      <c r="B117" s="16"/>
      <c r="C117" s="16"/>
      <c r="D117" s="16"/>
      <c r="E117" s="16"/>
      <c r="F117" s="16"/>
      <c r="G117" s="16"/>
      <c r="H117" s="16"/>
      <c r="I117" s="16"/>
      <c r="J117" s="16"/>
      <c r="K117" s="16"/>
      <c r="L117" s="16"/>
      <c r="M117" s="16"/>
      <c r="N117" s="16"/>
      <c r="O117" s="16"/>
      <c r="P117" s="16"/>
      <c r="Q117" s="16"/>
      <c r="R117" s="16"/>
      <c r="S117" s="16"/>
    </row>
    <row r="118" spans="1:19">
      <c r="A118" s="21"/>
      <c r="B118" s="16"/>
      <c r="C118" s="16"/>
      <c r="D118" s="16"/>
      <c r="E118" s="16"/>
      <c r="F118" s="16"/>
      <c r="G118" s="16"/>
      <c r="H118" s="16"/>
      <c r="I118" s="16"/>
      <c r="J118" s="16"/>
      <c r="K118" s="16"/>
      <c r="L118" s="16"/>
      <c r="M118" s="16"/>
      <c r="N118" s="16"/>
      <c r="O118" s="16"/>
      <c r="P118" s="16"/>
      <c r="Q118" s="16"/>
      <c r="R118" s="16"/>
      <c r="S118" s="16"/>
    </row>
    <row r="119" spans="1:19">
      <c r="A119" s="21"/>
      <c r="B119" s="16"/>
      <c r="C119" s="16"/>
      <c r="D119" s="16"/>
      <c r="E119" s="16"/>
      <c r="F119" s="16"/>
      <c r="G119" s="16"/>
      <c r="H119" s="16"/>
      <c r="I119" s="16"/>
      <c r="J119" s="16"/>
      <c r="K119" s="16"/>
      <c r="L119" s="16"/>
      <c r="M119" s="16"/>
      <c r="N119" s="16"/>
      <c r="O119" s="16"/>
      <c r="P119" s="16"/>
      <c r="Q119" s="16"/>
      <c r="R119" s="16"/>
      <c r="S119" s="16"/>
    </row>
    <row r="120" spans="1:19">
      <c r="A120" s="21"/>
      <c r="B120" s="16"/>
      <c r="C120" s="16"/>
      <c r="D120" s="16"/>
      <c r="E120" s="16"/>
      <c r="F120" s="16"/>
      <c r="G120" s="16"/>
      <c r="H120" s="16"/>
      <c r="I120" s="16"/>
      <c r="J120" s="16"/>
      <c r="K120" s="16"/>
      <c r="L120" s="16"/>
      <c r="M120" s="16"/>
      <c r="N120" s="16"/>
      <c r="O120" s="16"/>
      <c r="P120" s="16"/>
      <c r="Q120" s="16"/>
      <c r="R120" s="16"/>
      <c r="S120" s="16"/>
    </row>
    <row r="121" spans="1:19">
      <c r="A121" s="21"/>
      <c r="B121" s="16"/>
      <c r="C121" s="16"/>
      <c r="D121" s="16"/>
      <c r="E121" s="16"/>
      <c r="F121" s="16"/>
      <c r="G121" s="16"/>
      <c r="H121" s="16"/>
      <c r="I121" s="16"/>
      <c r="J121" s="16"/>
      <c r="K121" s="16"/>
      <c r="L121" s="16"/>
      <c r="M121" s="16"/>
      <c r="N121" s="16"/>
      <c r="O121" s="16"/>
      <c r="P121" s="16"/>
      <c r="Q121" s="16"/>
      <c r="R121" s="16"/>
      <c r="S121" s="16"/>
    </row>
    <row r="122" spans="1:19">
      <c r="A122" s="21"/>
      <c r="B122" s="16"/>
      <c r="C122" s="16"/>
      <c r="D122" s="16"/>
      <c r="E122" s="16"/>
      <c r="F122" s="16"/>
      <c r="G122" s="16"/>
      <c r="H122" s="16"/>
      <c r="I122" s="16"/>
      <c r="J122" s="16"/>
      <c r="K122" s="16"/>
      <c r="L122" s="16"/>
      <c r="M122" s="16"/>
      <c r="N122" s="16"/>
      <c r="O122" s="16"/>
      <c r="P122" s="16"/>
      <c r="Q122" s="16"/>
      <c r="R122" s="16"/>
      <c r="S122" s="16"/>
    </row>
    <row r="123" spans="1:19">
      <c r="A123" s="21"/>
      <c r="B123" s="16"/>
      <c r="C123" s="16"/>
      <c r="D123" s="16"/>
      <c r="E123" s="16"/>
      <c r="F123" s="16"/>
      <c r="G123" s="16"/>
      <c r="H123" s="16"/>
      <c r="I123" s="16"/>
      <c r="J123" s="16"/>
      <c r="K123" s="16"/>
      <c r="L123" s="16"/>
      <c r="M123" s="16"/>
      <c r="N123" s="16"/>
      <c r="O123" s="16"/>
      <c r="P123" s="16"/>
      <c r="Q123" s="16"/>
      <c r="R123" s="16"/>
      <c r="S123" s="16"/>
    </row>
    <row r="124" spans="1:19">
      <c r="A124" s="21"/>
      <c r="B124" s="16"/>
      <c r="C124" s="16"/>
      <c r="D124" s="16"/>
      <c r="E124" s="16"/>
      <c r="F124" s="16"/>
      <c r="G124" s="16"/>
      <c r="H124" s="16"/>
      <c r="I124" s="16"/>
      <c r="J124" s="16"/>
      <c r="K124" s="16"/>
      <c r="L124" s="16"/>
      <c r="M124" s="16"/>
      <c r="N124" s="16"/>
      <c r="O124" s="16"/>
      <c r="P124" s="16"/>
      <c r="Q124" s="16"/>
      <c r="R124" s="16"/>
      <c r="S124" s="16"/>
    </row>
    <row r="125" spans="1:19">
      <c r="A125" s="21"/>
      <c r="B125" s="16"/>
      <c r="C125" s="16"/>
      <c r="D125" s="16"/>
      <c r="E125" s="16"/>
      <c r="F125" s="16"/>
      <c r="G125" s="16"/>
      <c r="H125" s="16"/>
      <c r="I125" s="16"/>
      <c r="J125" s="16"/>
      <c r="K125" s="16"/>
      <c r="L125" s="16"/>
      <c r="M125" s="16"/>
      <c r="N125" s="16"/>
      <c r="O125" s="16"/>
      <c r="P125" s="16"/>
      <c r="Q125" s="16"/>
      <c r="R125" s="16"/>
      <c r="S125" s="16"/>
    </row>
    <row r="126" spans="1:19">
      <c r="A126" s="21"/>
      <c r="B126" s="16"/>
      <c r="C126" s="16"/>
      <c r="D126" s="16"/>
      <c r="E126" s="16"/>
      <c r="F126" s="16"/>
      <c r="G126" s="16"/>
      <c r="H126" s="16"/>
      <c r="I126" s="16"/>
      <c r="J126" s="16"/>
      <c r="K126" s="16"/>
      <c r="L126" s="16"/>
      <c r="M126" s="16"/>
      <c r="N126" s="16"/>
      <c r="O126" s="16"/>
      <c r="P126" s="16"/>
      <c r="Q126" s="16"/>
      <c r="R126" s="16"/>
      <c r="S126" s="16"/>
    </row>
    <row r="127" spans="1:19">
      <c r="A127" s="21"/>
      <c r="B127" s="16"/>
      <c r="C127" s="16"/>
      <c r="D127" s="16"/>
      <c r="E127" s="16"/>
      <c r="F127" s="16"/>
      <c r="G127" s="16"/>
      <c r="H127" s="16"/>
      <c r="I127" s="16"/>
      <c r="J127" s="16"/>
      <c r="K127" s="16"/>
      <c r="L127" s="16"/>
      <c r="M127" s="16"/>
      <c r="N127" s="16"/>
      <c r="O127" s="16"/>
      <c r="P127" s="16"/>
      <c r="Q127" s="16"/>
      <c r="R127" s="16"/>
      <c r="S127" s="16"/>
    </row>
    <row r="128" spans="1:19">
      <c r="A128" s="21"/>
      <c r="B128" s="16"/>
      <c r="C128" s="16"/>
      <c r="D128" s="16"/>
      <c r="E128" s="16"/>
      <c r="F128" s="16"/>
      <c r="G128" s="16"/>
      <c r="H128" s="16"/>
      <c r="I128" s="16"/>
      <c r="J128" s="16"/>
      <c r="K128" s="16"/>
      <c r="L128" s="16"/>
      <c r="M128" s="16"/>
      <c r="N128" s="16"/>
      <c r="O128" s="16"/>
      <c r="P128" s="16"/>
      <c r="Q128" s="16"/>
      <c r="R128" s="16"/>
      <c r="S128" s="16"/>
    </row>
    <row r="129" spans="1:19">
      <c r="A129" s="21"/>
      <c r="B129" s="16"/>
      <c r="C129" s="16"/>
      <c r="D129" s="16"/>
      <c r="E129" s="16"/>
      <c r="F129" s="16"/>
      <c r="G129" s="16"/>
      <c r="H129" s="16"/>
      <c r="I129" s="16"/>
      <c r="J129" s="16"/>
      <c r="K129" s="16"/>
      <c r="L129" s="16"/>
      <c r="M129" s="16"/>
      <c r="N129" s="16"/>
      <c r="O129" s="16"/>
      <c r="P129" s="16"/>
      <c r="Q129" s="16"/>
      <c r="R129" s="16"/>
      <c r="S129" s="16"/>
    </row>
    <row r="130" spans="1:19">
      <c r="A130" s="21"/>
      <c r="B130" s="16"/>
      <c r="C130" s="16"/>
      <c r="D130" s="16"/>
      <c r="E130" s="16"/>
      <c r="F130" s="16"/>
      <c r="G130" s="16"/>
      <c r="H130" s="16"/>
      <c r="I130" s="16"/>
      <c r="J130" s="16"/>
      <c r="K130" s="16"/>
      <c r="L130" s="16"/>
      <c r="M130" s="16"/>
      <c r="N130" s="16"/>
      <c r="O130" s="16"/>
      <c r="P130" s="16"/>
      <c r="Q130" s="16"/>
      <c r="R130" s="16"/>
      <c r="S130" s="16"/>
    </row>
    <row r="131" spans="1:19">
      <c r="A131" s="21"/>
      <c r="B131" s="16"/>
      <c r="C131" s="16"/>
      <c r="D131" s="16"/>
      <c r="E131" s="16"/>
      <c r="F131" s="16"/>
      <c r="G131" s="16"/>
      <c r="H131" s="16"/>
      <c r="I131" s="16"/>
      <c r="J131" s="16"/>
      <c r="K131" s="16"/>
      <c r="L131" s="16"/>
      <c r="M131" s="16"/>
      <c r="N131" s="16"/>
      <c r="O131" s="16"/>
      <c r="P131" s="16"/>
      <c r="Q131" s="16"/>
      <c r="R131" s="16"/>
      <c r="S131" s="16"/>
    </row>
    <row r="132" spans="1:19">
      <c r="A132" s="21"/>
      <c r="B132" s="16"/>
      <c r="C132" s="16"/>
      <c r="D132" s="16"/>
      <c r="E132" s="16"/>
      <c r="F132" s="16"/>
      <c r="G132" s="16"/>
      <c r="H132" s="16"/>
      <c r="I132" s="16"/>
      <c r="J132" s="16"/>
      <c r="K132" s="16"/>
      <c r="L132" s="16"/>
      <c r="M132" s="16"/>
      <c r="N132" s="16"/>
      <c r="O132" s="16"/>
      <c r="P132" s="16"/>
      <c r="Q132" s="16"/>
      <c r="R132" s="16"/>
      <c r="S132" s="16"/>
    </row>
    <row r="133" spans="1:19">
      <c r="A133" s="21"/>
      <c r="B133" s="16"/>
      <c r="C133" s="16"/>
      <c r="D133" s="16"/>
      <c r="E133" s="16"/>
      <c r="F133" s="16"/>
      <c r="G133" s="16"/>
      <c r="H133" s="16"/>
      <c r="I133" s="16"/>
      <c r="J133" s="16"/>
      <c r="K133" s="16"/>
      <c r="L133" s="16"/>
      <c r="M133" s="16"/>
      <c r="N133" s="16"/>
      <c r="O133" s="16"/>
      <c r="P133" s="16"/>
      <c r="Q133" s="16"/>
      <c r="R133" s="16"/>
      <c r="S133" s="16"/>
    </row>
    <row r="134" spans="1:19">
      <c r="A134" s="21"/>
      <c r="B134" s="16"/>
      <c r="C134" s="16"/>
      <c r="D134" s="16"/>
      <c r="E134" s="16"/>
      <c r="F134" s="16"/>
      <c r="G134" s="16"/>
      <c r="H134" s="16"/>
      <c r="I134" s="16"/>
      <c r="J134" s="16"/>
      <c r="K134" s="16"/>
      <c r="L134" s="16"/>
      <c r="M134" s="16"/>
      <c r="N134" s="16"/>
      <c r="O134" s="16"/>
      <c r="P134" s="16"/>
      <c r="Q134" s="16"/>
      <c r="R134" s="16"/>
      <c r="S134" s="16"/>
    </row>
    <row r="135" spans="1:19">
      <c r="A135" s="21"/>
      <c r="B135" s="16"/>
      <c r="C135" s="16"/>
      <c r="D135" s="16"/>
      <c r="E135" s="16"/>
      <c r="F135" s="16"/>
      <c r="G135" s="16"/>
      <c r="H135" s="16"/>
      <c r="I135" s="16"/>
      <c r="J135" s="16"/>
      <c r="K135" s="16"/>
      <c r="L135" s="16"/>
      <c r="M135" s="16"/>
      <c r="N135" s="16"/>
      <c r="O135" s="16"/>
      <c r="P135" s="16"/>
      <c r="Q135" s="16"/>
      <c r="R135" s="16"/>
      <c r="S135" s="16"/>
    </row>
    <row r="136" spans="1:19">
      <c r="A136" s="21"/>
      <c r="B136" s="16"/>
      <c r="C136" s="16"/>
      <c r="D136" s="16"/>
      <c r="E136" s="16"/>
      <c r="F136" s="16"/>
      <c r="G136" s="16"/>
      <c r="H136" s="16"/>
      <c r="I136" s="16"/>
      <c r="J136" s="16"/>
      <c r="K136" s="16"/>
      <c r="L136" s="16"/>
      <c r="M136" s="16"/>
      <c r="N136" s="16"/>
      <c r="O136" s="16"/>
      <c r="P136" s="16"/>
      <c r="Q136" s="16"/>
      <c r="R136" s="16"/>
      <c r="S136" s="16"/>
    </row>
    <row r="137" spans="1:19">
      <c r="A137" s="17"/>
      <c r="B137" s="16"/>
      <c r="C137" s="16"/>
      <c r="D137" s="16"/>
      <c r="E137" s="16"/>
      <c r="F137" s="16"/>
      <c r="G137" s="16"/>
      <c r="H137" s="16"/>
      <c r="I137" s="16"/>
      <c r="J137" s="16"/>
      <c r="K137" s="16"/>
      <c r="L137" s="16"/>
      <c r="M137" s="16"/>
      <c r="N137" s="16"/>
      <c r="O137" s="16"/>
      <c r="P137" s="16"/>
      <c r="Q137" s="16"/>
      <c r="R137" s="16"/>
      <c r="S137" s="16"/>
    </row>
    <row r="138" spans="1:19">
      <c r="A138" s="17"/>
      <c r="B138" s="16"/>
      <c r="C138" s="16"/>
      <c r="D138" s="16"/>
      <c r="E138" s="16"/>
      <c r="F138" s="16"/>
      <c r="G138" s="16"/>
      <c r="H138" s="16"/>
      <c r="I138" s="16"/>
      <c r="J138" s="16"/>
      <c r="K138" s="16"/>
      <c r="L138" s="16"/>
      <c r="M138" s="16"/>
      <c r="N138" s="16"/>
      <c r="O138" s="16"/>
      <c r="P138" s="16"/>
      <c r="Q138" s="16"/>
      <c r="R138" s="16"/>
      <c r="S138" s="16"/>
    </row>
    <row r="139" spans="1:19">
      <c r="A139" s="17"/>
      <c r="B139" s="16"/>
      <c r="C139" s="16"/>
      <c r="D139" s="16"/>
      <c r="E139" s="16"/>
      <c r="F139" s="16"/>
      <c r="G139" s="16"/>
      <c r="H139" s="16"/>
      <c r="I139" s="16"/>
      <c r="J139" s="16"/>
      <c r="K139" s="16"/>
      <c r="L139" s="16"/>
      <c r="M139" s="16"/>
      <c r="N139" s="16"/>
      <c r="O139" s="16"/>
      <c r="P139" s="16"/>
      <c r="Q139" s="16"/>
      <c r="R139" s="16"/>
      <c r="S139" s="16"/>
    </row>
    <row r="140" spans="1:19">
      <c r="A140" s="17"/>
      <c r="B140" s="16"/>
      <c r="C140" s="16"/>
      <c r="D140" s="16"/>
      <c r="E140" s="16"/>
      <c r="F140" s="16"/>
      <c r="G140" s="16"/>
      <c r="H140" s="16"/>
      <c r="I140" s="16"/>
      <c r="J140" s="16"/>
      <c r="K140" s="16"/>
      <c r="L140" s="16"/>
      <c r="M140" s="16"/>
      <c r="N140" s="16"/>
      <c r="O140" s="16"/>
      <c r="P140" s="16"/>
      <c r="Q140" s="16"/>
      <c r="R140" s="16"/>
      <c r="S140" s="16"/>
    </row>
    <row r="141" spans="1:19">
      <c r="A141" s="17"/>
      <c r="B141" s="16"/>
      <c r="C141" s="16"/>
      <c r="D141" s="16"/>
      <c r="E141" s="16"/>
      <c r="F141" s="16"/>
      <c r="G141" s="16"/>
      <c r="H141" s="16"/>
      <c r="I141" s="16"/>
      <c r="J141" s="16"/>
      <c r="K141" s="16"/>
      <c r="L141" s="16"/>
      <c r="M141" s="16"/>
      <c r="N141" s="16"/>
      <c r="O141" s="16"/>
      <c r="P141" s="16"/>
      <c r="Q141" s="16"/>
      <c r="R141" s="16"/>
      <c r="S141" s="16"/>
    </row>
    <row r="142" spans="1:19">
      <c r="A142" s="17"/>
      <c r="B142" s="16"/>
      <c r="C142" s="16"/>
      <c r="D142" s="16"/>
      <c r="E142" s="16"/>
      <c r="F142" s="16"/>
      <c r="G142" s="16"/>
      <c r="H142" s="16"/>
      <c r="I142" s="16"/>
      <c r="J142" s="16"/>
      <c r="K142" s="16"/>
      <c r="L142" s="16"/>
      <c r="M142" s="16"/>
      <c r="N142" s="16"/>
      <c r="O142" s="16"/>
      <c r="P142" s="16"/>
      <c r="Q142" s="16"/>
      <c r="R142" s="16"/>
      <c r="S142" s="16"/>
    </row>
    <row r="143" spans="1:19">
      <c r="A143" s="17"/>
      <c r="B143" s="16"/>
      <c r="C143" s="16"/>
      <c r="D143" s="16"/>
      <c r="E143" s="16"/>
      <c r="F143" s="16"/>
      <c r="G143" s="16"/>
      <c r="H143" s="16"/>
      <c r="I143" s="16"/>
      <c r="J143" s="16"/>
      <c r="K143" s="16"/>
      <c r="L143" s="16"/>
      <c r="M143" s="16"/>
      <c r="N143" s="16"/>
      <c r="O143" s="16"/>
      <c r="P143" s="16"/>
      <c r="Q143" s="16"/>
      <c r="R143" s="16"/>
      <c r="S143" s="16"/>
    </row>
    <row r="144" spans="1:19">
      <c r="A144" s="17"/>
      <c r="B144" s="16"/>
      <c r="C144" s="16"/>
      <c r="D144" s="16"/>
      <c r="E144" s="16"/>
      <c r="F144" s="16"/>
      <c r="G144" s="16"/>
      <c r="H144" s="16"/>
      <c r="I144" s="16"/>
      <c r="J144" s="16"/>
      <c r="K144" s="16"/>
      <c r="L144" s="16"/>
      <c r="M144" s="16"/>
      <c r="N144" s="16"/>
      <c r="O144" s="16"/>
      <c r="P144" s="16"/>
      <c r="Q144" s="16"/>
      <c r="R144" s="16"/>
      <c r="S144" s="16"/>
    </row>
    <row r="145" spans="1:19">
      <c r="A145" s="17"/>
      <c r="B145" s="16"/>
      <c r="C145" s="16"/>
      <c r="D145" s="16"/>
      <c r="E145" s="16"/>
      <c r="F145" s="16"/>
      <c r="G145" s="16"/>
      <c r="H145" s="16"/>
      <c r="I145" s="16"/>
      <c r="J145" s="16"/>
      <c r="K145" s="16"/>
      <c r="L145" s="16"/>
      <c r="M145" s="16"/>
      <c r="N145" s="16"/>
      <c r="O145" s="16"/>
      <c r="P145" s="16"/>
      <c r="Q145" s="16"/>
      <c r="R145" s="16"/>
      <c r="S145" s="16"/>
    </row>
    <row r="146" spans="1:19">
      <c r="A146" s="17"/>
      <c r="B146" s="16"/>
      <c r="C146" s="16"/>
      <c r="D146" s="16"/>
      <c r="E146" s="16"/>
      <c r="F146" s="16"/>
      <c r="G146" s="16"/>
      <c r="H146" s="16"/>
      <c r="I146" s="16"/>
      <c r="J146" s="16"/>
      <c r="K146" s="16"/>
      <c r="L146" s="16"/>
      <c r="M146" s="16"/>
      <c r="N146" s="16"/>
      <c r="O146" s="16"/>
      <c r="P146" s="16"/>
      <c r="Q146" s="16"/>
      <c r="R146" s="16"/>
      <c r="S146" s="16"/>
    </row>
    <row r="147" spans="1:19">
      <c r="A147" s="17"/>
      <c r="B147" s="16"/>
      <c r="C147" s="16"/>
      <c r="D147" s="16"/>
      <c r="E147" s="16"/>
      <c r="F147" s="16"/>
      <c r="G147" s="16"/>
      <c r="H147" s="16"/>
      <c r="I147" s="16"/>
      <c r="J147" s="16"/>
      <c r="K147" s="16"/>
      <c r="L147" s="16"/>
      <c r="M147" s="16"/>
      <c r="N147" s="16"/>
      <c r="O147" s="16"/>
      <c r="P147" s="16"/>
      <c r="Q147" s="16"/>
      <c r="R147" s="16"/>
      <c r="S147" s="16"/>
    </row>
    <row r="148" spans="1:19">
      <c r="A148" s="17"/>
      <c r="B148" s="16"/>
      <c r="C148" s="16"/>
      <c r="D148" s="16"/>
      <c r="E148" s="16"/>
      <c r="F148" s="16"/>
      <c r="G148" s="16"/>
      <c r="H148" s="16"/>
      <c r="I148" s="16"/>
      <c r="J148" s="16"/>
      <c r="K148" s="16"/>
      <c r="L148" s="16"/>
      <c r="M148" s="16"/>
      <c r="N148" s="16"/>
      <c r="O148" s="16"/>
      <c r="P148" s="16"/>
      <c r="Q148" s="16"/>
      <c r="R148" s="16"/>
      <c r="S148" s="16"/>
    </row>
    <row r="149" spans="1:19">
      <c r="A149" s="17"/>
      <c r="B149" s="16"/>
      <c r="C149" s="16"/>
      <c r="D149" s="16"/>
      <c r="E149" s="16"/>
      <c r="F149" s="16"/>
      <c r="G149" s="16"/>
      <c r="H149" s="16"/>
      <c r="I149" s="16"/>
      <c r="J149" s="16"/>
      <c r="K149" s="16"/>
      <c r="L149" s="16"/>
      <c r="M149" s="16"/>
      <c r="N149" s="16"/>
      <c r="O149" s="16"/>
      <c r="P149" s="16"/>
      <c r="Q149" s="16"/>
      <c r="R149" s="16"/>
      <c r="S149" s="16"/>
    </row>
    <row r="150" spans="1:19">
      <c r="A150" s="17"/>
      <c r="B150" s="16"/>
      <c r="C150" s="16"/>
      <c r="D150" s="16"/>
      <c r="E150" s="16"/>
      <c r="F150" s="16"/>
      <c r="G150" s="16"/>
      <c r="H150" s="16"/>
      <c r="I150" s="16"/>
      <c r="J150" s="16"/>
      <c r="K150" s="16"/>
      <c r="L150" s="16"/>
      <c r="M150" s="16"/>
      <c r="N150" s="16"/>
      <c r="O150" s="16"/>
      <c r="P150" s="16"/>
      <c r="Q150" s="16"/>
      <c r="R150" s="16"/>
      <c r="S150" s="16"/>
    </row>
    <row r="151" spans="1:19">
      <c r="A151" s="17"/>
      <c r="B151" s="16"/>
      <c r="C151" s="16"/>
      <c r="D151" s="16"/>
      <c r="E151" s="16"/>
      <c r="F151" s="16"/>
      <c r="G151" s="16"/>
      <c r="H151" s="16"/>
      <c r="I151" s="16"/>
      <c r="J151" s="16"/>
      <c r="K151" s="16"/>
      <c r="L151" s="16"/>
      <c r="M151" s="16"/>
      <c r="N151" s="16"/>
      <c r="O151" s="16"/>
      <c r="P151" s="16"/>
      <c r="Q151" s="16"/>
      <c r="R151" s="16"/>
      <c r="S151" s="16"/>
    </row>
    <row r="152" spans="1:19">
      <c r="A152" s="17"/>
      <c r="B152" s="16"/>
      <c r="C152" s="16"/>
      <c r="D152" s="16"/>
      <c r="E152" s="16"/>
      <c r="F152" s="16"/>
      <c r="G152" s="16"/>
      <c r="H152" s="16"/>
      <c r="I152" s="16"/>
      <c r="J152" s="16"/>
      <c r="K152" s="16"/>
      <c r="L152" s="16"/>
      <c r="M152" s="16"/>
      <c r="N152" s="16"/>
      <c r="O152" s="16"/>
      <c r="P152" s="16"/>
      <c r="Q152" s="16"/>
      <c r="R152" s="16"/>
      <c r="S152" s="16"/>
    </row>
    <row r="153" spans="1:19">
      <c r="A153" s="17"/>
      <c r="B153" s="16"/>
      <c r="C153" s="16"/>
      <c r="D153" s="16"/>
      <c r="E153" s="16"/>
      <c r="F153" s="16"/>
      <c r="G153" s="16"/>
      <c r="H153" s="16"/>
      <c r="I153" s="16"/>
      <c r="J153" s="16"/>
      <c r="K153" s="16"/>
      <c r="L153" s="16"/>
      <c r="M153" s="16"/>
      <c r="N153" s="16"/>
      <c r="O153" s="16"/>
      <c r="P153" s="16"/>
      <c r="Q153" s="16"/>
      <c r="R153" s="16"/>
      <c r="S153" s="16"/>
    </row>
    <row r="154" spans="1:19">
      <c r="A154" s="17"/>
      <c r="B154" s="16"/>
      <c r="C154" s="16"/>
      <c r="D154" s="16"/>
      <c r="E154" s="16"/>
      <c r="F154" s="16"/>
      <c r="G154" s="16"/>
      <c r="H154" s="16"/>
      <c r="I154" s="16"/>
      <c r="J154" s="16"/>
      <c r="K154" s="16"/>
      <c r="L154" s="16"/>
      <c r="M154" s="16"/>
      <c r="N154" s="16"/>
      <c r="O154" s="16"/>
      <c r="P154" s="16"/>
      <c r="Q154" s="16"/>
      <c r="R154" s="16"/>
      <c r="S154" s="16"/>
    </row>
    <row r="155" spans="1:19">
      <c r="A155" s="17"/>
      <c r="B155" s="16"/>
      <c r="C155" s="16"/>
      <c r="D155" s="16"/>
      <c r="E155" s="16"/>
      <c r="F155" s="16"/>
      <c r="G155" s="16"/>
      <c r="H155" s="16"/>
      <c r="I155" s="16"/>
      <c r="J155" s="16"/>
      <c r="K155" s="16"/>
      <c r="L155" s="16"/>
      <c r="M155" s="16"/>
      <c r="N155" s="16"/>
      <c r="O155" s="16"/>
      <c r="P155" s="16"/>
      <c r="Q155" s="16"/>
      <c r="R155" s="16"/>
      <c r="S155" s="16"/>
    </row>
    <row r="156" spans="1:19">
      <c r="A156" s="17"/>
      <c r="B156" s="16"/>
      <c r="C156" s="16"/>
      <c r="D156" s="16"/>
      <c r="E156" s="16"/>
      <c r="F156" s="16"/>
      <c r="G156" s="16"/>
      <c r="H156" s="16"/>
      <c r="I156" s="16"/>
      <c r="J156" s="16"/>
      <c r="K156" s="16"/>
      <c r="L156" s="16"/>
      <c r="M156" s="16"/>
      <c r="N156" s="16"/>
      <c r="O156" s="16"/>
      <c r="P156" s="16"/>
      <c r="Q156" s="16"/>
      <c r="R156" s="16"/>
      <c r="S156" s="16"/>
    </row>
    <row r="157" spans="1:19">
      <c r="A157" s="17"/>
      <c r="B157" s="16"/>
      <c r="C157" s="16"/>
      <c r="D157" s="16"/>
      <c r="E157" s="16"/>
      <c r="F157" s="16"/>
      <c r="G157" s="16"/>
      <c r="H157" s="16"/>
      <c r="I157" s="16"/>
      <c r="J157" s="16"/>
      <c r="K157" s="16"/>
      <c r="L157" s="16"/>
      <c r="M157" s="16"/>
      <c r="N157" s="16"/>
      <c r="O157" s="16"/>
      <c r="P157" s="16"/>
      <c r="Q157" s="16"/>
      <c r="R157" s="16"/>
      <c r="S157" s="16"/>
    </row>
    <row r="158" spans="1:19">
      <c r="A158" s="17"/>
      <c r="B158" s="16"/>
      <c r="C158" s="16"/>
      <c r="D158" s="16"/>
      <c r="E158" s="16"/>
      <c r="F158" s="16"/>
      <c r="G158" s="16"/>
      <c r="H158" s="16"/>
      <c r="I158" s="16"/>
      <c r="J158" s="16"/>
      <c r="K158" s="16"/>
      <c r="L158" s="16"/>
      <c r="M158" s="16"/>
      <c r="N158" s="16"/>
      <c r="O158" s="16"/>
      <c r="P158" s="16"/>
      <c r="Q158" s="16"/>
      <c r="R158" s="16"/>
      <c r="S158" s="16"/>
    </row>
    <row r="159" spans="1:19">
      <c r="A159" s="17"/>
      <c r="B159" s="16"/>
      <c r="C159" s="16"/>
      <c r="D159" s="16"/>
      <c r="E159" s="16"/>
      <c r="F159" s="16"/>
      <c r="G159" s="16"/>
      <c r="H159" s="16"/>
      <c r="I159" s="16"/>
      <c r="J159" s="16"/>
      <c r="K159" s="16"/>
      <c r="L159" s="16"/>
      <c r="M159" s="16"/>
      <c r="N159" s="16"/>
      <c r="O159" s="16"/>
      <c r="P159" s="16"/>
      <c r="Q159" s="16"/>
      <c r="R159" s="16"/>
      <c r="S159" s="16"/>
    </row>
    <row r="160" spans="1:19">
      <c r="A160" s="17"/>
      <c r="B160" s="16"/>
      <c r="C160" s="16"/>
      <c r="D160" s="16"/>
      <c r="E160" s="16"/>
      <c r="F160" s="16"/>
      <c r="G160" s="16"/>
      <c r="H160" s="16"/>
      <c r="I160" s="16"/>
      <c r="J160" s="16"/>
      <c r="K160" s="16"/>
      <c r="L160" s="16"/>
      <c r="M160" s="16"/>
      <c r="N160" s="16"/>
      <c r="O160" s="16"/>
      <c r="P160" s="16"/>
      <c r="Q160" s="16"/>
      <c r="R160" s="16"/>
      <c r="S160" s="16"/>
    </row>
    <row r="161" spans="1:19">
      <c r="A161" s="17"/>
      <c r="B161" s="16"/>
      <c r="C161" s="16"/>
      <c r="D161" s="16"/>
      <c r="E161" s="16"/>
      <c r="F161" s="16"/>
      <c r="G161" s="16"/>
      <c r="H161" s="16"/>
      <c r="I161" s="16"/>
      <c r="J161" s="16"/>
      <c r="K161" s="16"/>
      <c r="L161" s="16"/>
      <c r="M161" s="16"/>
      <c r="N161" s="16"/>
      <c r="O161" s="16"/>
      <c r="P161" s="16"/>
      <c r="Q161" s="16"/>
      <c r="R161" s="16"/>
      <c r="S161" s="16"/>
    </row>
    <row r="162" spans="1:19">
      <c r="A162" s="17"/>
      <c r="B162" s="16"/>
      <c r="C162" s="16"/>
      <c r="D162" s="16"/>
      <c r="E162" s="16"/>
      <c r="F162" s="16"/>
      <c r="G162" s="16"/>
      <c r="H162" s="16"/>
      <c r="I162" s="16"/>
      <c r="J162" s="16"/>
      <c r="K162" s="16"/>
      <c r="L162" s="16"/>
      <c r="M162" s="16"/>
      <c r="N162" s="16"/>
      <c r="O162" s="16"/>
      <c r="P162" s="16"/>
      <c r="Q162" s="16"/>
      <c r="R162" s="16"/>
      <c r="S162" s="16"/>
    </row>
    <row r="163" spans="1:19">
      <c r="A163" s="17"/>
      <c r="B163" s="16"/>
      <c r="C163" s="16"/>
      <c r="D163" s="16"/>
      <c r="E163" s="16"/>
      <c r="F163" s="16"/>
      <c r="G163" s="16"/>
      <c r="H163" s="16"/>
      <c r="I163" s="16"/>
      <c r="J163" s="16"/>
      <c r="K163" s="16"/>
      <c r="L163" s="16"/>
      <c r="M163" s="16"/>
      <c r="N163" s="16"/>
      <c r="O163" s="16"/>
      <c r="P163" s="16"/>
      <c r="Q163" s="16"/>
      <c r="R163" s="16"/>
      <c r="S163" s="16"/>
    </row>
    <row r="164" spans="1:19">
      <c r="A164" s="17"/>
      <c r="B164" s="16"/>
      <c r="C164" s="16"/>
      <c r="D164" s="16"/>
      <c r="E164" s="16"/>
      <c r="F164" s="16"/>
      <c r="G164" s="16"/>
      <c r="H164" s="16"/>
      <c r="I164" s="16"/>
      <c r="J164" s="16"/>
      <c r="K164" s="16"/>
      <c r="L164" s="16"/>
      <c r="M164" s="16"/>
      <c r="N164" s="16"/>
      <c r="O164" s="16"/>
      <c r="P164" s="16"/>
      <c r="Q164" s="16"/>
      <c r="R164" s="16"/>
      <c r="S164" s="16"/>
    </row>
    <row r="165" spans="1:19">
      <c r="A165" s="17"/>
      <c r="B165" s="16"/>
      <c r="C165" s="16"/>
      <c r="D165" s="16"/>
      <c r="E165" s="16"/>
      <c r="F165" s="16"/>
      <c r="G165" s="16"/>
      <c r="H165" s="16"/>
      <c r="I165" s="16"/>
      <c r="J165" s="16"/>
      <c r="K165" s="16"/>
      <c r="L165" s="16"/>
      <c r="M165" s="16"/>
      <c r="N165" s="16"/>
      <c r="O165" s="16"/>
      <c r="P165" s="16"/>
      <c r="Q165" s="16"/>
      <c r="R165" s="16"/>
      <c r="S165" s="16"/>
    </row>
    <row r="166" spans="1:19">
      <c r="A166" s="17"/>
      <c r="B166" s="16"/>
      <c r="C166" s="16"/>
      <c r="D166" s="16"/>
      <c r="E166" s="16"/>
      <c r="F166" s="16"/>
      <c r="G166" s="16"/>
      <c r="H166" s="16"/>
      <c r="I166" s="16"/>
      <c r="J166" s="16"/>
      <c r="K166" s="16"/>
      <c r="L166" s="16"/>
      <c r="M166" s="16"/>
      <c r="N166" s="16"/>
      <c r="O166" s="16"/>
      <c r="P166" s="16"/>
      <c r="Q166" s="16"/>
      <c r="R166" s="16"/>
      <c r="S166" s="16"/>
    </row>
    <row r="167" spans="1:19">
      <c r="A167" s="17"/>
      <c r="B167" s="16"/>
      <c r="C167" s="16"/>
      <c r="D167" s="16"/>
      <c r="E167" s="16"/>
      <c r="F167" s="16"/>
      <c r="G167" s="16"/>
      <c r="H167" s="16"/>
      <c r="I167" s="16"/>
      <c r="J167" s="16"/>
      <c r="K167" s="16"/>
      <c r="L167" s="16"/>
      <c r="M167" s="16"/>
      <c r="N167" s="16"/>
      <c r="O167" s="16"/>
      <c r="P167" s="16"/>
      <c r="Q167" s="16"/>
      <c r="R167" s="16"/>
      <c r="S167" s="16"/>
    </row>
    <row r="168" spans="1:19">
      <c r="A168" s="17"/>
      <c r="B168" s="16"/>
      <c r="C168" s="16"/>
      <c r="D168" s="16"/>
      <c r="E168" s="16"/>
      <c r="F168" s="16"/>
      <c r="G168" s="16"/>
      <c r="H168" s="16"/>
      <c r="I168" s="16"/>
      <c r="J168" s="16"/>
      <c r="K168" s="16"/>
      <c r="L168" s="16"/>
      <c r="M168" s="16"/>
      <c r="N168" s="16"/>
      <c r="O168" s="16"/>
      <c r="P168" s="16"/>
      <c r="Q168" s="16"/>
      <c r="R168" s="16"/>
      <c r="S168" s="16"/>
    </row>
    <row r="169" spans="1:19">
      <c r="A169" s="17"/>
      <c r="B169" s="16"/>
      <c r="C169" s="16"/>
      <c r="D169" s="16"/>
      <c r="E169" s="16"/>
      <c r="F169" s="16"/>
      <c r="G169" s="16"/>
      <c r="H169" s="16"/>
      <c r="I169" s="16"/>
      <c r="J169" s="16"/>
      <c r="K169" s="16"/>
      <c r="L169" s="16"/>
      <c r="M169" s="16"/>
      <c r="N169" s="16"/>
      <c r="O169" s="16"/>
      <c r="P169" s="16"/>
      <c r="Q169" s="16"/>
      <c r="R169" s="16"/>
      <c r="S169" s="16"/>
    </row>
    <row r="170" spans="1:19">
      <c r="A170" s="17"/>
      <c r="B170" s="16"/>
      <c r="C170" s="16"/>
      <c r="D170" s="16"/>
      <c r="E170" s="16"/>
      <c r="F170" s="16"/>
      <c r="G170" s="16"/>
      <c r="H170" s="16"/>
      <c r="I170" s="16"/>
      <c r="J170" s="16"/>
      <c r="K170" s="16"/>
      <c r="L170" s="16"/>
      <c r="M170" s="16"/>
      <c r="N170" s="16"/>
      <c r="O170" s="16"/>
      <c r="P170" s="16"/>
      <c r="Q170" s="16"/>
      <c r="R170" s="16"/>
      <c r="S170" s="16"/>
    </row>
    <row r="171" spans="1:19">
      <c r="A171" s="17"/>
      <c r="B171" s="16"/>
      <c r="C171" s="16"/>
      <c r="D171" s="16"/>
      <c r="E171" s="16"/>
      <c r="F171" s="16"/>
      <c r="G171" s="16"/>
      <c r="H171" s="16"/>
      <c r="I171" s="16"/>
      <c r="J171" s="16"/>
      <c r="K171" s="16"/>
      <c r="L171" s="16"/>
      <c r="M171" s="16"/>
      <c r="N171" s="16"/>
      <c r="O171" s="16"/>
      <c r="P171" s="16"/>
      <c r="Q171" s="16"/>
      <c r="R171" s="16"/>
      <c r="S171" s="16"/>
    </row>
    <row r="172" spans="1:19">
      <c r="A172" s="17"/>
      <c r="B172" s="16"/>
      <c r="C172" s="16"/>
      <c r="D172" s="16"/>
      <c r="E172" s="16"/>
      <c r="F172" s="16"/>
      <c r="G172" s="16"/>
      <c r="H172" s="16"/>
      <c r="I172" s="16"/>
      <c r="J172" s="16"/>
      <c r="K172" s="16"/>
      <c r="L172" s="16"/>
      <c r="M172" s="16"/>
      <c r="N172" s="16"/>
      <c r="O172" s="16"/>
      <c r="P172" s="16"/>
      <c r="Q172" s="16"/>
      <c r="R172" s="16"/>
      <c r="S172" s="16"/>
    </row>
    <row r="173" spans="1:19">
      <c r="A173" s="17"/>
      <c r="B173" s="16"/>
      <c r="C173" s="16"/>
      <c r="D173" s="16"/>
      <c r="E173" s="16"/>
      <c r="F173" s="16"/>
      <c r="G173" s="16"/>
      <c r="H173" s="16"/>
      <c r="I173" s="16"/>
      <c r="J173" s="16"/>
      <c r="K173" s="16"/>
      <c r="L173" s="16"/>
      <c r="M173" s="16"/>
      <c r="N173" s="16"/>
      <c r="O173" s="16"/>
      <c r="P173" s="16"/>
      <c r="Q173" s="16"/>
      <c r="R173" s="16"/>
      <c r="S173" s="16"/>
    </row>
    <row r="174" spans="1:19">
      <c r="A174" s="17"/>
      <c r="B174" s="16"/>
      <c r="C174" s="16"/>
      <c r="D174" s="16"/>
      <c r="E174" s="16"/>
      <c r="F174" s="16"/>
      <c r="G174" s="16"/>
      <c r="H174" s="16"/>
      <c r="I174" s="16"/>
      <c r="J174" s="16"/>
      <c r="K174" s="16"/>
      <c r="L174" s="16"/>
      <c r="M174" s="16"/>
      <c r="N174" s="16"/>
      <c r="O174" s="16"/>
      <c r="P174" s="16"/>
      <c r="Q174" s="16"/>
      <c r="R174" s="16"/>
      <c r="S174" s="16"/>
    </row>
    <row r="175" spans="1:19">
      <c r="A175" s="17"/>
      <c r="B175" s="16"/>
      <c r="C175" s="16"/>
      <c r="D175" s="16"/>
      <c r="E175" s="16"/>
      <c r="F175" s="16"/>
      <c r="G175" s="16"/>
      <c r="H175" s="16"/>
      <c r="I175" s="16"/>
      <c r="J175" s="16"/>
      <c r="K175" s="16"/>
      <c r="L175" s="16"/>
      <c r="M175" s="16"/>
      <c r="N175" s="16"/>
      <c r="O175" s="16"/>
      <c r="P175" s="16"/>
      <c r="Q175" s="16"/>
      <c r="R175" s="16"/>
      <c r="S175" s="16"/>
    </row>
    <row r="176" spans="1:19">
      <c r="A176" s="17"/>
      <c r="B176" s="16"/>
      <c r="C176" s="16"/>
      <c r="D176" s="16"/>
      <c r="E176" s="16"/>
      <c r="F176" s="16"/>
      <c r="G176" s="16"/>
      <c r="H176" s="16"/>
      <c r="I176" s="16"/>
      <c r="J176" s="16"/>
      <c r="K176" s="16"/>
      <c r="L176" s="16"/>
      <c r="M176" s="16"/>
      <c r="N176" s="16"/>
      <c r="O176" s="16"/>
      <c r="P176" s="16"/>
      <c r="Q176" s="16"/>
      <c r="R176" s="16"/>
      <c r="S176" s="16"/>
    </row>
    <row r="177" spans="1:19">
      <c r="A177" s="17"/>
      <c r="B177" s="16"/>
      <c r="C177" s="16"/>
      <c r="D177" s="16"/>
      <c r="E177" s="16"/>
      <c r="F177" s="16"/>
      <c r="G177" s="16"/>
      <c r="H177" s="16"/>
      <c r="I177" s="16"/>
      <c r="J177" s="16"/>
      <c r="K177" s="16"/>
      <c r="L177" s="16"/>
      <c r="M177" s="16"/>
      <c r="N177" s="16"/>
      <c r="O177" s="16"/>
      <c r="P177" s="16"/>
      <c r="Q177" s="16"/>
      <c r="R177" s="16"/>
      <c r="S177" s="16"/>
    </row>
    <row r="178" spans="1:19">
      <c r="A178" s="17"/>
      <c r="B178" s="16"/>
      <c r="C178" s="16"/>
      <c r="D178" s="16"/>
      <c r="E178" s="16"/>
      <c r="F178" s="16"/>
      <c r="G178" s="16"/>
      <c r="H178" s="16"/>
      <c r="I178" s="16"/>
      <c r="J178" s="16"/>
      <c r="K178" s="16"/>
      <c r="L178" s="16"/>
      <c r="M178" s="16"/>
      <c r="N178" s="16"/>
      <c r="O178" s="16"/>
      <c r="P178" s="16"/>
      <c r="Q178" s="16"/>
      <c r="R178" s="16"/>
      <c r="S178" s="16"/>
    </row>
    <row r="179" spans="1:19">
      <c r="A179" s="17"/>
      <c r="B179" s="16"/>
      <c r="C179" s="16"/>
      <c r="D179" s="16"/>
      <c r="E179" s="16"/>
      <c r="F179" s="16"/>
      <c r="G179" s="16"/>
      <c r="H179" s="16"/>
      <c r="I179" s="16"/>
      <c r="J179" s="16"/>
      <c r="K179" s="16"/>
      <c r="L179" s="16"/>
      <c r="M179" s="16"/>
      <c r="N179" s="16"/>
      <c r="O179" s="16"/>
      <c r="P179" s="16"/>
      <c r="Q179" s="16"/>
      <c r="R179" s="16"/>
      <c r="S179" s="16"/>
    </row>
    <row r="180" spans="1:19">
      <c r="A180" s="17"/>
      <c r="B180" s="16"/>
      <c r="C180" s="16"/>
      <c r="D180" s="16"/>
      <c r="E180" s="16"/>
      <c r="F180" s="16"/>
      <c r="G180" s="16"/>
      <c r="H180" s="16"/>
      <c r="I180" s="16"/>
      <c r="J180" s="16"/>
      <c r="K180" s="16"/>
      <c r="L180" s="16"/>
      <c r="M180" s="16"/>
      <c r="N180" s="16"/>
      <c r="O180" s="16"/>
      <c r="P180" s="16"/>
      <c r="Q180" s="16"/>
      <c r="R180" s="16"/>
      <c r="S180" s="16"/>
    </row>
    <row r="181" spans="1:19">
      <c r="A181" s="17"/>
      <c r="B181" s="16"/>
      <c r="C181" s="16"/>
      <c r="D181" s="16"/>
      <c r="E181" s="16"/>
      <c r="F181" s="16"/>
      <c r="G181" s="16"/>
      <c r="H181" s="16"/>
      <c r="I181" s="16"/>
      <c r="J181" s="16"/>
      <c r="K181" s="16"/>
      <c r="L181" s="16"/>
      <c r="M181" s="16"/>
      <c r="N181" s="16"/>
      <c r="O181" s="16"/>
      <c r="P181" s="16"/>
      <c r="Q181" s="16"/>
      <c r="R181" s="16"/>
      <c r="S181" s="16"/>
    </row>
    <row r="182" spans="1:19">
      <c r="A182" s="17"/>
      <c r="B182" s="16"/>
      <c r="C182" s="16"/>
      <c r="D182" s="16"/>
      <c r="E182" s="16"/>
      <c r="F182" s="16"/>
      <c r="G182" s="16"/>
      <c r="H182" s="16"/>
      <c r="I182" s="16"/>
      <c r="J182" s="16"/>
      <c r="K182" s="16"/>
      <c r="L182" s="16"/>
      <c r="M182" s="16"/>
      <c r="N182" s="16"/>
      <c r="O182" s="16"/>
      <c r="P182" s="16"/>
      <c r="Q182" s="16"/>
      <c r="R182" s="16"/>
      <c r="S182" s="16"/>
    </row>
    <row r="183" spans="1:19">
      <c r="A183" s="17"/>
      <c r="B183" s="16"/>
      <c r="C183" s="16"/>
      <c r="D183" s="16"/>
      <c r="E183" s="16"/>
      <c r="F183" s="16"/>
      <c r="G183" s="16"/>
      <c r="H183" s="16"/>
      <c r="I183" s="16"/>
      <c r="J183" s="16"/>
      <c r="K183" s="16"/>
      <c r="L183" s="16"/>
      <c r="M183" s="16"/>
      <c r="N183" s="16"/>
      <c r="O183" s="16"/>
      <c r="P183" s="16"/>
      <c r="Q183" s="16"/>
      <c r="R183" s="16"/>
      <c r="S183" s="16"/>
    </row>
    <row r="184" spans="1:19">
      <c r="A184" s="17"/>
      <c r="B184" s="16"/>
      <c r="C184" s="16"/>
      <c r="D184" s="16"/>
      <c r="E184" s="16"/>
      <c r="F184" s="16"/>
      <c r="G184" s="16"/>
      <c r="H184" s="16"/>
      <c r="I184" s="16"/>
      <c r="J184" s="16"/>
      <c r="K184" s="16"/>
      <c r="L184" s="16"/>
      <c r="M184" s="16"/>
      <c r="N184" s="16"/>
      <c r="O184" s="16"/>
      <c r="P184" s="16"/>
      <c r="Q184" s="16"/>
      <c r="R184" s="16"/>
      <c r="S184" s="16"/>
    </row>
    <row r="185" spans="1:19">
      <c r="A185" s="17"/>
      <c r="B185" s="16"/>
      <c r="C185" s="16"/>
      <c r="D185" s="16"/>
      <c r="E185" s="16"/>
      <c r="F185" s="16"/>
      <c r="G185" s="16"/>
      <c r="H185" s="16"/>
      <c r="I185" s="16"/>
      <c r="J185" s="16"/>
      <c r="K185" s="16"/>
      <c r="L185" s="16"/>
      <c r="M185" s="16"/>
      <c r="N185" s="16"/>
      <c r="O185" s="16"/>
      <c r="P185" s="16"/>
      <c r="Q185" s="16"/>
      <c r="R185" s="16"/>
      <c r="S185" s="16"/>
    </row>
    <row r="186" spans="1:19">
      <c r="A186" s="17"/>
      <c r="B186" s="16"/>
      <c r="C186" s="16"/>
      <c r="D186" s="16"/>
      <c r="E186" s="16"/>
      <c r="F186" s="16"/>
      <c r="G186" s="16"/>
      <c r="H186" s="16"/>
      <c r="I186" s="16"/>
      <c r="J186" s="16"/>
      <c r="K186" s="16"/>
      <c r="L186" s="16"/>
      <c r="M186" s="16"/>
      <c r="N186" s="16"/>
      <c r="O186" s="16"/>
      <c r="P186" s="16"/>
      <c r="Q186" s="16"/>
      <c r="R186" s="16"/>
      <c r="S186" s="16"/>
    </row>
    <row r="187" spans="1:19">
      <c r="A187" s="17"/>
      <c r="B187" s="16"/>
      <c r="C187" s="16"/>
      <c r="D187" s="16"/>
      <c r="E187" s="16"/>
      <c r="F187" s="16"/>
      <c r="G187" s="16"/>
      <c r="H187" s="16"/>
      <c r="I187" s="16"/>
      <c r="J187" s="16"/>
      <c r="K187" s="16"/>
      <c r="L187" s="16"/>
      <c r="M187" s="16"/>
      <c r="N187" s="16"/>
      <c r="O187" s="16"/>
      <c r="P187" s="16"/>
      <c r="Q187" s="16"/>
      <c r="R187" s="16"/>
      <c r="S187" s="16"/>
    </row>
    <row r="188" spans="1:19">
      <c r="A188" s="17"/>
      <c r="B188" s="16"/>
      <c r="C188" s="16"/>
      <c r="D188" s="16"/>
      <c r="E188" s="16"/>
      <c r="F188" s="16"/>
      <c r="G188" s="16"/>
      <c r="H188" s="16"/>
      <c r="I188" s="16"/>
      <c r="J188" s="16"/>
      <c r="K188" s="16"/>
      <c r="L188" s="16"/>
      <c r="M188" s="16"/>
      <c r="N188" s="16"/>
      <c r="O188" s="16"/>
      <c r="P188" s="16"/>
      <c r="Q188" s="16"/>
      <c r="R188" s="16"/>
      <c r="S188" s="16"/>
    </row>
    <row r="189" spans="1:19">
      <c r="A189" s="17"/>
      <c r="B189" s="16"/>
      <c r="C189" s="16"/>
      <c r="D189" s="16"/>
      <c r="E189" s="16"/>
      <c r="F189" s="16"/>
      <c r="G189" s="16"/>
      <c r="H189" s="16"/>
      <c r="I189" s="16"/>
      <c r="J189" s="16"/>
      <c r="K189" s="16"/>
      <c r="L189" s="16"/>
      <c r="M189" s="16"/>
      <c r="N189" s="16"/>
      <c r="O189" s="16"/>
      <c r="P189" s="16"/>
      <c r="Q189" s="16"/>
      <c r="R189" s="16"/>
      <c r="S189" s="16"/>
    </row>
    <row r="190" spans="1:19">
      <c r="A190" s="17"/>
      <c r="B190" s="16"/>
      <c r="C190" s="16"/>
      <c r="D190" s="16"/>
      <c r="E190" s="16"/>
      <c r="F190" s="16"/>
      <c r="G190" s="16"/>
      <c r="H190" s="16"/>
      <c r="I190" s="16"/>
      <c r="J190" s="16"/>
      <c r="K190" s="16"/>
      <c r="L190" s="16"/>
      <c r="M190" s="16"/>
      <c r="N190" s="16"/>
      <c r="O190" s="16"/>
      <c r="P190" s="16"/>
      <c r="Q190" s="16"/>
      <c r="R190" s="16"/>
      <c r="S190" s="16"/>
    </row>
    <row r="191" spans="1:19">
      <c r="A191" s="17"/>
      <c r="B191" s="16"/>
      <c r="C191" s="16"/>
      <c r="D191" s="16"/>
      <c r="E191" s="16"/>
      <c r="F191" s="16"/>
      <c r="G191" s="16"/>
      <c r="H191" s="16"/>
      <c r="I191" s="16"/>
      <c r="J191" s="16"/>
      <c r="K191" s="16"/>
      <c r="L191" s="16"/>
      <c r="M191" s="16"/>
      <c r="N191" s="16"/>
      <c r="O191" s="16"/>
      <c r="P191" s="16"/>
      <c r="Q191" s="16"/>
      <c r="R191" s="16"/>
      <c r="S191" s="16"/>
    </row>
    <row r="192" spans="1:19">
      <c r="A192" s="17"/>
      <c r="B192" s="16"/>
      <c r="C192" s="16"/>
      <c r="D192" s="16"/>
      <c r="E192" s="16"/>
      <c r="F192" s="16"/>
      <c r="G192" s="16"/>
      <c r="H192" s="16"/>
      <c r="I192" s="16"/>
      <c r="J192" s="16"/>
      <c r="K192" s="16"/>
      <c r="L192" s="16"/>
      <c r="M192" s="16"/>
      <c r="N192" s="16"/>
      <c r="O192" s="16"/>
      <c r="P192" s="16"/>
      <c r="Q192" s="16"/>
      <c r="R192" s="16"/>
      <c r="S192" s="16"/>
    </row>
    <row r="193" spans="1:19">
      <c r="A193" s="17"/>
      <c r="B193" s="16"/>
      <c r="C193" s="16"/>
      <c r="D193" s="16"/>
      <c r="E193" s="16"/>
      <c r="F193" s="16"/>
      <c r="G193" s="16"/>
      <c r="H193" s="16"/>
      <c r="I193" s="16"/>
      <c r="J193" s="16"/>
      <c r="K193" s="16"/>
      <c r="L193" s="16"/>
      <c r="M193" s="16"/>
      <c r="N193" s="16"/>
      <c r="O193" s="16"/>
      <c r="P193" s="16"/>
      <c r="Q193" s="16"/>
      <c r="R193" s="16"/>
      <c r="S193" s="16"/>
    </row>
    <row r="194" spans="1:19">
      <c r="A194" s="17"/>
      <c r="B194" s="16"/>
      <c r="C194" s="16"/>
      <c r="D194" s="16"/>
      <c r="E194" s="16"/>
      <c r="F194" s="16"/>
      <c r="G194" s="16"/>
      <c r="H194" s="16"/>
      <c r="I194" s="16"/>
      <c r="J194" s="16"/>
      <c r="K194" s="16"/>
      <c r="L194" s="16"/>
      <c r="M194" s="16"/>
      <c r="N194" s="16"/>
      <c r="O194" s="16"/>
      <c r="P194" s="16"/>
      <c r="Q194" s="16"/>
      <c r="R194" s="16"/>
      <c r="S194" s="16"/>
    </row>
    <row r="195" spans="1:19">
      <c r="A195" s="17"/>
      <c r="B195" s="16"/>
      <c r="C195" s="16"/>
      <c r="D195" s="16"/>
      <c r="E195" s="16"/>
      <c r="F195" s="16"/>
      <c r="G195" s="16"/>
      <c r="H195" s="16"/>
      <c r="I195" s="16"/>
      <c r="J195" s="16"/>
      <c r="K195" s="16"/>
      <c r="L195" s="16"/>
      <c r="M195" s="16"/>
      <c r="N195" s="16"/>
      <c r="O195" s="16"/>
      <c r="P195" s="16"/>
      <c r="Q195" s="16"/>
      <c r="R195" s="16"/>
      <c r="S195" s="16"/>
    </row>
    <row r="196" spans="1:19">
      <c r="A196" s="17"/>
      <c r="B196" s="16"/>
      <c r="C196" s="16"/>
      <c r="D196" s="16"/>
      <c r="E196" s="16"/>
      <c r="F196" s="16"/>
      <c r="G196" s="16"/>
      <c r="H196" s="16"/>
      <c r="I196" s="16"/>
      <c r="J196" s="16"/>
      <c r="K196" s="16"/>
      <c r="L196" s="16"/>
      <c r="M196" s="16"/>
      <c r="N196" s="16"/>
      <c r="O196" s="16"/>
      <c r="P196" s="16"/>
      <c r="Q196" s="16"/>
      <c r="R196" s="16"/>
      <c r="S196" s="16"/>
    </row>
  </sheetData>
  <sortState ref="A4:A28">
    <sortCondition ref="A1"/>
  </sortState>
  <printOptions headings="1" gridLine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sheetPr codeName="Sheet4">
    <pageSetUpPr fitToPage="1"/>
  </sheetPr>
  <dimension ref="A1:J27"/>
  <sheetViews>
    <sheetView workbookViewId="0">
      <selection activeCell="B5" sqref="B5"/>
    </sheetView>
  </sheetViews>
  <sheetFormatPr defaultRowHeight="15"/>
  <cols>
    <col min="1" max="1" width="13.85546875" style="12" customWidth="1"/>
    <col min="2" max="16384" width="9.140625" style="13"/>
  </cols>
  <sheetData>
    <row r="1" spans="1:10" s="7" customFormat="1">
      <c r="A1" s="9" t="s">
        <v>77</v>
      </c>
    </row>
    <row r="2" spans="1:10" s="7" customFormat="1">
      <c r="A2" s="10"/>
    </row>
    <row r="3" spans="1:10" s="11" customFormat="1">
      <c r="A3" s="10" t="s">
        <v>78</v>
      </c>
      <c r="B3" s="11" t="s">
        <v>3</v>
      </c>
      <c r="C3" s="11" t="s">
        <v>51</v>
      </c>
      <c r="D3" s="11" t="s">
        <v>4</v>
      </c>
      <c r="E3" s="11" t="s">
        <v>6</v>
      </c>
      <c r="F3" s="11" t="s">
        <v>8</v>
      </c>
      <c r="G3" s="11" t="s">
        <v>49</v>
      </c>
      <c r="H3" s="11" t="s">
        <v>10</v>
      </c>
      <c r="I3" s="11" t="s">
        <v>53</v>
      </c>
      <c r="J3" s="11" t="s">
        <v>11</v>
      </c>
    </row>
    <row r="4" spans="1:10">
      <c r="A4" s="12">
        <v>2</v>
      </c>
      <c r="B4" s="13">
        <v>-1.8303686517143647E-2</v>
      </c>
      <c r="C4" s="13">
        <v>7.0137800148528662E-3</v>
      </c>
      <c r="D4" s="13">
        <v>-5.8511493329046815E-2</v>
      </c>
      <c r="E4" s="13">
        <v>-4.4000836120401399E-2</v>
      </c>
      <c r="F4" s="13">
        <v>-3.5082984752395907E-3</v>
      </c>
      <c r="G4" s="13">
        <v>3.4546805349182641E-2</v>
      </c>
      <c r="H4" s="13">
        <v>-2.8207271207689177E-2</v>
      </c>
      <c r="I4" s="13">
        <v>-3.6479444122756166E-2</v>
      </c>
      <c r="J4" s="13">
        <v>9.7187758478081143E-2</v>
      </c>
    </row>
    <row r="5" spans="1:10">
      <c r="A5" s="12">
        <v>3</v>
      </c>
      <c r="B5" s="13">
        <v>-5.7510504201680579E-2</v>
      </c>
      <c r="C5" s="13">
        <v>7.9646017699114946E-2</v>
      </c>
      <c r="D5" s="13">
        <v>-4.0805873313983332E-2</v>
      </c>
      <c r="E5" s="13">
        <v>7.5653219634852942E-2</v>
      </c>
      <c r="F5" s="13">
        <v>1.0561949898442835E-2</v>
      </c>
      <c r="G5" s="13">
        <v>3.8061041292638986E-2</v>
      </c>
      <c r="H5" s="13">
        <v>-8.0842829499032431E-2</v>
      </c>
      <c r="I5" s="13">
        <v>-3.3353365384615419E-2</v>
      </c>
      <c r="J5" s="13">
        <v>-9.2725216735770832E-2</v>
      </c>
    </row>
    <row r="6" spans="1:10">
      <c r="A6" s="12">
        <v>4</v>
      </c>
      <c r="B6" s="13">
        <v>-3.9286709389802277E-2</v>
      </c>
      <c r="C6" s="13">
        <v>5.1001821493624755E-2</v>
      </c>
      <c r="D6" s="13">
        <v>1.4239943040228464E-3</v>
      </c>
      <c r="E6" s="13">
        <v>-6.1896534200630127E-2</v>
      </c>
      <c r="F6" s="13">
        <v>-3.8456384831836887E-2</v>
      </c>
      <c r="G6" s="13">
        <v>0.10411622276029053</v>
      </c>
      <c r="H6" s="13">
        <v>5.1228070175438623E-2</v>
      </c>
      <c r="I6" s="13">
        <v>1.8029219769972071E-2</v>
      </c>
      <c r="J6" s="13">
        <v>5.6086414624013425E-2</v>
      </c>
    </row>
    <row r="7" spans="1:10">
      <c r="A7" s="12">
        <v>5</v>
      </c>
      <c r="B7" s="13">
        <v>7.0765661252900403E-2</v>
      </c>
      <c r="C7" s="13">
        <v>0.10824667822068168</v>
      </c>
      <c r="D7" s="13">
        <v>1.2797724848915726E-2</v>
      </c>
      <c r="E7" s="13">
        <v>8.5698808234019541E-2</v>
      </c>
      <c r="F7" s="13">
        <v>3.5117056856187157E-2</v>
      </c>
      <c r="G7" s="13">
        <v>3.7907268170426001E-2</v>
      </c>
      <c r="H7" s="13">
        <v>1.6688918558077415E-2</v>
      </c>
      <c r="I7" s="13">
        <v>2.3511450381679566E-2</v>
      </c>
      <c r="J7" s="13">
        <v>3.5405192761603921E-3</v>
      </c>
    </row>
    <row r="8" spans="1:10">
      <c r="A8" s="12">
        <v>6</v>
      </c>
      <c r="B8" s="13">
        <v>1.6522210184181985E-2</v>
      </c>
      <c r="C8" s="13">
        <v>0.23770117938359281</v>
      </c>
      <c r="D8" s="13">
        <v>2.9133029133029176E-2</v>
      </c>
      <c r="E8" s="13">
        <v>-6.0971958886338662E-2</v>
      </c>
      <c r="F8" s="13">
        <v>-4.4291868605277451E-2</v>
      </c>
      <c r="G8" s="13">
        <v>-2.1128886205855624E-3</v>
      </c>
      <c r="H8" s="13">
        <v>-1.0943313635368712E-3</v>
      </c>
      <c r="I8" s="13">
        <v>6.8615751789975477E-3</v>
      </c>
      <c r="J8" s="13">
        <v>8.0360642885142886E-2</v>
      </c>
    </row>
    <row r="9" spans="1:10">
      <c r="A9" s="12">
        <v>7</v>
      </c>
      <c r="B9" s="13">
        <v>-8.1534772182254245E-2</v>
      </c>
      <c r="C9" s="13">
        <v>-4.0694919715714595E-2</v>
      </c>
      <c r="D9" s="13">
        <v>-3.2401091405184101E-2</v>
      </c>
      <c r="E9" s="13">
        <v>-5.8023379383634333E-2</v>
      </c>
      <c r="F9" s="13">
        <v>-3.6343146922101721E-2</v>
      </c>
      <c r="G9" s="13">
        <v>-0.15245009074410165</v>
      </c>
      <c r="H9" s="13">
        <v>-5.9596844872918497E-2</v>
      </c>
      <c r="I9" s="13">
        <v>-4.2666666666666631E-2</v>
      </c>
      <c r="J9" s="13">
        <v>-0.18069666182873734</v>
      </c>
    </row>
    <row r="10" spans="1:10">
      <c r="A10" s="12">
        <v>8</v>
      </c>
      <c r="B10" s="13">
        <v>4.9318247751668487E-3</v>
      </c>
      <c r="C10" s="13">
        <v>8.7037646800570911E-2</v>
      </c>
      <c r="D10" s="13">
        <v>-0.1179062389848432</v>
      </c>
      <c r="E10" s="13">
        <v>-5.482851985559567E-2</v>
      </c>
      <c r="F10" s="13">
        <v>9.2091799444526945E-3</v>
      </c>
      <c r="G10" s="13">
        <v>-3.390435403283365E-2</v>
      </c>
      <c r="H10" s="13">
        <v>-4.473438956197584E-2</v>
      </c>
      <c r="I10" s="13">
        <v>-1.5784586815227541E-2</v>
      </c>
      <c r="J10" s="13">
        <v>-6.8644818423383436E-2</v>
      </c>
    </row>
    <row r="11" spans="1:10">
      <c r="A11" s="12">
        <v>9</v>
      </c>
      <c r="B11" s="13">
        <v>-9.4688221709006926E-2</v>
      </c>
      <c r="C11" s="13">
        <v>-0.31663974151857832</v>
      </c>
      <c r="D11" s="13">
        <v>-5.2347652347652263E-2</v>
      </c>
      <c r="E11" s="13">
        <v>-4.8937693960372286E-2</v>
      </c>
      <c r="F11" s="13">
        <v>-1.6077636152954766E-2</v>
      </c>
      <c r="G11" s="13">
        <v>-9.4939046915404557E-2</v>
      </c>
      <c r="H11" s="13">
        <v>2.4878048780487827E-2</v>
      </c>
      <c r="I11" s="13">
        <v>-7.5471698113207641E-2</v>
      </c>
      <c r="J11" s="13">
        <v>-8.8920589633856406E-2</v>
      </c>
    </row>
    <row r="12" spans="1:10">
      <c r="A12" s="12">
        <v>10</v>
      </c>
      <c r="B12" s="13">
        <v>0.12850765306122458</v>
      </c>
      <c r="C12" s="13">
        <v>-7.6388888888889062E-2</v>
      </c>
      <c r="D12" s="13">
        <v>-0.13894159814463414</v>
      </c>
      <c r="E12" s="13">
        <v>1.2550200803196354E-4</v>
      </c>
      <c r="F12" s="13">
        <v>1.884292654202846E-2</v>
      </c>
      <c r="G12" s="13">
        <v>-4.4897959183672898E-3</v>
      </c>
      <c r="H12" s="13">
        <v>3.6411232746311084E-2</v>
      </c>
      <c r="I12" s="13">
        <v>8.605442176870759E-2</v>
      </c>
      <c r="J12" s="13">
        <v>-0.14770354906054284</v>
      </c>
    </row>
    <row r="13" spans="1:10">
      <c r="A13" s="12">
        <v>11</v>
      </c>
      <c r="B13" s="13">
        <v>-2.9104266742017604E-2</v>
      </c>
      <c r="C13" s="13">
        <v>0.14781634938409849</v>
      </c>
      <c r="D13" s="13">
        <v>3.3545543584720727E-2</v>
      </c>
      <c r="E13" s="13">
        <v>-0.10164386999623531</v>
      </c>
      <c r="F13" s="13">
        <v>8.2358040745557082E-2</v>
      </c>
      <c r="G13" s="13">
        <v>-1.2300123001230068E-2</v>
      </c>
      <c r="H13" s="13">
        <v>7.347876004592413E-3</v>
      </c>
      <c r="I13" s="13">
        <v>-3.1631694331349713E-2</v>
      </c>
      <c r="J13" s="13">
        <v>4.0416411512553596E-2</v>
      </c>
    </row>
    <row r="14" spans="1:10">
      <c r="A14" s="12">
        <v>12</v>
      </c>
      <c r="B14" s="13">
        <v>-3.0849825378347018E-2</v>
      </c>
      <c r="C14" s="13">
        <v>0.21219512195121948</v>
      </c>
      <c r="D14" s="13">
        <v>0.10258232646292353</v>
      </c>
      <c r="E14" s="13">
        <v>0.1410811565861152</v>
      </c>
      <c r="F14" s="13">
        <v>5.0727539714323866E-2</v>
      </c>
      <c r="G14" s="13">
        <v>6.4342050643420468E-2</v>
      </c>
      <c r="H14" s="13">
        <v>4.6045133348529887E-2</v>
      </c>
      <c r="I14" s="13">
        <v>3.3311772315653299E-2</v>
      </c>
      <c r="J14" s="13">
        <v>1.2948793407887127E-2</v>
      </c>
    </row>
    <row r="15" spans="1:10">
      <c r="A15" s="12">
        <v>13</v>
      </c>
      <c r="B15" s="13">
        <v>0.16726726726726726</v>
      </c>
      <c r="C15" s="13">
        <v>8.5081920091980567E-2</v>
      </c>
      <c r="D15" s="13">
        <v>-3.4808766652342005E-2</v>
      </c>
      <c r="E15" s="13">
        <v>-2.0075896682580474E-2</v>
      </c>
      <c r="F15" s="13">
        <v>9.2745521534747244E-3</v>
      </c>
      <c r="G15" s="13">
        <v>4.2121684867394649E-2</v>
      </c>
      <c r="H15" s="13">
        <v>-1.2421006755284347E-2</v>
      </c>
      <c r="I15" s="13">
        <v>3.5993740219092407E-2</v>
      </c>
      <c r="J15" s="13">
        <v>-0.1301568855316676</v>
      </c>
    </row>
    <row r="16" spans="1:10">
      <c r="A16" s="12">
        <v>14</v>
      </c>
      <c r="B16" s="13">
        <v>-0.12245948031901199</v>
      </c>
      <c r="C16" s="13">
        <v>-0.11290066225165563</v>
      </c>
      <c r="D16" s="13">
        <v>-0.1872217275155833</v>
      </c>
      <c r="E16" s="13">
        <v>-0.20599625234228602</v>
      </c>
      <c r="F16" s="13">
        <v>-0.10674723061430014</v>
      </c>
      <c r="G16" s="13">
        <v>-0.12949101796407181</v>
      </c>
      <c r="H16" s="13">
        <v>-0.10481023830538394</v>
      </c>
      <c r="I16" s="13">
        <v>-7.1299093655589174E-2</v>
      </c>
      <c r="J16" s="13">
        <v>-5.8116232464929918E-2</v>
      </c>
    </row>
    <row r="17" spans="1:10">
      <c r="A17" s="12">
        <v>15</v>
      </c>
      <c r="B17" s="13">
        <v>-5.2477279390208076E-2</v>
      </c>
      <c r="C17" s="13">
        <v>-5.0704730052556157E-2</v>
      </c>
      <c r="D17" s="13">
        <v>-1.0408107367844255E-2</v>
      </c>
      <c r="E17" s="13">
        <v>-7.0169918187539371E-2</v>
      </c>
      <c r="F17" s="13">
        <v>-5.2564825253663905E-2</v>
      </c>
      <c r="G17" s="13">
        <v>-5.4600171969045652E-2</v>
      </c>
      <c r="H17" s="13">
        <v>2.1444417056938558E-2</v>
      </c>
      <c r="I17" s="13">
        <v>-2.7325959661678612E-2</v>
      </c>
      <c r="J17" s="13">
        <v>1.4893617021276562E-2</v>
      </c>
    </row>
    <row r="18" spans="1:10">
      <c r="A18" s="12">
        <v>16</v>
      </c>
      <c r="B18" s="13">
        <v>-4.3007425742574323E-2</v>
      </c>
      <c r="C18" s="13">
        <v>6.6561811890531786E-2</v>
      </c>
      <c r="D18" s="13">
        <v>6.8917796844727208E-2</v>
      </c>
      <c r="E18" s="13">
        <v>7.9357021996615762E-2</v>
      </c>
      <c r="F18" s="13">
        <v>1.7402945113788482E-2</v>
      </c>
      <c r="G18" s="13">
        <v>9.3678944974988632E-2</v>
      </c>
      <c r="H18" s="13">
        <v>2.3648648648648685E-2</v>
      </c>
      <c r="I18" s="13">
        <v>6.5886287625418039E-2</v>
      </c>
      <c r="J18" s="13">
        <v>0.10621942697414388</v>
      </c>
    </row>
    <row r="19" spans="1:10">
      <c r="A19" s="12">
        <v>17</v>
      </c>
      <c r="B19" s="13">
        <v>-0.29712253475590045</v>
      </c>
      <c r="C19" s="13">
        <v>-0.32955819029080402</v>
      </c>
      <c r="D19" s="13">
        <v>-0.10693940963231474</v>
      </c>
      <c r="E19" s="13">
        <v>-0.12509797773945752</v>
      </c>
      <c r="F19" s="13">
        <v>-0.15745614035087718</v>
      </c>
      <c r="G19" s="13">
        <v>-6.1954261954262013E-2</v>
      </c>
      <c r="H19" s="13">
        <v>-9.3116454502593204E-2</v>
      </c>
      <c r="I19" s="13">
        <v>-5.1145277690618163E-2</v>
      </c>
      <c r="J19" s="13">
        <v>-5.0536955148452356E-2</v>
      </c>
    </row>
    <row r="20" spans="1:10">
      <c r="A20" s="12">
        <v>18</v>
      </c>
      <c r="B20" s="13">
        <v>-0.49080036798528059</v>
      </c>
      <c r="C20" s="13">
        <v>-5.3404891782509178E-2</v>
      </c>
      <c r="D20" s="13">
        <v>-0.21977384749202666</v>
      </c>
      <c r="E20" s="13">
        <v>-8.6006092098190323E-2</v>
      </c>
      <c r="F20" s="13">
        <v>-0.35259413499913239</v>
      </c>
      <c r="G20" s="13">
        <v>-0.21232269503546097</v>
      </c>
      <c r="H20" s="13">
        <v>-0.20509487912659219</v>
      </c>
      <c r="I20" s="13">
        <v>-0.15575396825396814</v>
      </c>
      <c r="J20" s="13">
        <v>-0.39055222887558216</v>
      </c>
    </row>
    <row r="21" spans="1:10">
      <c r="A21" s="12">
        <v>19</v>
      </c>
      <c r="B21" s="13">
        <v>-5.149051490514911E-2</v>
      </c>
      <c r="C21" s="13">
        <v>-0.1386745980109676</v>
      </c>
      <c r="D21" s="13">
        <v>-0.15235971757710898</v>
      </c>
      <c r="E21" s="13">
        <v>-0.18074887277004503</v>
      </c>
      <c r="F21" s="13">
        <v>7.3170731707316916E-2</v>
      </c>
      <c r="G21" s="13">
        <v>-6.9217782779966264E-2</v>
      </c>
      <c r="H21" s="13">
        <v>-0.2063440156965336</v>
      </c>
      <c r="I21" s="13">
        <v>-0.13082647865256558</v>
      </c>
      <c r="J21" s="13">
        <v>-0.17358078602620086</v>
      </c>
    </row>
    <row r="22" spans="1:10">
      <c r="A22" s="12">
        <v>20</v>
      </c>
      <c r="B22" s="13">
        <v>4.6666666666666634E-2</v>
      </c>
      <c r="C22" s="13">
        <v>-7.898996438977024E-2</v>
      </c>
      <c r="D22" s="13">
        <v>-0.204296361245068</v>
      </c>
      <c r="E22" s="13">
        <v>9.5716678631241336E-4</v>
      </c>
      <c r="F22" s="13">
        <v>8.9660339660339705E-2</v>
      </c>
      <c r="G22" s="13">
        <v>-1.4510278113663788E-2</v>
      </c>
      <c r="H22" s="13">
        <v>9.4767202307375342E-3</v>
      </c>
      <c r="I22" s="13">
        <v>2.2532672374943719E-2</v>
      </c>
      <c r="J22" s="13">
        <v>-0.13077939233817704</v>
      </c>
    </row>
    <row r="23" spans="1:10">
      <c r="A23" s="12">
        <v>21</v>
      </c>
      <c r="B23" s="13">
        <v>-0.30846223839854414</v>
      </c>
      <c r="C23" s="13">
        <v>5.600468658465152E-2</v>
      </c>
      <c r="D23" s="13">
        <v>-9.035812672176291E-2</v>
      </c>
      <c r="E23" s="13">
        <v>-8.3672005737509547E-3</v>
      </c>
      <c r="F23" s="13">
        <v>-0.30185652074260827</v>
      </c>
      <c r="G23" s="13">
        <v>-8.159509202453985E-2</v>
      </c>
      <c r="H23" s="13">
        <v>-9.2653061224489797E-2</v>
      </c>
      <c r="I23" s="13">
        <v>-8.8585279858968802E-2</v>
      </c>
      <c r="J23" s="13">
        <v>-0.31155015197568381</v>
      </c>
    </row>
    <row r="24" spans="1:10">
      <c r="A24" s="12">
        <v>22</v>
      </c>
      <c r="B24" s="13">
        <v>-0.18289473684210522</v>
      </c>
      <c r="C24" s="13">
        <v>-9.0979695994674037E-3</v>
      </c>
      <c r="D24" s="13">
        <v>-0.27922471229557844</v>
      </c>
      <c r="E24" s="13">
        <v>-0.24951783992285437</v>
      </c>
      <c r="F24" s="13">
        <v>-0.20223243598161522</v>
      </c>
      <c r="G24" s="13">
        <v>-2.6720106880427585E-2</v>
      </c>
      <c r="H24" s="13">
        <v>-0.1682411156095367</v>
      </c>
      <c r="I24" s="13">
        <v>-0.18907156673114123</v>
      </c>
      <c r="J24" s="13">
        <v>-0.29580573951434885</v>
      </c>
    </row>
    <row r="25" spans="1:10">
      <c r="A25" s="12">
        <v>23</v>
      </c>
      <c r="B25" s="13">
        <v>0.17874396135265713</v>
      </c>
      <c r="C25" s="13">
        <v>0.1770238495129326</v>
      </c>
      <c r="D25" s="13">
        <v>0.13025210084033612</v>
      </c>
      <c r="E25" s="13">
        <v>0.13170575008030827</v>
      </c>
      <c r="F25" s="13">
        <v>0.13580246913580241</v>
      </c>
      <c r="G25" s="13">
        <v>0.15099519560741248</v>
      </c>
      <c r="H25" s="13">
        <v>0.18983234180638187</v>
      </c>
      <c r="I25" s="13">
        <v>8.2886106141920157E-2</v>
      </c>
      <c r="J25" s="13">
        <v>0.19122257053291536</v>
      </c>
    </row>
    <row r="26" spans="1:10">
      <c r="A26" s="12">
        <v>24</v>
      </c>
      <c r="B26" s="13">
        <v>0.23497267759562823</v>
      </c>
      <c r="C26" s="13">
        <v>0.19701293759512928</v>
      </c>
      <c r="D26" s="13">
        <v>0.87509293680297406</v>
      </c>
      <c r="E26" s="13">
        <v>0.12574510360488222</v>
      </c>
      <c r="F26" s="13">
        <v>0.28913043478260847</v>
      </c>
      <c r="G26" s="13">
        <v>0.15205724508050089</v>
      </c>
      <c r="H26" s="13">
        <v>0.24954545454545451</v>
      </c>
      <c r="I26" s="13">
        <v>0.20594713656387653</v>
      </c>
      <c r="J26" s="13">
        <v>-0.19736842105263164</v>
      </c>
    </row>
    <row r="27" spans="1:10">
      <c r="A27" s="12">
        <v>25</v>
      </c>
      <c r="B27" s="13">
        <v>-1.1061946902655162E-3</v>
      </c>
      <c r="C27" s="13">
        <v>-2.7100055630612685E-2</v>
      </c>
      <c r="D27" s="13">
        <v>-3.9254559873116546E-2</v>
      </c>
      <c r="E27" s="13">
        <v>8.4215834594049577E-2</v>
      </c>
      <c r="F27" s="13">
        <v>4.4969083754919925E-3</v>
      </c>
      <c r="G27" s="13">
        <v>-7.2463768115941907E-2</v>
      </c>
      <c r="H27" s="13">
        <v>-2.0371044016005757E-2</v>
      </c>
      <c r="I27" s="13">
        <v>6.8949771689497785E-2</v>
      </c>
      <c r="J27" s="13">
        <v>-0.19016393442622936</v>
      </c>
    </row>
  </sheetData>
  <phoneticPr fontId="0" type="noConversion"/>
  <printOptions headings="1" gridLines="1"/>
  <pageMargins left="0.75" right="0.75" top="1" bottom="1" header="0.5" footer="0.5"/>
  <pageSetup scale="99"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J16"/>
  <sheetViews>
    <sheetView workbookViewId="0">
      <selection activeCell="M4" sqref="M4"/>
    </sheetView>
  </sheetViews>
  <sheetFormatPr defaultRowHeight="15"/>
  <cols>
    <col min="1" max="1" width="13.5703125" style="11" customWidth="1"/>
    <col min="2" max="16384" width="9.140625" style="13"/>
  </cols>
  <sheetData>
    <row r="1" spans="1:10" s="7" customFormat="1">
      <c r="A1" s="6" t="s">
        <v>59</v>
      </c>
    </row>
    <row r="2" spans="1:10" s="7" customFormat="1"/>
    <row r="3" spans="1:10" s="11" customFormat="1">
      <c r="A3" s="6" t="s">
        <v>60</v>
      </c>
      <c r="B3" s="11" t="s">
        <v>3</v>
      </c>
      <c r="C3" s="11" t="s">
        <v>51</v>
      </c>
      <c r="D3" s="11" t="s">
        <v>4</v>
      </c>
      <c r="E3" s="11" t="s">
        <v>6</v>
      </c>
      <c r="F3" s="11" t="s">
        <v>8</v>
      </c>
      <c r="G3" s="11" t="s">
        <v>49</v>
      </c>
      <c r="H3" s="11" t="s">
        <v>10</v>
      </c>
      <c r="I3" s="11" t="s">
        <v>53</v>
      </c>
      <c r="J3" s="11" t="s">
        <v>11</v>
      </c>
    </row>
    <row r="4" spans="1:10" s="15" customFormat="1">
      <c r="A4" s="6" t="s">
        <v>61</v>
      </c>
      <c r="B4" s="15">
        <f>AVERAGE(AA)</f>
        <v>-4.3863368208066605E-2</v>
      </c>
      <c r="C4" s="15">
        <f>AVERAGE(AAPL)</f>
        <v>1.1591216187144033E-2</v>
      </c>
      <c r="D4" s="15">
        <f>AVERAGE(AXP)</f>
        <v>-2.132557629485168E-2</v>
      </c>
      <c r="E4" s="15">
        <f>AVERAGE(BA)</f>
        <v>-2.7155969966446831E-2</v>
      </c>
      <c r="F4" s="15">
        <f>AVERAGE(CAT)</f>
        <v>-2.0265564512491365E-2</v>
      </c>
      <c r="G4" s="15">
        <f>AVERAGE(CSCO)</f>
        <v>-1.2718542305151972E-2</v>
      </c>
      <c r="H4" s="15">
        <f>AVERAGE(DD)</f>
        <v>-1.8374192493332248E-2</v>
      </c>
      <c r="I4" s="15">
        <f>AVERAGE(DIS)</f>
        <v>-1.2476288579524755E-2</v>
      </c>
      <c r="J4" s="15">
        <f>AVERAGE(EK)</f>
        <v>-7.9351058680167494E-2</v>
      </c>
    </row>
    <row r="5" spans="1:10" s="15" customFormat="1">
      <c r="A5" s="6" t="s">
        <v>62</v>
      </c>
      <c r="B5" s="15">
        <f>STDEV(AA)</f>
        <v>0.16091830773577978</v>
      </c>
      <c r="C5" s="15">
        <f>STDEV(AAPL)</f>
        <v>0.1465865971262669</v>
      </c>
      <c r="D5" s="15">
        <f>STDEV(AXP)</f>
        <v>0.21670131919276392</v>
      </c>
      <c r="E5" s="15">
        <f>STDEV(BA)</f>
        <v>0.10554478765189781</v>
      </c>
      <c r="F5" s="15">
        <f>STDEV(CAT)</f>
        <v>0.13472122133412603</v>
      </c>
      <c r="G5" s="15">
        <f>STDEV(CSCO)</f>
        <v>9.1252264111166312E-2</v>
      </c>
      <c r="H5" s="15">
        <f>STDEV(DD)</f>
        <v>0.10487655293377626</v>
      </c>
      <c r="I5" s="15">
        <f>STDEV(DIS)</f>
        <v>8.6102205912580582E-2</v>
      </c>
      <c r="J5" s="15">
        <f>STDEV(EK)</f>
        <v>0.14383226244962644</v>
      </c>
    </row>
    <row r="6" spans="1:10" s="7" customFormat="1"/>
    <row r="7" spans="1:10" s="11" customFormat="1">
      <c r="A7" s="6" t="s">
        <v>63</v>
      </c>
      <c r="B7" s="11" t="s">
        <v>3</v>
      </c>
      <c r="C7" s="11" t="s">
        <v>51</v>
      </c>
      <c r="D7" s="11" t="s">
        <v>4</v>
      </c>
      <c r="E7" s="11" t="s">
        <v>6</v>
      </c>
      <c r="F7" s="11" t="s">
        <v>8</v>
      </c>
      <c r="G7" s="11" t="s">
        <v>49</v>
      </c>
      <c r="H7" s="11" t="s">
        <v>10</v>
      </c>
      <c r="I7" s="11" t="s">
        <v>53</v>
      </c>
      <c r="J7" s="11" t="s">
        <v>11</v>
      </c>
    </row>
    <row r="8" spans="1:10">
      <c r="A8" s="11" t="s">
        <v>3</v>
      </c>
      <c r="B8" s="13">
        <f>CORREL(AA,AA)</f>
        <v>1</v>
      </c>
      <c r="C8" s="13">
        <f>CORREL(AA,AAPL)</f>
        <v>0.45699361544646988</v>
      </c>
      <c r="D8" s="13">
        <f>CORREL(AA,AXP)</f>
        <v>0.53344890972807979</v>
      </c>
      <c r="E8" s="13">
        <f>CORREL(AA,BA)</f>
        <v>0.49958272351432581</v>
      </c>
      <c r="F8" s="13">
        <f>CORREL(AA,CAT)</f>
        <v>0.88959590026276003</v>
      </c>
      <c r="G8" s="13">
        <f>CORREL(AA,CSCO)</f>
        <v>0.71503438039500145</v>
      </c>
      <c r="H8" s="13">
        <f>CORREL(AA,DD)</f>
        <v>0.74775978520974029</v>
      </c>
      <c r="I8" s="13">
        <f>CORREL(AA,DIS)</f>
        <v>0.78398636175839331</v>
      </c>
      <c r="J8" s="13">
        <f>CORREL(AA,EK)</f>
        <v>0.46849335759369953</v>
      </c>
    </row>
    <row r="9" spans="1:10">
      <c r="A9" s="11" t="s">
        <v>51</v>
      </c>
      <c r="B9" s="13">
        <f>CORREL(AAPL,AA)</f>
        <v>0.45699361544646988</v>
      </c>
      <c r="C9" s="13">
        <f>CORREL(AAPL,AAPL)</f>
        <v>1</v>
      </c>
      <c r="D9" s="13">
        <f>CORREL(AAPL,AXP)</f>
        <v>0.488866014410891</v>
      </c>
      <c r="E9" s="13">
        <f>CORREL(AAPL,BA)</f>
        <v>0.51059540444957852</v>
      </c>
      <c r="F9" s="13">
        <f>CORREL(AAPL,CAT)</f>
        <v>0.35800049995269445</v>
      </c>
      <c r="G9" s="13">
        <f>CORREL(AAPL,CSCO)</f>
        <v>0.60212804088807725</v>
      </c>
      <c r="H9" s="13">
        <f>CORREL(AAPL,DD)</f>
        <v>0.45757854363800493</v>
      </c>
      <c r="I9" s="13">
        <f>CORREL(AAPL,DIS)</f>
        <v>0.4626005652903088</v>
      </c>
      <c r="J9" s="13">
        <f>CORREL(AAPL,EK)</f>
        <v>0.30176633422867616</v>
      </c>
    </row>
    <row r="10" spans="1:10">
      <c r="A10" s="11" t="s">
        <v>4</v>
      </c>
      <c r="B10" s="13">
        <f>CORREL(AXP,AA)</f>
        <v>0.53344890972807979</v>
      </c>
      <c r="C10" s="13">
        <f>CORREL(AXP,AAPL)</f>
        <v>0.488866014410891</v>
      </c>
      <c r="D10" s="13">
        <f>CORREL(AXP,AXP)</f>
        <v>1</v>
      </c>
      <c r="E10" s="13">
        <f>CORREL(AXP,BA)</f>
        <v>0.58203013454409147</v>
      </c>
      <c r="F10" s="13">
        <f>CORREL(AXP,CAT)</f>
        <v>0.64832924191348917</v>
      </c>
      <c r="G10" s="13">
        <f>CORREL(AXP,CSCO)</f>
        <v>0.61171636921281003</v>
      </c>
      <c r="H10" s="13">
        <f>CORREL(AXP,DD)</f>
        <v>0.77835509265717562</v>
      </c>
      <c r="I10" s="13">
        <f>CORREL(AXP,DIS)</f>
        <v>0.73702647148460576</v>
      </c>
      <c r="J10" s="13">
        <f>CORREL(AXP,EK)</f>
        <v>0.19409448543727387</v>
      </c>
    </row>
    <row r="11" spans="1:10">
      <c r="A11" s="11" t="s">
        <v>6</v>
      </c>
      <c r="B11" s="13">
        <f>CORREL(BA,AA)</f>
        <v>0.49958272351432581</v>
      </c>
      <c r="C11" s="13">
        <f>CORREL(BA,AAPL)</f>
        <v>0.51059540444957852</v>
      </c>
      <c r="D11" s="13">
        <f>CORREL(BA,AXP)</f>
        <v>0.58203013454409147</v>
      </c>
      <c r="E11" s="13">
        <f>CORREL(BA,BA)</f>
        <v>0.99999999999999989</v>
      </c>
      <c r="F11" s="13">
        <f>CORREL(BA,CAT)</f>
        <v>0.51485436429654752</v>
      </c>
      <c r="G11" s="13">
        <f>CORREL(BA,CSCO)</f>
        <v>0.5938062698527341</v>
      </c>
      <c r="H11" s="13">
        <f>CORREL(BA,DD)</f>
        <v>0.6997436284719043</v>
      </c>
      <c r="I11" s="13">
        <f>CORREL(BA,DIS)</f>
        <v>0.77268011751118348</v>
      </c>
      <c r="J11" s="13">
        <f>CORREL(BA,EK)</f>
        <v>0.283890534343546</v>
      </c>
    </row>
    <row r="12" spans="1:10">
      <c r="A12" s="11" t="s">
        <v>8</v>
      </c>
      <c r="B12" s="13">
        <f>CORREL(CAT,AA)</f>
        <v>0.88959590026276003</v>
      </c>
      <c r="C12" s="13">
        <f>CORREL(CAT,AAPL)</f>
        <v>0.35800049995269445</v>
      </c>
      <c r="D12" s="13">
        <f>CORREL(CAT,AXP)</f>
        <v>0.64832924191348917</v>
      </c>
      <c r="E12" s="13">
        <f>CORREL(CAT,BA)</f>
        <v>0.51485436429654752</v>
      </c>
      <c r="F12" s="13">
        <f>CORREL(CAT,CAT)</f>
        <v>1.0000000000000002</v>
      </c>
      <c r="G12" s="13">
        <f>CORREL(CAT,CSCO)</f>
        <v>0.67755660426998898</v>
      </c>
      <c r="H12" s="13">
        <f>CORREL(CAT,DD)</f>
        <v>0.72890153866592522</v>
      </c>
      <c r="I12" s="13">
        <f>CORREL(CAT,DIS)</f>
        <v>0.74549897743709126</v>
      </c>
      <c r="J12" s="13">
        <f>CORREL(CAT,EK)</f>
        <v>0.47629293965027975</v>
      </c>
    </row>
    <row r="13" spans="1:10">
      <c r="A13" s="11" t="s">
        <v>49</v>
      </c>
      <c r="B13" s="13">
        <f>CORREL(CSCO,AA)</f>
        <v>0.71503438039500145</v>
      </c>
      <c r="C13" s="13">
        <f>CORREL(CSCO,AAPL)</f>
        <v>0.60212804088807725</v>
      </c>
      <c r="D13" s="13">
        <f>CORREL(CSCO,AXP)</f>
        <v>0.61171636921281003</v>
      </c>
      <c r="E13" s="13">
        <f>CORREL(CSCO,BA)</f>
        <v>0.5938062698527341</v>
      </c>
      <c r="F13" s="13">
        <f>CORREL(CSCO,CAT)</f>
        <v>0.67755660426998898</v>
      </c>
      <c r="G13" s="13">
        <f>CORREL(CSCO,CSCO)</f>
        <v>1</v>
      </c>
      <c r="H13" s="13">
        <f>CORREL(CSCO,DD)</f>
        <v>0.74938956644753218</v>
      </c>
      <c r="I13" s="13">
        <f>CORREL(CSCO,DIS)</f>
        <v>0.70422728462053075</v>
      </c>
      <c r="J13" s="13">
        <f>CORREL(CSCO,EK)</f>
        <v>0.58911999802957582</v>
      </c>
    </row>
    <row r="14" spans="1:10">
      <c r="A14" s="11" t="s">
        <v>10</v>
      </c>
      <c r="B14" s="13">
        <f>CORREL(DD,AA)</f>
        <v>0.74775978520974029</v>
      </c>
      <c r="C14" s="13">
        <f>CORREL(DD,AAPL)</f>
        <v>0.45757854363800493</v>
      </c>
      <c r="D14" s="13">
        <f>CORREL(DD,AXP)</f>
        <v>0.77835509265717562</v>
      </c>
      <c r="E14" s="13">
        <f>CORREL(DD,BA)</f>
        <v>0.6997436284719043</v>
      </c>
      <c r="F14" s="13">
        <f>CORREL(DD,CAT)</f>
        <v>0.72890153866592522</v>
      </c>
      <c r="G14" s="13">
        <f>CORREL(DD,CSCO)</f>
        <v>0.74938956644753218</v>
      </c>
      <c r="H14" s="13">
        <f>CORREL(DD,DD)</f>
        <v>1</v>
      </c>
      <c r="I14" s="13">
        <f>CORREL(DD,DIS)</f>
        <v>0.88107251302921052</v>
      </c>
      <c r="J14" s="13">
        <f>CORREL(DD,EK)</f>
        <v>0.51658460360108105</v>
      </c>
    </row>
    <row r="15" spans="1:10">
      <c r="A15" s="11" t="s">
        <v>53</v>
      </c>
      <c r="B15" s="13">
        <f>CORREL(DIS,AA)</f>
        <v>0.78398636175839331</v>
      </c>
      <c r="C15" s="13">
        <f>CORREL(DIS,AAPL)</f>
        <v>0.4626005652903088</v>
      </c>
      <c r="D15" s="13">
        <f>CORREL(DIS,AXP)</f>
        <v>0.73702647148460576</v>
      </c>
      <c r="E15" s="13">
        <f>CORREL(DIS,BA)</f>
        <v>0.77268011751118348</v>
      </c>
      <c r="F15" s="13">
        <f>CORREL(DIS,CAT)</f>
        <v>0.74549897743709126</v>
      </c>
      <c r="G15" s="13">
        <f>CORREL(DIS,CSCO)</f>
        <v>0.70422728462053075</v>
      </c>
      <c r="H15" s="13">
        <f>CORREL(DIS,DD)</f>
        <v>0.88107251302921052</v>
      </c>
      <c r="I15" s="13">
        <f>CORREL(DIS,DIS)</f>
        <v>0.99999999999999989</v>
      </c>
      <c r="J15" s="13">
        <f>CORREL(DIS,EK)</f>
        <v>0.40101511276113416</v>
      </c>
    </row>
    <row r="16" spans="1:10">
      <c r="A16" s="11" t="s">
        <v>11</v>
      </c>
      <c r="B16" s="13">
        <f>CORREL(EK,AA)</f>
        <v>0.46849335759369953</v>
      </c>
      <c r="C16" s="13">
        <f>CORREL(EK,AAPL)</f>
        <v>0.30176633422867616</v>
      </c>
      <c r="D16" s="13">
        <f>CORREL(EK,AXP)</f>
        <v>0.19409448543727387</v>
      </c>
      <c r="E16" s="13">
        <f>CORREL(EK,BA)</f>
        <v>0.283890534343546</v>
      </c>
      <c r="F16" s="13">
        <f>CORREL(EK,CAT)</f>
        <v>0.47629293965027975</v>
      </c>
      <c r="G16" s="13">
        <f>CORREL(EK,CSCO)</f>
        <v>0.58911999802957582</v>
      </c>
      <c r="H16" s="13">
        <f>CORREL(EK,DD)</f>
        <v>0.51658460360108105</v>
      </c>
      <c r="I16" s="13">
        <f>CORREL(EK,DIS)</f>
        <v>0.40101511276113416</v>
      </c>
      <c r="J16" s="13">
        <f>CORREL(EK,EK)</f>
        <v>0.99999999999999978</v>
      </c>
    </row>
  </sheetData>
  <phoneticPr fontId="0" type="noConversion"/>
  <printOptions headings="1" gridLines="1"/>
  <pageMargins left="0.75" right="0.75" top="1" bottom="1" header="0.5" footer="0.5"/>
  <pageSetup scale="99"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sheetPr codeName="Sheet6">
    <pageSetUpPr fitToPage="1"/>
  </sheetPr>
  <dimension ref="A1:K25"/>
  <sheetViews>
    <sheetView workbookViewId="0">
      <selection activeCell="B20" sqref="B20"/>
    </sheetView>
  </sheetViews>
  <sheetFormatPr defaultRowHeight="15"/>
  <cols>
    <col min="1" max="1" width="11.7109375" style="7" customWidth="1"/>
    <col min="2" max="9" width="9.140625" style="7"/>
    <col min="10" max="17" width="9.140625" style="7" customWidth="1"/>
    <col min="18" max="16384" width="9.140625" style="7"/>
  </cols>
  <sheetData>
    <row r="1" spans="1:11">
      <c r="A1" s="7" t="s">
        <v>80</v>
      </c>
    </row>
    <row r="3" spans="1:11">
      <c r="A3" s="7" t="s">
        <v>64</v>
      </c>
      <c r="B3" s="7" t="s">
        <v>3</v>
      </c>
      <c r="C3" s="7" t="s">
        <v>51</v>
      </c>
      <c r="D3" s="7" t="s">
        <v>4</v>
      </c>
      <c r="E3" s="7" t="s">
        <v>6</v>
      </c>
      <c r="F3" s="7" t="s">
        <v>8</v>
      </c>
      <c r="G3" s="7" t="s">
        <v>49</v>
      </c>
      <c r="H3" s="7" t="s">
        <v>10</v>
      </c>
      <c r="I3" s="7" t="s">
        <v>53</v>
      </c>
      <c r="J3" s="7" t="s">
        <v>11</v>
      </c>
      <c r="K3" s="7" t="s">
        <v>66</v>
      </c>
    </row>
    <row r="4" spans="1:11">
      <c r="A4" s="7" t="s">
        <v>65</v>
      </c>
      <c r="B4" s="7">
        <v>0</v>
      </c>
      <c r="C4" s="7">
        <v>1</v>
      </c>
      <c r="D4" s="7">
        <v>0</v>
      </c>
      <c r="E4" s="7">
        <v>0</v>
      </c>
      <c r="F4" s="7">
        <v>0</v>
      </c>
      <c r="G4" s="7">
        <v>0</v>
      </c>
      <c r="H4" s="7">
        <v>0</v>
      </c>
      <c r="I4" s="7">
        <v>0</v>
      </c>
      <c r="J4" s="7">
        <v>0</v>
      </c>
      <c r="K4" s="7">
        <f>SUM(Weights)</f>
        <v>1</v>
      </c>
    </row>
    <row r="5" spans="1:11">
      <c r="A5" s="7" t="s">
        <v>61</v>
      </c>
      <c r="B5" s="7">
        <f>AVERAGE(AA)</f>
        <v>-4.3863368208066605E-2</v>
      </c>
      <c r="C5" s="7">
        <f>AVERAGE(AAPL)</f>
        <v>1.1591216187144033E-2</v>
      </c>
      <c r="D5" s="7">
        <f>AVERAGE(AXP)</f>
        <v>-2.132557629485168E-2</v>
      </c>
      <c r="E5" s="7">
        <f>AVERAGE(BA)</f>
        <v>-2.7155969966446831E-2</v>
      </c>
      <c r="F5" s="7">
        <f>AVERAGE(CAT)</f>
        <v>-2.0265564512491365E-2</v>
      </c>
      <c r="G5" s="7">
        <f>AVERAGE(CSCO)</f>
        <v>-1.2718542305151972E-2</v>
      </c>
      <c r="H5" s="7">
        <f>AVERAGE(DD)</f>
        <v>-1.8374192493332248E-2</v>
      </c>
      <c r="I5" s="7">
        <f>AVERAGE(DIS)</f>
        <v>-1.2476288579524755E-2</v>
      </c>
      <c r="J5" s="7">
        <f>AVERAGE(EK)</f>
        <v>-7.9351058680167494E-2</v>
      </c>
    </row>
    <row r="7" spans="1:11">
      <c r="A7" s="7" t="s">
        <v>67</v>
      </c>
      <c r="B7" s="7" t="s">
        <v>3</v>
      </c>
      <c r="C7" s="7" t="s">
        <v>51</v>
      </c>
      <c r="D7" s="7" t="s">
        <v>4</v>
      </c>
      <c r="E7" s="7" t="s">
        <v>6</v>
      </c>
      <c r="F7" s="7" t="s">
        <v>8</v>
      </c>
      <c r="G7" s="7" t="s">
        <v>49</v>
      </c>
      <c r="H7" s="7" t="s">
        <v>10</v>
      </c>
      <c r="I7" s="7" t="s">
        <v>53</v>
      </c>
      <c r="J7" s="7" t="s">
        <v>11</v>
      </c>
    </row>
    <row r="8" spans="1:11">
      <c r="A8" s="7" t="s">
        <v>3</v>
      </c>
      <c r="B8" s="7">
        <f>COVAR(AA,AA)</f>
        <v>2.4815755857691E-2</v>
      </c>
      <c r="C8" s="7">
        <f>COVAR(AA,AAPL)</f>
        <v>1.0330621430529111E-2</v>
      </c>
      <c r="D8" s="7">
        <f>COVAR(AA,AXP)</f>
        <v>1.7826925028388278E-2</v>
      </c>
      <c r="E8" s="7">
        <f>COVAR(AA,BA)</f>
        <v>8.1314173634586158E-3</v>
      </c>
      <c r="F8" s="7">
        <f>COVAR(AA,CAT)</f>
        <v>1.8482079549240912E-2</v>
      </c>
      <c r="G8" s="7">
        <f>COVAR(AA,CSCO)</f>
        <v>1.006219255561207E-2</v>
      </c>
      <c r="H8" s="7">
        <f>COVAR(AA,DD)</f>
        <v>1.2093793827955036E-2</v>
      </c>
      <c r="I8" s="7">
        <f>COVAR(AA,DIS)</f>
        <v>1.0409858755751089E-2</v>
      </c>
      <c r="J8" s="7">
        <f>COVAR(AA,EK)</f>
        <v>1.0391585150902717E-2</v>
      </c>
    </row>
    <row r="9" spans="1:11">
      <c r="A9" s="7" t="s">
        <v>51</v>
      </c>
      <c r="B9" s="7">
        <f>COVAR(AAPL,AA)</f>
        <v>1.0330621430529111E-2</v>
      </c>
      <c r="C9" s="7">
        <f>COVAR(AAPL,AAPL)</f>
        <v>2.0592312521347713E-2</v>
      </c>
      <c r="D9" s="7">
        <f>COVAR(AAPL,AXP)</f>
        <v>1.4882032860502969E-2</v>
      </c>
      <c r="E9" s="7">
        <f>COVAR(AAPL,BA)</f>
        <v>7.5704997535439612E-3</v>
      </c>
      <c r="F9" s="7">
        <f>COVAR(AAPL,CAT)</f>
        <v>6.7753307664769865E-3</v>
      </c>
      <c r="G9" s="7">
        <f>COVAR(AAPL,CSCO)</f>
        <v>7.7186857324502657E-3</v>
      </c>
      <c r="H9" s="7">
        <f>COVAR(AAPL,DD)</f>
        <v>6.7414747748760885E-3</v>
      </c>
      <c r="I9" s="7">
        <f>COVAR(AAPL,DIS)</f>
        <v>5.5954020128518474E-3</v>
      </c>
      <c r="J9" s="7">
        <f>COVAR(AAPL,EK)</f>
        <v>6.0973055153318752E-3</v>
      </c>
    </row>
    <row r="10" spans="1:11">
      <c r="A10" s="7" t="s">
        <v>4</v>
      </c>
      <c r="B10" s="7">
        <f>COVAR(AXP,AA)</f>
        <v>1.7826925028388278E-2</v>
      </c>
      <c r="C10" s="7">
        <f>COVAR(AXP,AAPL)</f>
        <v>1.4882032860502969E-2</v>
      </c>
      <c r="D10" s="7">
        <f>COVAR(AXP,AXP)</f>
        <v>4.5002817500722318E-2</v>
      </c>
      <c r="E10" s="7">
        <f>COVAR(AXP,BA)</f>
        <v>1.2757348239268411E-2</v>
      </c>
      <c r="F10" s="7">
        <f>COVAR(AXP,CAT)</f>
        <v>1.8138850903055566E-2</v>
      </c>
      <c r="G10" s="7">
        <f>COVAR(AXP,CSCO)</f>
        <v>1.159236108700732E-2</v>
      </c>
      <c r="H10" s="7">
        <f>COVAR(AXP,DD)</f>
        <v>1.6952522338498473E-2</v>
      </c>
      <c r="I10" s="7">
        <f>COVAR(AXP,DIS)</f>
        <v>1.3178789282902892E-2</v>
      </c>
      <c r="J10" s="7">
        <f>COVAR(AXP,EK)</f>
        <v>5.7975921171611903E-3</v>
      </c>
    </row>
    <row r="11" spans="1:11">
      <c r="A11" s="7" t="s">
        <v>6</v>
      </c>
      <c r="B11" s="7">
        <f>COVAR(BA,AA)</f>
        <v>8.1314173634586158E-3</v>
      </c>
      <c r="C11" s="7">
        <f>COVAR(BA,AAPL)</f>
        <v>7.5704997535439612E-3</v>
      </c>
      <c r="D11" s="7">
        <f>COVAR(BA,AXP)</f>
        <v>1.2757348239268411E-2</v>
      </c>
      <c r="E11" s="7">
        <f>COVAR(BA,BA)</f>
        <v>1.0675547942130692E-2</v>
      </c>
      <c r="F11" s="7">
        <f>COVAR(BA,CAT)</f>
        <v>7.0157449867607321E-3</v>
      </c>
      <c r="G11" s="7">
        <f>COVAR(BA,CSCO)</f>
        <v>5.4807729671990527E-3</v>
      </c>
      <c r="H11" s="7">
        <f>COVAR(BA,DD)</f>
        <v>7.4228509839380646E-3</v>
      </c>
      <c r="I11" s="7">
        <f>COVAR(BA,DIS)</f>
        <v>6.7292614174959686E-3</v>
      </c>
      <c r="J11" s="7">
        <f>COVAR(BA,EK)</f>
        <v>4.1301003969970987E-3</v>
      </c>
    </row>
    <row r="12" spans="1:11">
      <c r="A12" s="7" t="s">
        <v>8</v>
      </c>
      <c r="B12" s="7">
        <f>COVAR(CAT,AA)</f>
        <v>1.8482079549240912E-2</v>
      </c>
      <c r="C12" s="7">
        <f>COVAR(CAT,AAPL)</f>
        <v>6.7753307664769865E-3</v>
      </c>
      <c r="D12" s="7">
        <f>COVAR(CAT,AXP)</f>
        <v>1.8138850903055566E-2</v>
      </c>
      <c r="E12" s="7">
        <f>COVAR(CAT,BA)</f>
        <v>7.0157449867607321E-3</v>
      </c>
      <c r="F12" s="7">
        <f>COVAR(CAT,CAT)</f>
        <v>1.7393565499518631E-2</v>
      </c>
      <c r="G12" s="7">
        <f>COVAR(CAT,CSCO)</f>
        <v>7.9825534870743443E-3</v>
      </c>
      <c r="H12" s="7">
        <f>COVAR(CAT,DD)</f>
        <v>9.8696073972353374E-3</v>
      </c>
      <c r="I12" s="7">
        <f>COVAR(CAT,DIS)</f>
        <v>8.2873167015694877E-3</v>
      </c>
      <c r="J12" s="7">
        <f>COVAR(CAT,EK)</f>
        <v>8.8446990723071803E-3</v>
      </c>
    </row>
    <row r="13" spans="1:11">
      <c r="A13" s="7" t="s">
        <v>49</v>
      </c>
      <c r="B13" s="7">
        <f>COVAR(CSCO,AA)</f>
        <v>1.006219255561207E-2</v>
      </c>
      <c r="C13" s="7">
        <f>COVAR(CSCO,AAPL)</f>
        <v>7.7186857324502657E-3</v>
      </c>
      <c r="D13" s="7">
        <f>COVAR(CSCO,AXP)</f>
        <v>1.159236108700732E-2</v>
      </c>
      <c r="E13" s="7">
        <f>COVAR(CSCO,BA)</f>
        <v>5.4807729671990527E-3</v>
      </c>
      <c r="F13" s="7">
        <f>COVAR(CSCO,CAT)</f>
        <v>7.9825534870743443E-3</v>
      </c>
      <c r="G13" s="7">
        <f>COVAR(CSCO,CSCO)</f>
        <v>7.9800183843551312E-3</v>
      </c>
      <c r="H13" s="7">
        <f>COVAR(CSCO,DD)</f>
        <v>6.8729991455619465E-3</v>
      </c>
      <c r="I13" s="7">
        <f>COVAR(CSCO,DIS)</f>
        <v>5.3025816987878381E-3</v>
      </c>
      <c r="J13" s="7">
        <f>COVAR(CSCO,EK)</f>
        <v>7.4100360412820724E-3</v>
      </c>
    </row>
    <row r="14" spans="1:11">
      <c r="A14" s="7" t="s">
        <v>10</v>
      </c>
      <c r="B14" s="7">
        <f>COVAR(DD,AA)</f>
        <v>1.2093793827955036E-2</v>
      </c>
      <c r="C14" s="7">
        <f>COVAR(DD,AAPL)</f>
        <v>6.7414747748760885E-3</v>
      </c>
      <c r="D14" s="7">
        <f>COVAR(DD,AXP)</f>
        <v>1.6952522338498473E-2</v>
      </c>
      <c r="E14" s="7">
        <f>COVAR(DD,BA)</f>
        <v>7.4228509839380646E-3</v>
      </c>
      <c r="F14" s="7">
        <f>COVAR(DD,CAT)</f>
        <v>9.8696073972353374E-3</v>
      </c>
      <c r="G14" s="7">
        <f>COVAR(DD,CSCO)</f>
        <v>6.8729991455619465E-3</v>
      </c>
      <c r="H14" s="7">
        <f>COVAR(DD,DD)</f>
        <v>1.0540795882134876E-2</v>
      </c>
      <c r="I14" s="7">
        <f>COVAR(DD,DIS)</f>
        <v>7.6246678540187003E-3</v>
      </c>
      <c r="J14" s="7">
        <f>COVAR(DD,EK)</f>
        <v>7.4678015591831048E-3</v>
      </c>
    </row>
    <row r="15" spans="1:11">
      <c r="A15" s="7" t="s">
        <v>53</v>
      </c>
      <c r="B15" s="7">
        <f>COVAR(DIS,AA)</f>
        <v>1.0409858755751089E-2</v>
      </c>
      <c r="C15" s="7">
        <f>COVAR(DIS,AAPL)</f>
        <v>5.5954020128518474E-3</v>
      </c>
      <c r="D15" s="7">
        <f>COVAR(DIS,AXP)</f>
        <v>1.3178789282902892E-2</v>
      </c>
      <c r="E15" s="7">
        <f>COVAR(DIS,BA)</f>
        <v>6.7292614174959686E-3</v>
      </c>
      <c r="F15" s="7">
        <f>COVAR(DIS,CAT)</f>
        <v>8.2873167015694877E-3</v>
      </c>
      <c r="G15" s="7">
        <f>COVAR(DIS,CSCO)</f>
        <v>5.3025816987878381E-3</v>
      </c>
      <c r="H15" s="7">
        <f>COVAR(DIS,DD)</f>
        <v>7.6246678540187003E-3</v>
      </c>
      <c r="I15" s="7">
        <f>COVAR(DIS,DIS)</f>
        <v>7.104690285386908E-3</v>
      </c>
      <c r="J15" s="7">
        <f>COVAR(DIS,EK)</f>
        <v>4.7593530725353562E-3</v>
      </c>
    </row>
    <row r="16" spans="1:11">
      <c r="A16" s="7" t="s">
        <v>11</v>
      </c>
      <c r="B16" s="7">
        <f>COVAR(EK,AA)</f>
        <v>1.0391585150902717E-2</v>
      </c>
      <c r="C16" s="7">
        <f>COVAR(EK,AAPL)</f>
        <v>6.0973055153318752E-3</v>
      </c>
      <c r="D16" s="7">
        <f>COVAR(EK,AXP)</f>
        <v>5.7975921171611903E-3</v>
      </c>
      <c r="E16" s="7">
        <f>COVAR(EK,BA)</f>
        <v>4.1301003969970987E-3</v>
      </c>
      <c r="F16" s="7">
        <f>COVAR(EK,CAT)</f>
        <v>8.8446990723071803E-3</v>
      </c>
      <c r="G16" s="7">
        <f>COVAR(EK,CSCO)</f>
        <v>7.4100360412820724E-3</v>
      </c>
      <c r="H16" s="7">
        <f>COVAR(EK,DD)</f>
        <v>7.4678015591831048E-3</v>
      </c>
      <c r="I16" s="7">
        <f>COVAR(EK,DIS)</f>
        <v>4.7593530725353562E-3</v>
      </c>
      <c r="J16" s="7">
        <f>COVAR(EK,EK)</f>
        <v>1.9825731399654122E-2</v>
      </c>
    </row>
    <row r="18" spans="1:4">
      <c r="A18" s="7" t="s">
        <v>68</v>
      </c>
    </row>
    <row r="19" spans="1:4">
      <c r="B19" s="7">
        <f>SUMPRODUCT(Weights,Means)</f>
        <v>1.1591216187144033E-2</v>
      </c>
      <c r="C19" s="7" t="s">
        <v>69</v>
      </c>
      <c r="D19" s="7">
        <v>1.1591216549277306E-2</v>
      </c>
    </row>
    <row r="21" spans="1:4">
      <c r="A21" s="7" t="s">
        <v>70</v>
      </c>
    </row>
    <row r="22" spans="1:4">
      <c r="B22" s="7">
        <f t="array" ref="B22">MMULT(Weights,MMULT(Covar,TRANSPOSE(Weights)))</f>
        <v>2.0592312521347713E-2</v>
      </c>
    </row>
    <row r="24" spans="1:4">
      <c r="A24" s="7" t="s">
        <v>71</v>
      </c>
    </row>
    <row r="25" spans="1:4">
      <c r="B25" s="7">
        <f>SQRT(PortfolioVariance)</f>
        <v>0.14350021784425177</v>
      </c>
      <c r="D25" s="15"/>
    </row>
  </sheetData>
  <phoneticPr fontId="0" type="noConversion"/>
  <printOptions headings="1" gridLines="1"/>
  <pageMargins left="0.75" right="0.75" top="1" bottom="1" header="0.5" footer="0.5"/>
  <pageSetup scale="48" orientation="portrait" horizontalDpi="1200" verticalDpi="1200" r:id="rId1"/>
  <headerFooter alignWithMargins="0"/>
</worksheet>
</file>

<file path=xl/worksheets/sheet8.xml><?xml version="1.0" encoding="utf-8"?>
<worksheet xmlns="http://schemas.openxmlformats.org/spreadsheetml/2006/main" xmlns:r="http://schemas.openxmlformats.org/officeDocument/2006/relationships">
  <sheetPr codeName="Sheet7">
    <pageSetUpPr fitToPage="1"/>
  </sheetPr>
  <dimension ref="A1:M14"/>
  <sheetViews>
    <sheetView workbookViewId="0">
      <selection activeCell="A2" sqref="A2"/>
    </sheetView>
  </sheetViews>
  <sheetFormatPr defaultRowHeight="15"/>
  <cols>
    <col min="1" max="14" width="9.140625" style="7"/>
    <col min="15" max="20" width="9.140625" style="7" customWidth="1"/>
    <col min="21" max="16384" width="9.140625" style="7"/>
  </cols>
  <sheetData>
    <row r="1" spans="1:13">
      <c r="A1" s="6" t="s">
        <v>72</v>
      </c>
    </row>
    <row r="2" spans="1:13">
      <c r="E2" s="7" t="s">
        <v>75</v>
      </c>
    </row>
    <row r="3" spans="1:13">
      <c r="B3" s="7" t="s">
        <v>73</v>
      </c>
      <c r="C3" s="7" t="s">
        <v>74</v>
      </c>
      <c r="E3" s="7" t="s">
        <v>3</v>
      </c>
      <c r="F3" s="7" t="s">
        <v>51</v>
      </c>
      <c r="G3" s="7" t="s">
        <v>4</v>
      </c>
      <c r="H3" s="7" t="s">
        <v>6</v>
      </c>
      <c r="I3" s="7" t="s">
        <v>8</v>
      </c>
      <c r="J3" s="7" t="s">
        <v>49</v>
      </c>
      <c r="K3" s="7" t="s">
        <v>10</v>
      </c>
      <c r="L3" s="7" t="s">
        <v>53</v>
      </c>
      <c r="M3" s="7" t="s">
        <v>11</v>
      </c>
    </row>
    <row r="4" spans="1:13" s="15" customFormat="1">
      <c r="A4" s="7"/>
      <c r="B4" s="15">
        <v>7.9672781397240544E-2</v>
      </c>
      <c r="C4" s="15">
        <v>-7.9351060092449188E-2</v>
      </c>
      <c r="D4" s="7"/>
      <c r="E4" s="15">
        <v>0</v>
      </c>
      <c r="F4" s="15">
        <v>0</v>
      </c>
      <c r="G4" s="15">
        <v>0</v>
      </c>
      <c r="H4" s="15">
        <v>4.4490415893282127E-2</v>
      </c>
      <c r="I4" s="15">
        <v>0</v>
      </c>
      <c r="J4" s="15">
        <v>0.35165260076150828</v>
      </c>
      <c r="K4" s="15">
        <v>0</v>
      </c>
      <c r="L4" s="15">
        <v>0.55843962014996196</v>
      </c>
      <c r="M4" s="15">
        <v>4.5417363195247695E-2</v>
      </c>
    </row>
    <row r="5" spans="1:13" s="15" customFormat="1">
      <c r="A5" s="7"/>
      <c r="B5" s="15">
        <v>7.967278139724053E-2</v>
      </c>
      <c r="C5" s="15">
        <v>-7.0256829261779785E-2</v>
      </c>
      <c r="D5" s="7"/>
      <c r="E5" s="15">
        <v>0</v>
      </c>
      <c r="F5" s="15">
        <v>0</v>
      </c>
      <c r="G5" s="15">
        <v>0</v>
      </c>
      <c r="H5" s="15">
        <v>4.4490415893282106E-2</v>
      </c>
      <c r="I5" s="15">
        <v>0</v>
      </c>
      <c r="J5" s="15">
        <v>0.35165260076150823</v>
      </c>
      <c r="K5" s="15">
        <v>0</v>
      </c>
      <c r="L5" s="15">
        <v>0.55843962014996196</v>
      </c>
      <c r="M5" s="15">
        <v>4.5417363195247702E-2</v>
      </c>
    </row>
    <row r="6" spans="1:13" s="15" customFormat="1">
      <c r="A6" s="7"/>
      <c r="B6" s="15">
        <v>7.967278139724053E-2</v>
      </c>
      <c r="C6" s="15">
        <v>-6.1162605881690979E-2</v>
      </c>
      <c r="D6" s="7"/>
      <c r="E6" s="15">
        <v>0</v>
      </c>
      <c r="F6" s="15">
        <v>0</v>
      </c>
      <c r="G6" s="15">
        <v>0</v>
      </c>
      <c r="H6" s="15">
        <v>4.4490415893282224E-2</v>
      </c>
      <c r="I6" s="15">
        <v>0</v>
      </c>
      <c r="J6" s="15">
        <v>0.35165260076150828</v>
      </c>
      <c r="K6" s="15">
        <v>0</v>
      </c>
      <c r="L6" s="15">
        <v>0.55843962014996185</v>
      </c>
      <c r="M6" s="15">
        <v>4.5417363195247626E-2</v>
      </c>
    </row>
    <row r="7" spans="1:13" s="15" customFormat="1">
      <c r="A7" s="7"/>
      <c r="B7" s="15">
        <v>7.967278139724053E-2</v>
      </c>
      <c r="C7" s="15">
        <v>-5.2068378776311874E-2</v>
      </c>
      <c r="D7" s="7"/>
      <c r="E7" s="15">
        <v>0</v>
      </c>
      <c r="F7" s="15">
        <v>0</v>
      </c>
      <c r="G7" s="15">
        <v>0</v>
      </c>
      <c r="H7" s="15">
        <v>4.4490415893282169E-2</v>
      </c>
      <c r="I7" s="15">
        <v>0</v>
      </c>
      <c r="J7" s="15">
        <v>0.35165260076150828</v>
      </c>
      <c r="K7" s="15">
        <v>0</v>
      </c>
      <c r="L7" s="15">
        <v>0.55843962014996185</v>
      </c>
      <c r="M7" s="15">
        <v>4.5417363195247668E-2</v>
      </c>
    </row>
    <row r="8" spans="1:13" s="15" customFormat="1">
      <c r="A8" s="7"/>
      <c r="B8" s="15">
        <v>7.967278139724053E-2</v>
      </c>
      <c r="C8" s="15">
        <v>-4.2974147945642471E-2</v>
      </c>
      <c r="D8" s="7"/>
      <c r="E8" s="15">
        <v>0</v>
      </c>
      <c r="F8" s="15">
        <v>0</v>
      </c>
      <c r="G8" s="15">
        <v>0</v>
      </c>
      <c r="H8" s="15">
        <v>4.4490415893282106E-2</v>
      </c>
      <c r="I8" s="15">
        <v>0</v>
      </c>
      <c r="J8" s="15">
        <v>0.35165260076150812</v>
      </c>
      <c r="K8" s="15">
        <v>0</v>
      </c>
      <c r="L8" s="15">
        <v>0.55843962014996196</v>
      </c>
      <c r="M8" s="15">
        <v>4.5417363195247737E-2</v>
      </c>
    </row>
    <row r="9" spans="1:13" s="15" customFormat="1">
      <c r="A9" s="7"/>
      <c r="B9" s="15">
        <v>7.9672781397240544E-2</v>
      </c>
      <c r="C9" s="15">
        <v>-3.3879920840263367E-2</v>
      </c>
      <c r="D9" s="7"/>
      <c r="E9" s="15">
        <v>0</v>
      </c>
      <c r="F9" s="15">
        <v>0</v>
      </c>
      <c r="G9" s="15">
        <v>0</v>
      </c>
      <c r="H9" s="15">
        <v>4.4490415893282106E-2</v>
      </c>
      <c r="I9" s="15">
        <v>0</v>
      </c>
      <c r="J9" s="15">
        <v>0.35165260076150839</v>
      </c>
      <c r="K9" s="15">
        <v>0</v>
      </c>
      <c r="L9" s="15">
        <v>0.55843962014996196</v>
      </c>
      <c r="M9" s="15">
        <v>4.5417363195247612E-2</v>
      </c>
    </row>
    <row r="10" spans="1:13" s="15" customFormat="1">
      <c r="A10" s="7"/>
      <c r="B10" s="15">
        <v>7.9672781397240544E-2</v>
      </c>
      <c r="C10" s="15">
        <v>-2.4785693734884262E-2</v>
      </c>
      <c r="D10" s="7"/>
      <c r="E10" s="15">
        <v>0</v>
      </c>
      <c r="F10" s="15">
        <v>0</v>
      </c>
      <c r="G10" s="15">
        <v>0</v>
      </c>
      <c r="H10" s="15">
        <v>4.4490415893282106E-2</v>
      </c>
      <c r="I10" s="15">
        <v>0</v>
      </c>
      <c r="J10" s="15">
        <v>0.35165260076150817</v>
      </c>
      <c r="K10" s="15">
        <v>0</v>
      </c>
      <c r="L10" s="15">
        <v>0.55843962014996207</v>
      </c>
      <c r="M10" s="15">
        <v>4.541736319524773E-2</v>
      </c>
    </row>
    <row r="11" spans="1:13" s="15" customFormat="1">
      <c r="A11" s="7"/>
      <c r="B11" s="15">
        <v>7.9677409656519996E-2</v>
      </c>
      <c r="C11" s="15">
        <v>-1.5691466629505157E-2</v>
      </c>
      <c r="D11" s="7"/>
      <c r="E11" s="15">
        <v>0</v>
      </c>
      <c r="F11" s="15">
        <v>0</v>
      </c>
      <c r="G11" s="15">
        <v>0</v>
      </c>
      <c r="H11" s="15">
        <v>3.861182941505592E-2</v>
      </c>
      <c r="I11" s="15">
        <v>0</v>
      </c>
      <c r="J11" s="15">
        <v>0.35938276124596397</v>
      </c>
      <c r="K11" s="15">
        <v>0</v>
      </c>
      <c r="L11" s="15">
        <v>0.56370536165719309</v>
      </c>
      <c r="M11" s="15">
        <v>3.830004768178704E-2</v>
      </c>
    </row>
    <row r="12" spans="1:13" s="15" customFormat="1">
      <c r="A12" s="7"/>
      <c r="B12" s="15">
        <v>8.4885649503535304E-2</v>
      </c>
      <c r="C12" s="15">
        <v>-6.5972385928034782E-3</v>
      </c>
      <c r="D12" s="7"/>
      <c r="E12" s="15">
        <v>0</v>
      </c>
      <c r="F12" s="15">
        <v>0.24607854220169545</v>
      </c>
      <c r="G12" s="15">
        <v>0</v>
      </c>
      <c r="H12" s="15">
        <v>0</v>
      </c>
      <c r="I12" s="15">
        <v>0</v>
      </c>
      <c r="J12" s="15">
        <v>0.1793429619315357</v>
      </c>
      <c r="K12" s="15">
        <v>0</v>
      </c>
      <c r="L12" s="15">
        <v>0.5745784958667689</v>
      </c>
      <c r="M12" s="15">
        <v>0</v>
      </c>
    </row>
    <row r="13" spans="1:13" s="15" customFormat="1">
      <c r="A13" s="7"/>
      <c r="B13" s="15">
        <v>0.10777529491615051</v>
      </c>
      <c r="C13" s="15">
        <v>2.4969889782369137E-3</v>
      </c>
      <c r="D13" s="7"/>
      <c r="E13" s="15">
        <v>0</v>
      </c>
      <c r="F13" s="15">
        <v>0.62213668192550819</v>
      </c>
      <c r="G13" s="15">
        <v>0</v>
      </c>
      <c r="H13" s="15">
        <v>0</v>
      </c>
      <c r="I13" s="15">
        <v>0</v>
      </c>
      <c r="J13" s="15">
        <v>0</v>
      </c>
      <c r="K13" s="15">
        <v>0</v>
      </c>
      <c r="L13" s="15">
        <v>0.37786331807449181</v>
      </c>
      <c r="M13" s="15">
        <v>0</v>
      </c>
    </row>
    <row r="14" spans="1:13" s="15" customFormat="1">
      <c r="A14" s="7"/>
      <c r="B14" s="15">
        <v>0.14350021784425177</v>
      </c>
      <c r="C14" s="15">
        <v>1.1591216549277306E-2</v>
      </c>
      <c r="D14" s="7"/>
      <c r="E14" s="15">
        <v>0</v>
      </c>
      <c r="F14" s="15">
        <v>1</v>
      </c>
      <c r="G14" s="15">
        <v>0</v>
      </c>
      <c r="H14" s="15">
        <v>0</v>
      </c>
      <c r="I14" s="15">
        <v>0</v>
      </c>
      <c r="J14" s="15">
        <v>0</v>
      </c>
      <c r="K14" s="15">
        <v>0</v>
      </c>
      <c r="L14" s="15">
        <v>0</v>
      </c>
      <c r="M14" s="15">
        <v>0</v>
      </c>
    </row>
  </sheetData>
  <phoneticPr fontId="0" type="noConversion"/>
  <printOptions headings="1" gridLines="1"/>
  <pageMargins left="0.75" right="0.75" top="1" bottom="1" header="0.5" footer="0.5"/>
  <pageSetup scale="43" orientation="portrait" horizontalDpi="1200" verticalDpi="12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48</vt:i4>
      </vt:variant>
    </vt:vector>
  </HeadingPairs>
  <TitlesOfParts>
    <vt:vector size="56" baseType="lpstr">
      <vt:lpstr>Explanation</vt:lpstr>
      <vt:lpstr>Stocks</vt:lpstr>
      <vt:lpstr>ClosingPricesFixed</vt:lpstr>
      <vt:lpstr>ClosingPrices</vt:lpstr>
      <vt:lpstr>Returns</vt:lpstr>
      <vt:lpstr>SummaryMeasures</vt:lpstr>
      <vt:lpstr>Model</vt:lpstr>
      <vt:lpstr>EfficientFrontier</vt:lpstr>
      <vt:lpstr>AA</vt:lpstr>
      <vt:lpstr>AABB</vt:lpstr>
      <vt:lpstr>AAPL</vt:lpstr>
      <vt:lpstr>AXP</vt:lpstr>
      <vt:lpstr>BA</vt:lpstr>
      <vt:lpstr>CAT</vt:lpstr>
      <vt:lpstr>Covar</vt:lpstr>
      <vt:lpstr>CSCO</vt:lpstr>
      <vt:lpstr>DD</vt:lpstr>
      <vt:lpstr>DIS</vt:lpstr>
      <vt:lpstr>EK</vt:lpstr>
      <vt:lpstr>FDX</vt:lpstr>
      <vt:lpstr>GE</vt:lpstr>
      <vt:lpstr>GM</vt:lpstr>
      <vt:lpstr>GT</vt:lpstr>
      <vt:lpstr>HP</vt:lpstr>
      <vt:lpstr>IBM</vt:lpstr>
      <vt:lpstr>IP</vt:lpstr>
      <vt:lpstr>JNJ</vt:lpstr>
      <vt:lpstr>JPM</vt:lpstr>
      <vt:lpstr>KO</vt:lpstr>
      <vt:lpstr>MCD</vt:lpstr>
      <vt:lpstr>MeanReturn</vt:lpstr>
      <vt:lpstr>Means</vt:lpstr>
      <vt:lpstr>MMM</vt:lpstr>
      <vt:lpstr>MO</vt:lpstr>
      <vt:lpstr>MRK</vt:lpstr>
      <vt:lpstr>MSFT</vt:lpstr>
      <vt:lpstr>PG</vt:lpstr>
      <vt:lpstr>PortfolioStdev</vt:lpstr>
      <vt:lpstr>PortfolioVariance</vt:lpstr>
      <vt:lpstr>PortStdev</vt:lpstr>
      <vt:lpstr>PortVar</vt:lpstr>
      <vt:lpstr>ClosingPrices!Print_Area</vt:lpstr>
      <vt:lpstr>EfficientFrontier!Print_Area</vt:lpstr>
      <vt:lpstr>Explanation!Print_Area</vt:lpstr>
      <vt:lpstr>Model!Print_Area</vt:lpstr>
      <vt:lpstr>Returns!Print_Area</vt:lpstr>
      <vt:lpstr>Stocks!Print_Area</vt:lpstr>
      <vt:lpstr>SummaryMeasures!Print_Area</vt:lpstr>
      <vt:lpstr>RequiredReturn</vt:lpstr>
      <vt:lpstr>Stocks</vt:lpstr>
      <vt:lpstr>SumWeights</vt:lpstr>
      <vt:lpstr>SumWts</vt:lpstr>
      <vt:lpstr>T</vt:lpstr>
      <vt:lpstr>UTX</vt:lpstr>
      <vt:lpstr>Weights</vt:lpstr>
      <vt:lpstr>WMT</vt:lpstr>
    </vt:vector>
  </TitlesOfParts>
  <Company>Kelley School of Business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 Chris Albright</cp:lastModifiedBy>
  <cp:lastPrinted>2009-05-08T19:27:32Z</cp:lastPrinted>
  <dcterms:created xsi:type="dcterms:W3CDTF">1999-12-01T18:33:58Z</dcterms:created>
  <dcterms:modified xsi:type="dcterms:W3CDTF">2009-05-18T00:15:12Z</dcterms:modified>
</cp:coreProperties>
</file>