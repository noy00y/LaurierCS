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20" yWindow="120" windowWidth="9360" windowHeight="4695"/>
  </bookViews>
  <sheets>
    <sheet name="Explanation" sheetId="1" r:id="rId1"/>
    <sheet name="Model" sheetId="2" state="hidden" r:id="rId2"/>
    <sheet name="Report" sheetId="3" r:id="rId3"/>
    <sheet name="Interesting" sheetId="6" state="hidden" r:id="rId4"/>
    <sheet name="Module1" sheetId="4" state="veryHidden" r:id=""/>
  </sheets>
  <definedNames>
    <definedName name="Budget" localSheetId="3">Interesting!$D$12</definedName>
    <definedName name="Budget">Model!$D$11</definedName>
    <definedName name="coin_cuttype" localSheetId="1" hidden="1">1</definedName>
    <definedName name="coin_dualtol" localSheetId="1" hidden="1">0.0000001</definedName>
    <definedName name="coin_heurs" localSheetId="1" hidden="1">1</definedName>
    <definedName name="coin_integerpresolve" localSheetId="1" hidden="1">1</definedName>
    <definedName name="coin_presolve1" localSheetId="1" hidden="1">1</definedName>
    <definedName name="coin_primaltol" localSheetId="1" hidden="1">0.0000001</definedName>
    <definedName name="Cost" localSheetId="3">Interesting!$B$8:$AE$8</definedName>
    <definedName name="InvCost">Model!$B$7:$AE$7</definedName>
    <definedName name="InvestHeur">Report!$C$10</definedName>
    <definedName name="InvestOpt">Report!$C$4</definedName>
    <definedName name="InvLevel">Model!$B$5:$AE$5</definedName>
    <definedName name="LeftoverHeur">Report!$C$11</definedName>
    <definedName name="LeftoverOpt">Report!$C$5</definedName>
    <definedName name="Level" localSheetId="3">Interesting!$B$5:$AE$5</definedName>
    <definedName name="NPV" localSheetId="3">Interesting!$B$7:$AE$7</definedName>
    <definedName name="NPV">Model!$B$6:$AE$6</definedName>
    <definedName name="_xlnm.Print_Area" localSheetId="1">Model!$A$1:$G$18</definedName>
    <definedName name="_xlnm.Print_Area" localSheetId="2">Report!$A$1:$F$18</definedName>
    <definedName name="solver_adj" localSheetId="3" hidden="1">Interesting!$B$5:$AE$5</definedName>
    <definedName name="solver_adj" localSheetId="1" hidden="1">Model!$B$5:$AE$5</definedName>
    <definedName name="solver_adj_ob" localSheetId="1" hidden="1">0</definedName>
    <definedName name="solver_cha" localSheetId="1" hidden="1">0</definedName>
    <definedName name="solver_chc1" localSheetId="1" hidden="1">0</definedName>
    <definedName name="solver_chc2" localSheetId="1" hidden="1">0</definedName>
    <definedName name="solver_chc3" localSheetId="1" hidden="1">0</definedName>
    <definedName name="solver_chn" localSheetId="1" hidden="1">4</definedName>
    <definedName name="solver_chp1" localSheetId="1" hidden="1">0</definedName>
    <definedName name="solver_chp2" localSheetId="1" hidden="1">0</definedName>
    <definedName name="solver_chp3" localSheetId="1" hidden="1">0</definedName>
    <definedName name="solver_cht" localSheetId="1" hidden="1">0</definedName>
    <definedName name="solver_cir1" localSheetId="1" hidden="1">1</definedName>
    <definedName name="solver_cir2" localSheetId="1" hidden="1">1</definedName>
    <definedName name="solver_cir3" localSheetId="1" hidden="1">1</definedName>
    <definedName name="solver_con" localSheetId="1" hidden="1">" "</definedName>
    <definedName name="solver_con1" localSheetId="1" hidden="1">" "</definedName>
    <definedName name="solver_con2" localSheetId="1" hidden="1">" "</definedName>
    <definedName name="solver_con3" localSheetId="1" hidden="1">" "</definedName>
    <definedName name="solver_cvg" localSheetId="3" hidden="1">0.001</definedName>
    <definedName name="solver_cvg" localSheetId="1" hidden="1">0.0001</definedName>
    <definedName name="solver_dia" localSheetId="1" hidden="1">5</definedName>
    <definedName name="solver_drv" localSheetId="3" hidden="1">1</definedName>
    <definedName name="solver_drv" localSheetId="1" hidden="1">1</definedName>
    <definedName name="solver_eng" localSheetId="1" hidden="1">2</definedName>
    <definedName name="solver_est" localSheetId="3" hidden="1">1</definedName>
    <definedName name="solver_est" localSheetId="1" hidden="1">1</definedName>
    <definedName name="solver_iao" localSheetId="1" hidden="1">0</definedName>
    <definedName name="solver_ibd" localSheetId="1" hidden="1">2</definedName>
    <definedName name="solver_int" localSheetId="1" hidden="1">0</definedName>
    <definedName name="solver_irs" localSheetId="1" hidden="1">0</definedName>
    <definedName name="solver_ism" localSheetId="1" hidden="1">0</definedName>
    <definedName name="solver_itr" localSheetId="3" hidden="1">100</definedName>
    <definedName name="solver_itr" localSheetId="1" hidden="1">100</definedName>
    <definedName name="solver_kiv" localSheetId="1" hidden="1">2E+30</definedName>
    <definedName name="solver_lhs_ob1" localSheetId="1" hidden="1">0</definedName>
    <definedName name="solver_lhs_ob2" localSheetId="1" hidden="1">0</definedName>
    <definedName name="solver_lhs_ob3" localSheetId="1" hidden="1">0</definedName>
    <definedName name="solver_lhs1" localSheetId="3" hidden="1">Interesting!$B$12</definedName>
    <definedName name="solver_lhs1" localSheetId="1" hidden="1">TotCost</definedName>
    <definedName name="solver_lhs2" localSheetId="3" hidden="1">Interesting!$B$5:$AE$5</definedName>
    <definedName name="solver_lhs2" localSheetId="1" hidden="1">InvLevel</definedName>
    <definedName name="solver_lhs3" localSheetId="3" hidden="1">Interesting!$B$12</definedName>
    <definedName name="solver_lhs3" localSheetId="1" hidden="1">InvLevel</definedName>
    <definedName name="solver_lhs4" localSheetId="3" hidden="1">Interesting!$B$5:$K$5</definedName>
    <definedName name="solver_lhs4" localSheetId="1" hidden="1">Model!$B$5:$K$5</definedName>
    <definedName name="solver_lin" localSheetId="3" hidden="1">1</definedName>
    <definedName name="solver_lin" localSheetId="1" hidden="1">1</definedName>
    <definedName name="solver_lva" localSheetId="1" hidden="1">2</definedName>
    <definedName name="solver_mda" localSheetId="1" hidden="1">4</definedName>
    <definedName name="solver_mip" localSheetId="1" hidden="1">5000</definedName>
    <definedName name="solver_mni" localSheetId="1" hidden="1">30</definedName>
    <definedName name="solver_mod" localSheetId="1" hidden="1">3</definedName>
    <definedName name="solver_mrt" localSheetId="1" hidden="1">0.075</definedName>
    <definedName name="solver_neg" localSheetId="3" hidden="1">2</definedName>
    <definedName name="solver_neg" localSheetId="1" hidden="1">2</definedName>
    <definedName name="solver_nod" localSheetId="1" hidden="1">5000</definedName>
    <definedName name="solver_ntr" localSheetId="1" hidden="1">2</definedName>
    <definedName name="solver_ntri" hidden="1">1000</definedName>
    <definedName name="solver_num" localSheetId="3" hidden="1">2</definedName>
    <definedName name="solver_num" localSheetId="1" hidden="1">3</definedName>
    <definedName name="solver_nwt" localSheetId="3" hidden="1">1</definedName>
    <definedName name="solver_nwt" localSheetId="1" hidden="1">1</definedName>
    <definedName name="solver_obc" localSheetId="1" hidden="1">0</definedName>
    <definedName name="solver_obp" localSheetId="1" hidden="1">0</definedName>
    <definedName name="solver_ofx" localSheetId="1" hidden="1">2</definedName>
    <definedName name="solver_oldadj1" localSheetId="3" hidden="1">0</definedName>
    <definedName name="solver_oldadj1" localSheetId="1" hidden="1">0</definedName>
    <definedName name="solver_oldadj10" localSheetId="3" hidden="1">1</definedName>
    <definedName name="solver_oldadj10" localSheetId="1" hidden="1">1</definedName>
    <definedName name="solver_oldadj2" localSheetId="3" hidden="1">0</definedName>
    <definedName name="solver_oldadj2" localSheetId="1" hidden="1">0</definedName>
    <definedName name="solver_oldadj3" localSheetId="3" hidden="1">0</definedName>
    <definedName name="solver_oldadj3" localSheetId="1" hidden="1">0</definedName>
    <definedName name="solver_oldadj4" localSheetId="3" hidden="1">1</definedName>
    <definedName name="solver_oldadj4" localSheetId="1" hidden="1">1</definedName>
    <definedName name="solver_oldadj5" localSheetId="3" hidden="1">0</definedName>
    <definedName name="solver_oldadj5" localSheetId="1" hidden="1">0</definedName>
    <definedName name="solver_oldadj6" localSheetId="3" hidden="1">1</definedName>
    <definedName name="solver_oldadj6" localSheetId="1" hidden="1">1</definedName>
    <definedName name="solver_oldadj7" localSheetId="3" hidden="1">1</definedName>
    <definedName name="solver_oldadj7" localSheetId="1" hidden="1">1</definedName>
    <definedName name="solver_oldadj8" localSheetId="3" hidden="1">1.69118052895101E-11</definedName>
    <definedName name="solver_oldadj8" localSheetId="1" hidden="1">1.69118052895101E-11</definedName>
    <definedName name="solver_oldadj9" localSheetId="3" hidden="1">1</definedName>
    <definedName name="solver_oldadj9" localSheetId="1" hidden="1">1</definedName>
    <definedName name="solver_oldobj" localSheetId="3" hidden="1">114900.000000477</definedName>
    <definedName name="solver_oldobj" localSheetId="1" hidden="1">114900.000000477</definedName>
    <definedName name="solver_opt" localSheetId="3" hidden="1">Interesting!$B$14</definedName>
    <definedName name="solver_opt" localSheetId="1" hidden="1">TotNPV</definedName>
    <definedName name="solver_opt_ob" localSheetId="1" hidden="1">1</definedName>
    <definedName name="solver_piv" localSheetId="1" hidden="1">0.000001</definedName>
    <definedName name="solver_pre" localSheetId="3" hidden="1">0.000001</definedName>
    <definedName name="solver_pre" localSheetId="1" hidden="1">0.000001</definedName>
    <definedName name="solver_pro" localSheetId="1" hidden="1">2</definedName>
    <definedName name="solver_psi" localSheetId="1" hidden="1">0</definedName>
    <definedName name="solver_rbv" localSheetId="1" hidden="1">1</definedName>
    <definedName name="solver_rdp" localSheetId="1" hidden="1">0</definedName>
    <definedName name="solver_red" localSheetId="1" hidden="1">0.000001</definedName>
    <definedName name="solver_rel1" localSheetId="3" hidden="1">1</definedName>
    <definedName name="solver_rel1" localSheetId="1" hidden="1">1</definedName>
    <definedName name="solver_rel2" localSheetId="3" hidden="1">5</definedName>
    <definedName name="solver_rel2" localSheetId="1" hidden="1">3</definedName>
    <definedName name="solver_rel3" localSheetId="3" hidden="1">1</definedName>
    <definedName name="solver_rel3" localSheetId="1" hidden="1">5</definedName>
    <definedName name="solver_rel4" localSheetId="3" hidden="1">3</definedName>
    <definedName name="solver_rel4" localSheetId="1" hidden="1">3</definedName>
    <definedName name="solver_reo" localSheetId="1" hidden="1">2</definedName>
    <definedName name="solver_rep" localSheetId="1" hidden="1">2</definedName>
    <definedName name="solver_rhs1" localSheetId="3" hidden="1">Interesting!Budget</definedName>
    <definedName name="solver_rhs1" localSheetId="1" hidden="1">Budget</definedName>
    <definedName name="solver_rhs2" localSheetId="3" hidden="1">binary</definedName>
    <definedName name="solver_rhs2" localSheetId="1" hidden="1">0</definedName>
    <definedName name="solver_rhs3" localSheetId="3" hidden="1">Interesting!Budget</definedName>
    <definedName name="solver_rhs3" localSheetId="1" hidden="1">1</definedName>
    <definedName name="solver_rhs4" localSheetId="3" hidden="1">0</definedName>
    <definedName name="solver_rhs4" localSheetId="1" hidden="1">0</definedName>
    <definedName name="solver_rlx" localSheetId="1" hidden="1">0</definedName>
    <definedName name="solver_rsmp" hidden="1">1</definedName>
    <definedName name="solver_rtr" localSheetId="1" hidden="1">0</definedName>
    <definedName name="solver_rxc1" localSheetId="1" hidden="1">1</definedName>
    <definedName name="solver_rxc2" localSheetId="1" hidden="1">1</definedName>
    <definedName name="solver_rxc3" localSheetId="1" hidden="1">1</definedName>
    <definedName name="solver_rxv" localSheetId="1" hidden="1">1</definedName>
    <definedName name="solver_scl" localSheetId="3" hidden="1">2</definedName>
    <definedName name="solver_scl" localSheetId="1" hidden="1">2</definedName>
    <definedName name="solver_seed" hidden="1">0</definedName>
    <definedName name="solver_sel" localSheetId="1" hidden="1">1</definedName>
    <definedName name="solver_sho" localSheetId="3" hidden="1">2</definedName>
    <definedName name="solver_sho" localSheetId="1" hidden="1">2</definedName>
    <definedName name="solver_slv" localSheetId="1" hidden="1">0</definedName>
    <definedName name="solver_slvu" localSheetId="1" hidden="1">0</definedName>
    <definedName name="solver_ssz" localSheetId="1" hidden="1">100</definedName>
    <definedName name="solver_std" localSheetId="1" hidden="1">1</definedName>
    <definedName name="solver_tim" localSheetId="3" hidden="1">100</definedName>
    <definedName name="solver_tim" localSheetId="1" hidden="1">100</definedName>
    <definedName name="solver_tmp" localSheetId="3" hidden="1">0</definedName>
    <definedName name="solver_tmp" localSheetId="1" hidden="1">0</definedName>
    <definedName name="solver_tol" localSheetId="3" hidden="1">0.05</definedName>
    <definedName name="solver_tol" localSheetId="1" hidden="1">0</definedName>
    <definedName name="solver_typ" localSheetId="3" hidden="1">1</definedName>
    <definedName name="solver_typ" localSheetId="1" hidden="1">1</definedName>
    <definedName name="solver_umod" localSheetId="1" hidden="1">1</definedName>
    <definedName name="solver_urs" localSheetId="1" hidden="1">0</definedName>
    <definedName name="solver_val" localSheetId="3" hidden="1">0</definedName>
    <definedName name="solver_val" localSheetId="1" hidden="1">0</definedName>
    <definedName name="solver_var" localSheetId="1" hidden="1">" "</definedName>
    <definedName name="solver_ver" localSheetId="1" hidden="1">9</definedName>
    <definedName name="solver_vir" localSheetId="1" hidden="1">1</definedName>
    <definedName name="solver_vol" localSheetId="1" hidden="1">0</definedName>
    <definedName name="solver_vst" localSheetId="1" hidden="1">0</definedName>
    <definedName name="SortRange" localSheetId="3">Interesting!$B$7:$AE$9</definedName>
    <definedName name="TotCost" localSheetId="3">Interesting!$B$12</definedName>
    <definedName name="TotCost">Model!$B$11</definedName>
    <definedName name="TotNPV" localSheetId="3">Interesting!$B$14</definedName>
    <definedName name="TotNPV">Model!$B$13</definedName>
    <definedName name="TotNPVHeur">Report!$C$12</definedName>
    <definedName name="TotNPVOpt">Report!$C$6</definedName>
  </definedNames>
  <calcPr calcId="125725"/>
</workbook>
</file>

<file path=xl/calcChain.xml><?xml version="1.0" encoding="utf-8"?>
<calcChain xmlns="http://schemas.openxmlformats.org/spreadsheetml/2006/main">
  <c r="B13" i="2"/>
  <c r="B11"/>
  <c r="Z8"/>
  <c r="K8"/>
  <c r="O8"/>
  <c r="S8"/>
  <c r="T8"/>
  <c r="Q8"/>
  <c r="D8"/>
  <c r="Y8"/>
  <c r="V8"/>
  <c r="AD8"/>
  <c r="R8"/>
  <c r="AE8"/>
  <c r="N8"/>
  <c r="X8"/>
  <c r="P8"/>
  <c r="U8"/>
  <c r="J8"/>
  <c r="G8"/>
  <c r="W8"/>
  <c r="M8"/>
  <c r="E8"/>
  <c r="C8"/>
  <c r="AA8"/>
  <c r="F8"/>
  <c r="L8"/>
  <c r="AB8"/>
  <c r="H8"/>
  <c r="B8"/>
  <c r="I8" l="1"/>
  <c r="AC8"/>
  <c r="W9" i="6"/>
  <c r="AB9"/>
  <c r="B9"/>
  <c r="N9"/>
  <c r="I9"/>
  <c r="Y9"/>
  <c r="F9"/>
  <c r="T9"/>
  <c r="AD9"/>
  <c r="G9"/>
  <c r="K9"/>
  <c r="J9"/>
  <c r="O9"/>
  <c r="AE9"/>
  <c r="X9"/>
  <c r="S9"/>
  <c r="E9"/>
  <c r="C9"/>
  <c r="V9"/>
  <c r="Q9"/>
  <c r="B12"/>
  <c r="AA9"/>
  <c r="R9"/>
  <c r="P9"/>
  <c r="L9"/>
  <c r="H9"/>
  <c r="AC9"/>
  <c r="D9"/>
  <c r="U9"/>
  <c r="Z9"/>
  <c r="M9"/>
  <c r="B14"/>
  <c r="C15" i="3"/>
</calcChain>
</file>

<file path=xl/sharedStrings.xml><?xml version="1.0" encoding="utf-8"?>
<sst xmlns="http://schemas.openxmlformats.org/spreadsheetml/2006/main" count="36" uniqueCount="21">
  <si>
    <t>Investment</t>
  </si>
  <si>
    <t>Investment level</t>
  </si>
  <si>
    <t>NPV</t>
  </si>
  <si>
    <t>Investment cost</t>
  </si>
  <si>
    <t>Bang-for-buck</t>
  </si>
  <si>
    <t>Budget constraint</t>
  </si>
  <si>
    <t>Spent</t>
  </si>
  <si>
    <t>Available</t>
  </si>
  <si>
    <t>&lt;=</t>
  </si>
  <si>
    <t>Total NPV</t>
  </si>
  <si>
    <t>Optimal Investment Policy</t>
  </si>
  <si>
    <t>Investments</t>
  </si>
  <si>
    <t>Leftover cash</t>
  </si>
  <si>
    <t>Suboptimal NPV as a % of optimal NPV</t>
  </si>
  <si>
    <t>Note that the Solver Tolerance has been set to 0.</t>
  </si>
  <si>
    <t>Capital Budgeting Problem -- Solver doesn't get the correct solution!</t>
  </si>
  <si>
    <t>Capital Budgeting Model</t>
  </si>
  <si>
    <t>Investment Policy from Heuristic Policy</t>
  </si>
  <si>
    <t>Model</t>
  </si>
  <si>
    <t>Capital Budgeting Application</t>
  </si>
  <si>
    <t>16,17,18,19,20,21,22,23,24,25,26,27,28,29,30</t>
  </si>
</sst>
</file>

<file path=xl/styles.xml><?xml version="1.0" encoding="utf-8"?>
<styleSheet xmlns="http://schemas.openxmlformats.org/spreadsheetml/2006/main">
  <numFmts count="2">
    <numFmt numFmtId="164" formatCode="&quot;$&quot;#,##0;\-&quot;$&quot;#,##0"/>
    <numFmt numFmtId="165" formatCode="&quot;$&quot;#,##0.00;\-&quot;$&quot;#,##0.00"/>
  </numFmts>
  <fonts count="6">
    <font>
      <sz val="10"/>
      <name val="Arial"/>
    </font>
    <font>
      <sz val="10"/>
      <name val="Arial"/>
      <family val="2"/>
    </font>
    <font>
      <b/>
      <sz val="14"/>
      <name val="Calibri"/>
      <family val="2"/>
      <scheme val="minor"/>
    </font>
    <font>
      <sz val="11"/>
      <name val="Calibri"/>
      <family val="2"/>
      <scheme val="minor"/>
    </font>
    <font>
      <b/>
      <sz val="11"/>
      <name val="Calibri"/>
      <family val="2"/>
      <scheme val="minor"/>
    </font>
    <font>
      <sz val="11"/>
      <name val="Calibri"/>
      <family val="2"/>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30">
    <xf numFmtId="0" fontId="0" fillId="0" borderId="0" xfId="0"/>
    <xf numFmtId="0" fontId="3" fillId="0" borderId="0" xfId="0" applyFont="1" applyFill="1"/>
    <xf numFmtId="0" fontId="4" fillId="0" borderId="0" xfId="0" applyFont="1" applyFill="1"/>
    <xf numFmtId="0" fontId="3" fillId="0" borderId="0" xfId="0" applyFont="1" applyFill="1" applyAlignment="1">
      <alignment horizontal="right"/>
    </xf>
    <xf numFmtId="164" fontId="3" fillId="0" borderId="0" xfId="0" applyNumberFormat="1" applyFont="1" applyFill="1"/>
    <xf numFmtId="10" fontId="3" fillId="0" borderId="0" xfId="1" applyNumberFormat="1" applyFont="1" applyFill="1"/>
    <xf numFmtId="0" fontId="4" fillId="0" borderId="0" xfId="0" applyFont="1"/>
    <xf numFmtId="0" fontId="3" fillId="0" borderId="0" xfId="0" applyFont="1"/>
    <xf numFmtId="0" fontId="3" fillId="0" borderId="0" xfId="0" applyFont="1" applyAlignment="1">
      <alignment horizontal="left"/>
    </xf>
    <xf numFmtId="0" fontId="3" fillId="0" borderId="0" xfId="0" applyFont="1" applyAlignment="1">
      <alignment horizontal="centerContinuous"/>
    </xf>
    <xf numFmtId="1" fontId="3" fillId="0" borderId="0" xfId="0" applyNumberFormat="1" applyFont="1" applyBorder="1"/>
    <xf numFmtId="164" fontId="3" fillId="0" borderId="0" xfId="0" applyNumberFormat="1" applyFont="1" applyBorder="1"/>
    <xf numFmtId="0" fontId="3" fillId="0" borderId="0" xfId="0" applyFont="1" applyBorder="1"/>
    <xf numFmtId="165" fontId="3" fillId="0" borderId="0" xfId="0" applyNumberFormat="1" applyFont="1"/>
    <xf numFmtId="0" fontId="3" fillId="0" borderId="0" xfId="0" applyFont="1" applyAlignment="1">
      <alignment horizontal="right"/>
    </xf>
    <xf numFmtId="164" fontId="3" fillId="0" borderId="0" xfId="0" applyNumberFormat="1" applyFont="1"/>
    <xf numFmtId="0" fontId="3" fillId="0" borderId="0" xfId="0" applyFont="1" applyAlignment="1">
      <alignment horizontal="center"/>
    </xf>
    <xf numFmtId="0" fontId="4" fillId="0" borderId="0" xfId="0" applyFont="1" applyFill="1" applyBorder="1"/>
    <xf numFmtId="0" fontId="3" fillId="0" borderId="0" xfId="0" applyFont="1" applyFill="1" applyBorder="1"/>
    <xf numFmtId="1" fontId="3" fillId="0" borderId="0" xfId="0" applyNumberFormat="1" applyFont="1" applyFill="1" applyBorder="1"/>
    <xf numFmtId="164" fontId="3" fillId="0" borderId="0" xfId="0" applyNumberFormat="1" applyFont="1" applyFill="1" applyBorder="1"/>
    <xf numFmtId="165" fontId="3" fillId="0" borderId="0" xfId="0" applyNumberFormat="1" applyFont="1" applyFill="1" applyBorder="1"/>
    <xf numFmtId="0" fontId="3" fillId="0" borderId="0" xfId="0" applyFont="1" applyFill="1" applyBorder="1" applyAlignment="1">
      <alignment horizontal="right"/>
    </xf>
    <xf numFmtId="0" fontId="3" fillId="0" borderId="0" xfId="0" applyFont="1" applyFill="1" applyBorder="1" applyAlignment="1">
      <alignment horizontal="center"/>
    </xf>
    <xf numFmtId="0" fontId="3" fillId="0" borderId="0" xfId="0" applyFont="1" applyFill="1" applyBorder="1" applyAlignment="1">
      <alignment horizontal="left"/>
    </xf>
    <xf numFmtId="0" fontId="3" fillId="0" borderId="0" xfId="0" applyNumberFormat="1" applyFont="1"/>
    <xf numFmtId="0" fontId="3" fillId="0" borderId="0" xfId="0" applyNumberFormat="1" applyFont="1" applyAlignment="1"/>
    <xf numFmtId="0" fontId="3" fillId="0" borderId="0" xfId="0" applyNumberFormat="1" applyFont="1" applyAlignment="1">
      <alignment horizontal="left"/>
    </xf>
    <xf numFmtId="0" fontId="3" fillId="0" borderId="0" xfId="0" applyNumberFormat="1" applyFont="1" applyFill="1"/>
    <xf numFmtId="0" fontId="2" fillId="0" borderId="0" xfId="0" applyFont="1" applyFill="1" applyAlignment="1">
      <alignment horizontal="center"/>
    </xf>
  </cellXfs>
  <cellStyles count="2">
    <cellStyle name="Normal" xfId="0" builtinId="0"/>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460375</xdr:colOff>
      <xdr:row>5</xdr:row>
      <xdr:rowOff>88900</xdr:rowOff>
    </xdr:from>
    <xdr:to>
      <xdr:col>9</xdr:col>
      <xdr:colOff>209550</xdr:colOff>
      <xdr:row>20</xdr:row>
      <xdr:rowOff>152400</xdr:rowOff>
    </xdr:to>
    <xdr:sp macro="" textlink="">
      <xdr:nvSpPr>
        <xdr:cNvPr id="3" name="TextBox 2"/>
        <xdr:cNvSpPr txBox="1"/>
      </xdr:nvSpPr>
      <xdr:spPr>
        <a:xfrm>
          <a:off x="1069975" y="1089025"/>
          <a:ext cx="4625975" cy="29210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This purpose of this application is to examine a capital budgeting model and see how close a simple heuristic solution is to the optimal solution using integer (0-1) programming. To do this, the application randomly generates the inputs to a model (NPVs, costs, and budget) with 30 possible capital budgeting projects. It then solves the problem using two methods.  The first method uses Solver to find the optimal 0-1 solution. The second method is a simple heuristic. Here the investments are ranked in decreasing order of the NPV-to-unit-cost ratio. Starting at the top of this list and working down, a project is included as long as the remaining budget permits. The application shows that this heuristic is not always optimal, but that it is usually very close to optimal.
To find the optimal Solver solution, the Solver's Tolerance is set to 0. This guarantees an optimal solution (if one exists). See the Interesting sheet for an example where Solver solution is not optimal (because the default Tolerance setting  of 5% was 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38100</xdr:colOff>
      <xdr:row>10</xdr:row>
      <xdr:rowOff>107950</xdr:rowOff>
    </xdr:from>
    <xdr:to>
      <xdr:col>10</xdr:col>
      <xdr:colOff>561339</xdr:colOff>
      <xdr:row>15</xdr:row>
      <xdr:rowOff>94615</xdr:rowOff>
    </xdr:to>
    <xdr:sp macro="" textlink="">
      <xdr:nvSpPr>
        <xdr:cNvPr id="3" name="TextBox 2"/>
        <xdr:cNvSpPr txBox="1"/>
      </xdr:nvSpPr>
      <xdr:spPr>
        <a:xfrm>
          <a:off x="4114800" y="1727200"/>
          <a:ext cx="2961639" cy="79629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The Solver Tolerance option is set at its default value, 5%, in this sheet.  The Solver gets the wrong answer -- its NPV is LESS than for marginal analysis (invest in 13 through 30).</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pageSetUpPr fitToPage="1"/>
  </sheetPr>
  <dimension ref="C2:I2"/>
  <sheetViews>
    <sheetView showGridLines="0" tabSelected="1" workbookViewId="0">
      <selection activeCell="F4" sqref="F4"/>
    </sheetView>
  </sheetViews>
  <sheetFormatPr defaultRowHeight="15"/>
  <cols>
    <col min="1" max="16384" width="9.140625" style="1"/>
  </cols>
  <sheetData>
    <row r="2" spans="3:9" ht="18.75">
      <c r="C2" s="29" t="s">
        <v>19</v>
      </c>
      <c r="D2" s="29"/>
      <c r="E2" s="29"/>
      <c r="F2" s="29"/>
      <c r="G2" s="29"/>
      <c r="H2" s="29"/>
      <c r="I2" s="29"/>
    </row>
  </sheetData>
  <mergeCells count="1">
    <mergeCell ref="C2:I2"/>
  </mergeCells>
  <phoneticPr fontId="0" type="noConversion"/>
  <pageMargins left="0.75" right="0.75" top="1" bottom="1" header="0.5" footer="0.5"/>
  <pageSetup scale="97"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2">
    <pageSetUpPr fitToPage="1"/>
  </sheetPr>
  <dimension ref="A1:AE22"/>
  <sheetViews>
    <sheetView workbookViewId="0">
      <selection activeCell="D11" sqref="D11"/>
    </sheetView>
  </sheetViews>
  <sheetFormatPr defaultRowHeight="15"/>
  <cols>
    <col min="1" max="1" width="17" style="7" customWidth="1"/>
    <col min="2" max="6" width="9.140625" style="7"/>
    <col min="7" max="29" width="9.140625" style="7" customWidth="1"/>
    <col min="30" max="16384" width="9.140625" style="7"/>
  </cols>
  <sheetData>
    <row r="1" spans="1:31">
      <c r="A1" s="6" t="s">
        <v>16</v>
      </c>
    </row>
    <row r="3" spans="1:31">
      <c r="A3" s="7" t="s">
        <v>18</v>
      </c>
      <c r="B3" s="8"/>
      <c r="C3" s="9"/>
      <c r="D3" s="9"/>
      <c r="G3" s="9"/>
      <c r="H3" s="9"/>
      <c r="I3" s="9"/>
      <c r="J3" s="9"/>
      <c r="K3" s="9"/>
    </row>
    <row r="4" spans="1:31">
      <c r="A4" s="7" t="s">
        <v>0</v>
      </c>
      <c r="B4" s="7">
        <v>1</v>
      </c>
      <c r="C4" s="7">
        <v>2</v>
      </c>
      <c r="D4" s="7">
        <v>3</v>
      </c>
      <c r="E4" s="7">
        <v>4</v>
      </c>
      <c r="F4" s="7">
        <v>5</v>
      </c>
      <c r="G4" s="7">
        <v>6</v>
      </c>
      <c r="H4" s="7">
        <v>7</v>
      </c>
      <c r="I4" s="7">
        <v>8</v>
      </c>
      <c r="J4" s="7">
        <v>9</v>
      </c>
      <c r="K4" s="7">
        <v>10</v>
      </c>
      <c r="L4" s="7">
        <v>11</v>
      </c>
      <c r="M4" s="7">
        <v>12</v>
      </c>
      <c r="N4" s="7">
        <v>13</v>
      </c>
      <c r="O4" s="7">
        <v>14</v>
      </c>
      <c r="P4" s="7">
        <v>15</v>
      </c>
      <c r="Q4" s="7">
        <v>16</v>
      </c>
      <c r="R4" s="7">
        <v>17</v>
      </c>
      <c r="S4" s="7">
        <v>18</v>
      </c>
      <c r="T4" s="7">
        <v>19</v>
      </c>
      <c r="U4" s="7">
        <v>20</v>
      </c>
      <c r="V4" s="7">
        <v>21</v>
      </c>
      <c r="W4" s="7">
        <v>22</v>
      </c>
      <c r="X4" s="7">
        <v>23</v>
      </c>
      <c r="Y4" s="7">
        <v>24</v>
      </c>
      <c r="Z4" s="7">
        <v>25</v>
      </c>
      <c r="AA4" s="7">
        <v>26</v>
      </c>
      <c r="AB4" s="7">
        <v>27</v>
      </c>
      <c r="AC4" s="7">
        <v>28</v>
      </c>
      <c r="AD4" s="7">
        <v>29</v>
      </c>
      <c r="AE4" s="7">
        <v>30</v>
      </c>
    </row>
    <row r="5" spans="1:31">
      <c r="A5" s="18" t="s">
        <v>1</v>
      </c>
      <c r="B5" s="10">
        <v>0</v>
      </c>
      <c r="C5" s="10">
        <v>0</v>
      </c>
      <c r="D5" s="10">
        <v>0</v>
      </c>
      <c r="E5" s="10">
        <v>0</v>
      </c>
      <c r="F5" s="10">
        <v>0</v>
      </c>
      <c r="G5" s="10">
        <v>0</v>
      </c>
      <c r="H5" s="10">
        <v>0</v>
      </c>
      <c r="I5" s="10">
        <v>0</v>
      </c>
      <c r="J5" s="10">
        <v>0</v>
      </c>
      <c r="K5" s="10">
        <v>0</v>
      </c>
      <c r="L5" s="10">
        <v>0</v>
      </c>
      <c r="M5" s="10">
        <v>0</v>
      </c>
      <c r="N5" s="10">
        <v>0</v>
      </c>
      <c r="O5" s="10">
        <v>0</v>
      </c>
      <c r="P5" s="10">
        <v>0</v>
      </c>
      <c r="Q5" s="10">
        <v>1</v>
      </c>
      <c r="R5" s="10">
        <v>1</v>
      </c>
      <c r="S5" s="10">
        <v>1</v>
      </c>
      <c r="T5" s="10">
        <v>1</v>
      </c>
      <c r="U5" s="10">
        <v>1</v>
      </c>
      <c r="V5" s="10">
        <v>1</v>
      </c>
      <c r="W5" s="10">
        <v>1</v>
      </c>
      <c r="X5" s="10">
        <v>1</v>
      </c>
      <c r="Y5" s="10">
        <v>1</v>
      </c>
      <c r="Z5" s="10">
        <v>1</v>
      </c>
      <c r="AA5" s="10">
        <v>1</v>
      </c>
      <c r="AB5" s="10">
        <v>1</v>
      </c>
      <c r="AC5" s="10">
        <v>1</v>
      </c>
      <c r="AD5" s="10">
        <v>1</v>
      </c>
      <c r="AE5" s="10">
        <v>1</v>
      </c>
    </row>
    <row r="6" spans="1:31">
      <c r="A6" s="18" t="s">
        <v>2</v>
      </c>
      <c r="B6" s="11">
        <v>42300</v>
      </c>
      <c r="C6" s="12">
        <v>25000</v>
      </c>
      <c r="D6" s="11">
        <v>11500</v>
      </c>
      <c r="E6" s="12">
        <v>27900</v>
      </c>
      <c r="F6" s="12">
        <v>11800</v>
      </c>
      <c r="G6" s="12">
        <v>26100</v>
      </c>
      <c r="H6" s="11">
        <v>25600</v>
      </c>
      <c r="I6" s="12">
        <v>32600</v>
      </c>
      <c r="J6" s="11">
        <v>26600</v>
      </c>
      <c r="K6" s="12">
        <v>22400</v>
      </c>
      <c r="L6" s="12">
        <v>20600</v>
      </c>
      <c r="M6" s="12">
        <v>23900</v>
      </c>
      <c r="N6" s="12">
        <v>13700</v>
      </c>
      <c r="O6" s="12">
        <v>25000</v>
      </c>
      <c r="P6" s="11">
        <v>24200</v>
      </c>
      <c r="Q6" s="11">
        <v>26900</v>
      </c>
      <c r="R6" s="12">
        <v>25500</v>
      </c>
      <c r="S6" s="11">
        <v>26300</v>
      </c>
      <c r="T6" s="11">
        <v>20400</v>
      </c>
      <c r="U6" s="12">
        <v>25500</v>
      </c>
      <c r="V6" s="11">
        <v>29200</v>
      </c>
      <c r="W6" s="12">
        <v>33500</v>
      </c>
      <c r="X6" s="12">
        <v>21200</v>
      </c>
      <c r="Y6" s="12">
        <v>21100</v>
      </c>
      <c r="Z6" s="12">
        <v>20900</v>
      </c>
      <c r="AA6" s="12">
        <v>13600</v>
      </c>
      <c r="AB6" s="12">
        <v>20100</v>
      </c>
      <c r="AC6" s="11">
        <v>24300</v>
      </c>
      <c r="AD6" s="12">
        <v>26100</v>
      </c>
      <c r="AE6" s="12">
        <v>33100</v>
      </c>
    </row>
    <row r="7" spans="1:31">
      <c r="A7" s="18" t="s">
        <v>3</v>
      </c>
      <c r="B7" s="11">
        <v>16600</v>
      </c>
      <c r="C7" s="12">
        <v>9300</v>
      </c>
      <c r="D7" s="11">
        <v>4000</v>
      </c>
      <c r="E7" s="12">
        <v>9500</v>
      </c>
      <c r="F7" s="12">
        <v>3800</v>
      </c>
      <c r="G7" s="12">
        <v>8400</v>
      </c>
      <c r="H7" s="11">
        <v>8100</v>
      </c>
      <c r="I7" s="12">
        <v>10000</v>
      </c>
      <c r="J7" s="11">
        <v>8100</v>
      </c>
      <c r="K7" s="12">
        <v>6600</v>
      </c>
      <c r="L7" s="12">
        <v>6000</v>
      </c>
      <c r="M7" s="12">
        <v>6900</v>
      </c>
      <c r="N7" s="12">
        <v>3800</v>
      </c>
      <c r="O7" s="12">
        <v>6900</v>
      </c>
      <c r="P7" s="11">
        <v>6100</v>
      </c>
      <c r="Q7" s="11">
        <v>6500</v>
      </c>
      <c r="R7" s="12">
        <v>5900</v>
      </c>
      <c r="S7" s="11">
        <v>6000</v>
      </c>
      <c r="T7" s="11">
        <v>4000</v>
      </c>
      <c r="U7" s="12">
        <v>5000</v>
      </c>
      <c r="V7" s="11">
        <v>5600</v>
      </c>
      <c r="W7" s="12">
        <v>6400</v>
      </c>
      <c r="X7" s="12">
        <v>3900</v>
      </c>
      <c r="Y7" s="12">
        <v>3400</v>
      </c>
      <c r="Z7" s="12">
        <v>3200</v>
      </c>
      <c r="AA7" s="12">
        <v>1900</v>
      </c>
      <c r="AB7" s="12">
        <v>2600</v>
      </c>
      <c r="AC7" s="11">
        <v>3100</v>
      </c>
      <c r="AD7" s="12">
        <v>2900</v>
      </c>
      <c r="AE7" s="12">
        <v>3500</v>
      </c>
    </row>
    <row r="8" spans="1:31">
      <c r="A8" s="18" t="s">
        <v>4</v>
      </c>
      <c r="B8" s="13">
        <f>B6/B7</f>
        <v>2.5481927710843375</v>
      </c>
      <c r="C8" s="13">
        <f>C6/C7</f>
        <v>2.6881720430107525</v>
      </c>
      <c r="D8" s="13">
        <f>D6/D7</f>
        <v>2.875</v>
      </c>
      <c r="E8" s="13">
        <f>E6/E7</f>
        <v>2.9368421052631577</v>
      </c>
      <c r="F8" s="13">
        <f>F6/F7</f>
        <v>3.1052631578947367</v>
      </c>
      <c r="G8" s="13">
        <f>G6/G7</f>
        <v>3.1071428571428572</v>
      </c>
      <c r="H8" s="13">
        <f>H6/H7</f>
        <v>3.1604938271604937</v>
      </c>
      <c r="I8" s="13">
        <f>I6/I7</f>
        <v>3.26</v>
      </c>
      <c r="J8" s="13">
        <f>J6/J7</f>
        <v>3.2839506172839505</v>
      </c>
      <c r="K8" s="13">
        <f>K6/K7</f>
        <v>3.393939393939394</v>
      </c>
      <c r="L8" s="13">
        <f>L6/L7</f>
        <v>3.4333333333333331</v>
      </c>
      <c r="M8" s="13">
        <f>M6/M7</f>
        <v>3.4637681159420288</v>
      </c>
      <c r="N8" s="13">
        <f>N6/N7</f>
        <v>3.6052631578947367</v>
      </c>
      <c r="O8" s="13">
        <f>O6/O7</f>
        <v>3.6231884057971016</v>
      </c>
      <c r="P8" s="13">
        <f>P6/P7</f>
        <v>3.9672131147540983</v>
      </c>
      <c r="Q8" s="13">
        <f>Q6/Q7</f>
        <v>4.1384615384615389</v>
      </c>
      <c r="R8" s="13">
        <f>R6/R7</f>
        <v>4.3220338983050848</v>
      </c>
      <c r="S8" s="13">
        <f>S6/S7</f>
        <v>4.3833333333333337</v>
      </c>
      <c r="T8" s="13">
        <f>T6/T7</f>
        <v>5.0999999999999996</v>
      </c>
      <c r="U8" s="13">
        <f>U6/U7</f>
        <v>5.0999999999999996</v>
      </c>
      <c r="V8" s="13">
        <f>V6/V7</f>
        <v>5.2142857142857144</v>
      </c>
      <c r="W8" s="13">
        <f>W6/W7</f>
        <v>5.234375</v>
      </c>
      <c r="X8" s="13">
        <f>X6/X7</f>
        <v>5.4358974358974361</v>
      </c>
      <c r="Y8" s="13">
        <f>Y6/Y7</f>
        <v>6.2058823529411766</v>
      </c>
      <c r="Z8" s="13">
        <f>Z6/Z7</f>
        <v>6.53125</v>
      </c>
      <c r="AA8" s="13">
        <f>AA6/AA7</f>
        <v>7.1578947368421053</v>
      </c>
      <c r="AB8" s="13">
        <f>AB6/AB7</f>
        <v>7.7307692307692308</v>
      </c>
      <c r="AC8" s="13">
        <f>AC6/AC7</f>
        <v>7.838709677419355</v>
      </c>
      <c r="AD8" s="13">
        <f>AD6/AD7</f>
        <v>9</v>
      </c>
      <c r="AE8" s="13">
        <f>AE6/AE7</f>
        <v>9.4571428571428573</v>
      </c>
    </row>
    <row r="9" spans="1:31">
      <c r="B9" s="11"/>
      <c r="C9" s="11"/>
      <c r="D9" s="11"/>
      <c r="E9" s="11"/>
      <c r="F9" s="11"/>
      <c r="G9" s="11"/>
      <c r="H9" s="11"/>
      <c r="I9" s="11"/>
      <c r="J9" s="11"/>
      <c r="K9" s="11"/>
    </row>
    <row r="10" spans="1:31">
      <c r="A10" s="7" t="s">
        <v>5</v>
      </c>
      <c r="B10" s="14" t="s">
        <v>6</v>
      </c>
      <c r="C10" s="14"/>
      <c r="D10" s="14" t="s">
        <v>7</v>
      </c>
    </row>
    <row r="11" spans="1:31">
      <c r="B11" s="15">
        <f>SUMPRODUCT(InvCost,InvLevel)</f>
        <v>63900</v>
      </c>
      <c r="C11" s="16" t="s">
        <v>8</v>
      </c>
      <c r="D11" s="11">
        <v>63900</v>
      </c>
    </row>
    <row r="13" spans="1:31">
      <c r="A13" s="8" t="s">
        <v>9</v>
      </c>
      <c r="B13" s="11">
        <f>SUMPRODUCT(NPV,InvLevel)</f>
        <v>367700</v>
      </c>
    </row>
    <row r="15" spans="1:31">
      <c r="A15" s="7" t="s">
        <v>14</v>
      </c>
    </row>
    <row r="19" spans="1:2">
      <c r="A19" s="6"/>
    </row>
    <row r="20" spans="1:2">
      <c r="A20" s="27"/>
      <c r="B20" s="25"/>
    </row>
    <row r="21" spans="1:2">
      <c r="A21" s="27"/>
      <c r="B21" s="26"/>
    </row>
    <row r="22" spans="1:2">
      <c r="A22" s="27"/>
      <c r="B22" s="25"/>
    </row>
  </sheetData>
  <sortState columnSort="1" ref="B5:AE8">
    <sortCondition ref="B8"/>
  </sortState>
  <phoneticPr fontId="0" type="noConversion"/>
  <printOptions headings="1" gridLines="1"/>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3">
    <pageSetUpPr fitToPage="1"/>
  </sheetPr>
  <dimension ref="B2:C26"/>
  <sheetViews>
    <sheetView showGridLines="0" workbookViewId="0"/>
  </sheetViews>
  <sheetFormatPr defaultRowHeight="15"/>
  <cols>
    <col min="1" max="1" width="9.140625" style="1"/>
    <col min="2" max="2" width="12.85546875" style="1" customWidth="1"/>
    <col min="3" max="3" width="74.7109375" style="1" customWidth="1"/>
    <col min="4" max="4" width="14.42578125" style="1" customWidth="1"/>
    <col min="5" max="16384" width="9.140625" style="1"/>
  </cols>
  <sheetData>
    <row r="2" spans="2:3">
      <c r="B2" s="2" t="s">
        <v>10</v>
      </c>
    </row>
    <row r="4" spans="2:3">
      <c r="B4" s="1" t="s">
        <v>11</v>
      </c>
      <c r="C4" s="3" t="s">
        <v>20</v>
      </c>
    </row>
    <row r="5" spans="2:3">
      <c r="B5" s="1" t="s">
        <v>12</v>
      </c>
      <c r="C5" s="4">
        <v>0</v>
      </c>
    </row>
    <row r="6" spans="2:3">
      <c r="B6" s="1" t="s">
        <v>9</v>
      </c>
      <c r="C6" s="4">
        <v>367700</v>
      </c>
    </row>
    <row r="8" spans="2:3">
      <c r="B8" s="2" t="s">
        <v>17</v>
      </c>
    </row>
    <row r="10" spans="2:3">
      <c r="B10" s="1" t="s">
        <v>11</v>
      </c>
      <c r="C10" s="3" t="s">
        <v>20</v>
      </c>
    </row>
    <row r="11" spans="2:3">
      <c r="B11" s="1" t="s">
        <v>12</v>
      </c>
      <c r="C11" s="4">
        <v>0</v>
      </c>
    </row>
    <row r="12" spans="2:3">
      <c r="B12" s="1" t="s">
        <v>9</v>
      </c>
      <c r="C12" s="4">
        <v>367700</v>
      </c>
    </row>
    <row r="14" spans="2:3">
      <c r="B14" s="2" t="s">
        <v>13</v>
      </c>
    </row>
    <row r="15" spans="2:3">
      <c r="C15" s="5">
        <f>TotNPVHeur/TotNPVOpt</f>
        <v>1</v>
      </c>
    </row>
    <row r="20" spans="2:3">
      <c r="B20" s="2"/>
    </row>
    <row r="21" spans="2:3">
      <c r="B21" s="28"/>
      <c r="C21" s="28"/>
    </row>
    <row r="22" spans="2:3">
      <c r="B22" s="28"/>
      <c r="C22" s="28"/>
    </row>
    <row r="23" spans="2:3">
      <c r="B23" s="28"/>
      <c r="C23" s="28"/>
    </row>
    <row r="24" spans="2:3">
      <c r="B24" s="28"/>
      <c r="C24" s="28"/>
    </row>
    <row r="25" spans="2:3">
      <c r="B25" s="28"/>
      <c r="C25" s="28"/>
    </row>
    <row r="26" spans="2:3">
      <c r="B26" s="28"/>
      <c r="C26" s="28"/>
    </row>
  </sheetData>
  <phoneticPr fontId="0" type="noConversion"/>
  <printOptions headings="1"/>
  <pageMargins left="0.75" right="0.75" top="1" bottom="1" header="0.5" footer="0.5"/>
  <pageSetup scale="67"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4"/>
  <dimension ref="A1:AE14"/>
  <sheetViews>
    <sheetView workbookViewId="0">
      <selection activeCell="A2" sqref="A2"/>
    </sheetView>
  </sheetViews>
  <sheetFormatPr defaultRowHeight="15"/>
  <cols>
    <col min="1" max="1" width="18.28515625" style="18" customWidth="1"/>
    <col min="2" max="16384" width="9.140625" style="18"/>
  </cols>
  <sheetData>
    <row r="1" spans="1:31">
      <c r="A1" s="17" t="s">
        <v>15</v>
      </c>
    </row>
    <row r="3" spans="1:31">
      <c r="C3" s="23"/>
      <c r="D3" s="23"/>
      <c r="E3" s="23"/>
      <c r="F3" s="23"/>
      <c r="G3" s="23"/>
      <c r="H3" s="23"/>
      <c r="I3" s="23"/>
      <c r="J3" s="23"/>
      <c r="K3" s="23"/>
    </row>
    <row r="4" spans="1:31">
      <c r="A4" s="24" t="s">
        <v>0</v>
      </c>
      <c r="B4" s="18">
        <v>1</v>
      </c>
      <c r="C4" s="18">
        <v>2</v>
      </c>
      <c r="D4" s="18">
        <v>3</v>
      </c>
      <c r="E4" s="18">
        <v>4</v>
      </c>
      <c r="F4" s="18">
        <v>5</v>
      </c>
      <c r="G4" s="18">
        <v>6</v>
      </c>
      <c r="H4" s="18">
        <v>7</v>
      </c>
      <c r="I4" s="18">
        <v>8</v>
      </c>
      <c r="J4" s="18">
        <v>9</v>
      </c>
      <c r="K4" s="18">
        <v>10</v>
      </c>
      <c r="L4" s="18">
        <v>11</v>
      </c>
      <c r="M4" s="18">
        <v>12</v>
      </c>
      <c r="N4" s="18">
        <v>13</v>
      </c>
      <c r="O4" s="18">
        <v>14</v>
      </c>
      <c r="P4" s="18">
        <v>15</v>
      </c>
      <c r="Q4" s="18">
        <v>16</v>
      </c>
      <c r="R4" s="18">
        <v>17</v>
      </c>
      <c r="S4" s="18">
        <v>18</v>
      </c>
      <c r="T4" s="18">
        <v>19</v>
      </c>
      <c r="U4" s="18">
        <v>20</v>
      </c>
      <c r="V4" s="18">
        <v>21</v>
      </c>
      <c r="W4" s="18">
        <v>22</v>
      </c>
      <c r="X4" s="18">
        <v>23</v>
      </c>
      <c r="Y4" s="18">
        <v>24</v>
      </c>
      <c r="Z4" s="18">
        <v>25</v>
      </c>
      <c r="AA4" s="18">
        <v>26</v>
      </c>
      <c r="AB4" s="18">
        <v>27</v>
      </c>
      <c r="AC4" s="18">
        <v>28</v>
      </c>
      <c r="AD4" s="18">
        <v>29</v>
      </c>
      <c r="AE4" s="18">
        <v>30</v>
      </c>
    </row>
    <row r="5" spans="1:31">
      <c r="A5" s="18" t="s">
        <v>1</v>
      </c>
      <c r="B5" s="19">
        <v>0</v>
      </c>
      <c r="C5" s="19">
        <v>0</v>
      </c>
      <c r="D5" s="19">
        <v>0</v>
      </c>
      <c r="E5" s="19">
        <v>1</v>
      </c>
      <c r="F5" s="19">
        <v>0</v>
      </c>
      <c r="G5" s="19">
        <v>0</v>
      </c>
      <c r="H5" s="19">
        <v>0</v>
      </c>
      <c r="I5" s="19">
        <v>0</v>
      </c>
      <c r="J5" s="19">
        <v>0</v>
      </c>
      <c r="K5" s="19">
        <v>1</v>
      </c>
      <c r="L5" s="19">
        <v>0</v>
      </c>
      <c r="M5" s="19">
        <v>0</v>
      </c>
      <c r="N5" s="19">
        <v>0</v>
      </c>
      <c r="O5" s="19">
        <v>0</v>
      </c>
      <c r="P5" s="19">
        <v>1.9319912336612788E-10</v>
      </c>
      <c r="Q5" s="19">
        <v>1</v>
      </c>
      <c r="R5" s="19">
        <v>1</v>
      </c>
      <c r="S5" s="19">
        <v>1</v>
      </c>
      <c r="T5" s="19">
        <v>1</v>
      </c>
      <c r="U5" s="19">
        <v>1</v>
      </c>
      <c r="V5" s="19">
        <v>1</v>
      </c>
      <c r="W5" s="19">
        <v>1</v>
      </c>
      <c r="X5" s="19">
        <v>1</v>
      </c>
      <c r="Y5" s="19">
        <v>1</v>
      </c>
      <c r="Z5" s="19">
        <v>1</v>
      </c>
      <c r="AA5" s="19">
        <v>1</v>
      </c>
      <c r="AB5" s="19">
        <v>1</v>
      </c>
      <c r="AC5" s="19">
        <v>1</v>
      </c>
      <c r="AD5" s="19">
        <v>1</v>
      </c>
      <c r="AE5" s="19">
        <v>1</v>
      </c>
    </row>
    <row r="7" spans="1:31">
      <c r="A7" s="18" t="s">
        <v>2</v>
      </c>
      <c r="B7" s="18">
        <v>31500</v>
      </c>
      <c r="C7" s="18">
        <v>23000</v>
      </c>
      <c r="D7" s="20">
        <v>22600</v>
      </c>
      <c r="E7" s="18">
        <v>25800</v>
      </c>
      <c r="F7" s="18">
        <v>28900</v>
      </c>
      <c r="G7" s="18">
        <v>18200</v>
      </c>
      <c r="H7" s="20">
        <v>27600</v>
      </c>
      <c r="I7" s="18">
        <v>24000</v>
      </c>
      <c r="J7" s="18">
        <v>26500</v>
      </c>
      <c r="K7" s="18">
        <v>30100</v>
      </c>
      <c r="L7" s="20">
        <v>27000</v>
      </c>
      <c r="M7" s="20">
        <v>29500</v>
      </c>
      <c r="N7" s="18">
        <v>25200</v>
      </c>
      <c r="O7" s="18">
        <v>12800</v>
      </c>
      <c r="P7" s="20">
        <v>20900</v>
      </c>
      <c r="Q7" s="18">
        <v>23100</v>
      </c>
      <c r="R7" s="20">
        <v>21200</v>
      </c>
      <c r="S7" s="18">
        <v>23100</v>
      </c>
      <c r="T7" s="18">
        <v>33400</v>
      </c>
      <c r="U7" s="20">
        <v>22600</v>
      </c>
      <c r="V7" s="18">
        <v>27900</v>
      </c>
      <c r="W7" s="18">
        <v>34400</v>
      </c>
      <c r="X7" s="18">
        <v>29000</v>
      </c>
      <c r="Y7" s="18">
        <v>29200</v>
      </c>
      <c r="Z7" s="20">
        <v>25200</v>
      </c>
      <c r="AA7" s="20">
        <v>21800</v>
      </c>
      <c r="AB7" s="18">
        <v>17400</v>
      </c>
      <c r="AC7" s="20">
        <v>22200</v>
      </c>
      <c r="AD7" s="18">
        <v>16200</v>
      </c>
      <c r="AE7" s="18">
        <v>26400</v>
      </c>
    </row>
    <row r="8" spans="1:31">
      <c r="A8" s="18" t="s">
        <v>3</v>
      </c>
      <c r="B8" s="18">
        <v>12400</v>
      </c>
      <c r="C8" s="18">
        <v>9000</v>
      </c>
      <c r="D8" s="20">
        <v>8500</v>
      </c>
      <c r="E8" s="18">
        <v>8500</v>
      </c>
      <c r="F8" s="18">
        <v>9400</v>
      </c>
      <c r="G8" s="18">
        <v>5900</v>
      </c>
      <c r="H8" s="20">
        <v>8600</v>
      </c>
      <c r="I8" s="18">
        <v>7300</v>
      </c>
      <c r="J8" s="18">
        <v>7900</v>
      </c>
      <c r="K8" s="18">
        <v>8600</v>
      </c>
      <c r="L8" s="20">
        <v>7600</v>
      </c>
      <c r="M8" s="20">
        <v>8300</v>
      </c>
      <c r="N8" s="18">
        <v>7000</v>
      </c>
      <c r="O8" s="18">
        <v>2900</v>
      </c>
      <c r="P8" s="20">
        <v>4700</v>
      </c>
      <c r="Q8" s="18">
        <v>5000</v>
      </c>
      <c r="R8" s="20">
        <v>4400</v>
      </c>
      <c r="S8" s="18">
        <v>4700</v>
      </c>
      <c r="T8" s="18">
        <v>6700</v>
      </c>
      <c r="U8" s="20">
        <v>4500</v>
      </c>
      <c r="V8" s="18">
        <v>5100</v>
      </c>
      <c r="W8" s="18">
        <v>6200</v>
      </c>
      <c r="X8" s="18">
        <v>5100</v>
      </c>
      <c r="Y8" s="18">
        <v>5100</v>
      </c>
      <c r="Z8" s="20">
        <v>4300</v>
      </c>
      <c r="AA8" s="20">
        <v>2800</v>
      </c>
      <c r="AB8" s="18">
        <v>2200</v>
      </c>
      <c r="AC8" s="20">
        <v>2700</v>
      </c>
      <c r="AD8" s="18">
        <v>1800</v>
      </c>
      <c r="AE8" s="18">
        <v>2800</v>
      </c>
    </row>
    <row r="9" spans="1:31">
      <c r="A9" s="18" t="s">
        <v>4</v>
      </c>
      <c r="B9" s="21">
        <f t="shared" ref="B9:AE9" si="0">NPV/Cost</f>
        <v>2.5403225806451615</v>
      </c>
      <c r="C9" s="21">
        <f t="shared" si="0"/>
        <v>2.5555555555555554</v>
      </c>
      <c r="D9" s="21">
        <f t="shared" si="0"/>
        <v>2.6588235294117646</v>
      </c>
      <c r="E9" s="21">
        <f t="shared" si="0"/>
        <v>3.0352941176470587</v>
      </c>
      <c r="F9" s="21">
        <f t="shared" si="0"/>
        <v>3.0744680851063828</v>
      </c>
      <c r="G9" s="21">
        <f t="shared" si="0"/>
        <v>3.0847457627118646</v>
      </c>
      <c r="H9" s="21">
        <f t="shared" si="0"/>
        <v>3.2093023255813953</v>
      </c>
      <c r="I9" s="21">
        <f t="shared" si="0"/>
        <v>3.2876712328767121</v>
      </c>
      <c r="J9" s="21">
        <f t="shared" si="0"/>
        <v>3.3544303797468356</v>
      </c>
      <c r="K9" s="21">
        <f t="shared" si="0"/>
        <v>3.5</v>
      </c>
      <c r="L9" s="21">
        <f t="shared" si="0"/>
        <v>3.5526315789473686</v>
      </c>
      <c r="M9" s="21">
        <f t="shared" si="0"/>
        <v>3.5542168674698793</v>
      </c>
      <c r="N9" s="21">
        <f t="shared" si="0"/>
        <v>3.6</v>
      </c>
      <c r="O9" s="21">
        <f t="shared" si="0"/>
        <v>4.4137931034482758</v>
      </c>
      <c r="P9" s="21">
        <f t="shared" si="0"/>
        <v>4.4468085106382977</v>
      </c>
      <c r="Q9" s="21">
        <f t="shared" si="0"/>
        <v>4.62</v>
      </c>
      <c r="R9" s="21">
        <f t="shared" si="0"/>
        <v>4.8181818181818183</v>
      </c>
      <c r="S9" s="21">
        <f t="shared" si="0"/>
        <v>4.9148936170212769</v>
      </c>
      <c r="T9" s="21">
        <f t="shared" si="0"/>
        <v>4.9850746268656714</v>
      </c>
      <c r="U9" s="21">
        <f t="shared" si="0"/>
        <v>5.0222222222222221</v>
      </c>
      <c r="V9" s="21">
        <f t="shared" si="0"/>
        <v>5.4705882352941178</v>
      </c>
      <c r="W9" s="21">
        <f t="shared" si="0"/>
        <v>5.5483870967741939</v>
      </c>
      <c r="X9" s="21">
        <f t="shared" si="0"/>
        <v>5.6862745098039218</v>
      </c>
      <c r="Y9" s="21">
        <f t="shared" si="0"/>
        <v>5.7254901960784315</v>
      </c>
      <c r="Z9" s="21">
        <f t="shared" si="0"/>
        <v>5.8604651162790695</v>
      </c>
      <c r="AA9" s="21">
        <f t="shared" si="0"/>
        <v>7.7857142857142856</v>
      </c>
      <c r="AB9" s="21">
        <f t="shared" si="0"/>
        <v>7.9090909090909092</v>
      </c>
      <c r="AC9" s="21">
        <f t="shared" si="0"/>
        <v>8.2222222222222214</v>
      </c>
      <c r="AD9" s="21">
        <f t="shared" si="0"/>
        <v>9</v>
      </c>
      <c r="AE9" s="21">
        <f t="shared" si="0"/>
        <v>9.4285714285714288</v>
      </c>
    </row>
    <row r="10" spans="1:31">
      <c r="B10" s="20"/>
      <c r="C10" s="20"/>
      <c r="D10" s="20"/>
      <c r="E10" s="20"/>
      <c r="F10" s="20"/>
      <c r="G10" s="20"/>
      <c r="H10" s="20"/>
      <c r="I10" s="20"/>
      <c r="J10" s="20"/>
      <c r="K10" s="20"/>
    </row>
    <row r="11" spans="1:31">
      <c r="A11" s="18" t="s">
        <v>5</v>
      </c>
      <c r="B11" s="22" t="s">
        <v>6</v>
      </c>
      <c r="C11" s="22"/>
      <c r="D11" s="22" t="s">
        <v>7</v>
      </c>
    </row>
    <row r="12" spans="1:31">
      <c r="B12" s="20">
        <f>SUMPRODUCT(Cost,Level)</f>
        <v>80500.00000090804</v>
      </c>
      <c r="C12" s="23" t="s">
        <v>8</v>
      </c>
      <c r="D12" s="20">
        <v>80500</v>
      </c>
    </row>
    <row r="14" spans="1:31">
      <c r="A14" s="24" t="s">
        <v>9</v>
      </c>
      <c r="B14" s="20">
        <f>SUMPRODUCT(Level,NPV)</f>
        <v>429000.00000403787</v>
      </c>
    </row>
  </sheetData>
  <phoneticPr fontId="0" type="noConversion"/>
  <pageMargins left="0.75" right="0.75" top="1" bottom="1" header="0.5" footer="0.5"/>
  <pageSetup orientation="portrait" r:id="rId1"/>
  <headerFooter alignWithMargins="0">
    <oddHeader>&amp;A</oddHeader>
    <oddFoote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Explanation</vt:lpstr>
      <vt:lpstr>Model</vt:lpstr>
      <vt:lpstr>Report</vt:lpstr>
      <vt:lpstr>Interesting</vt:lpstr>
      <vt:lpstr>Interesting!Budget</vt:lpstr>
      <vt:lpstr>Budget</vt:lpstr>
      <vt:lpstr>Interesting!Cost</vt:lpstr>
      <vt:lpstr>InvCost</vt:lpstr>
      <vt:lpstr>InvestHeur</vt:lpstr>
      <vt:lpstr>InvestOpt</vt:lpstr>
      <vt:lpstr>InvLevel</vt:lpstr>
      <vt:lpstr>LeftoverHeur</vt:lpstr>
      <vt:lpstr>LeftoverOpt</vt:lpstr>
      <vt:lpstr>Interesting!Level</vt:lpstr>
      <vt:lpstr>Interesting!NPV</vt:lpstr>
      <vt:lpstr>NPV</vt:lpstr>
      <vt:lpstr>Model!Print_Area</vt:lpstr>
      <vt:lpstr>Report!Print_Area</vt:lpstr>
      <vt:lpstr>Interesting!SortRange</vt:lpstr>
      <vt:lpstr>Interesting!TotCost</vt:lpstr>
      <vt:lpstr>TotCost</vt:lpstr>
      <vt:lpstr>Interesting!TotNPV</vt:lpstr>
      <vt:lpstr>TotNPV</vt:lpstr>
      <vt:lpstr>TotNPVHeur</vt:lpstr>
      <vt:lpstr>TotNPVOpt</vt:lpstr>
    </vt:vector>
  </TitlesOfParts>
  <Company>Indiana University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 Chris Albright</cp:lastModifiedBy>
  <cp:lastPrinted>2008-11-08T01:00:35Z</cp:lastPrinted>
  <dcterms:created xsi:type="dcterms:W3CDTF">1996-10-23T20:02:33Z</dcterms:created>
  <dcterms:modified xsi:type="dcterms:W3CDTF">2009-05-17T23:46:10Z</dcterms:modified>
</cp:coreProperties>
</file>