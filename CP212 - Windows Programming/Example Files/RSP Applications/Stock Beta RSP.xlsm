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0" yWindow="2445" windowWidth="12000" windowHeight="5550"/>
  </bookViews>
  <sheets>
    <sheet name="Explanation" sheetId="485" r:id="rId1"/>
    <sheet name="Model" sheetId="117" r:id="rId2"/>
    <sheet name="TSChart" sheetId="486" state="hidden" r:id="rId3"/>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AbsErrs">Model!$G$11:$G$202</definedName>
    <definedName name="Alpha">Model!$B$4</definedName>
    <definedName name="AlphaBeta">Model!$B$4:$B$5</definedName>
    <definedName name="Beta">Model!$B$5</definedName>
    <definedName name="Companies">Model!$AA$2:$AB$19</definedName>
    <definedName name="param_cuthi" localSheetId="1" hidden="1">2E+30</definedName>
    <definedName name="param_cutlo" localSheetId="1" hidden="1">-2E+30</definedName>
    <definedName name="param_epstep" localSheetId="1" hidden="1">0.000001</definedName>
    <definedName name="param_iisbnd" localSheetId="1" hidden="1">0</definedName>
    <definedName name="_xlnm.Print_Area" localSheetId="1">Model!$AA$1:$AD$19</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1" hidden="1">Model!$B$4:$B$5</definedName>
    <definedName name="solver_adj_ob" localSheetId="1" hidden="1">1</definedName>
    <definedName name="solver_cha" localSheetId="1" hidden="1">0</definedName>
    <definedName name="solver_chn" localSheetId="1" hidden="1">4</definedName>
    <definedName name="solver_cht" localSheetId="1" hidden="1">0</definedName>
    <definedName name="solver_con" localSheetId="1" hidden="1">" "</definedName>
    <definedName name="solver_cvg" localSheetId="1" hidden="1">0.0001</definedName>
    <definedName name="solver_dia" localSheetId="1" hidden="1">5</definedName>
    <definedName name="solver_drv" localSheetId="1" hidden="1">1</definedName>
    <definedName name="solver_eng" localSheetId="1" hidden="1">1</definedName>
    <definedName name="solver_est" localSheetId="1" hidden="1">1</definedName>
    <definedName name="solver_iao" localSheetId="1" hidden="1">0</definedName>
    <definedName name="solver_ibd" localSheetId="1" hidden="1">2</definedName>
    <definedName name="solver_int" localSheetId="1" hidden="1">0</definedName>
    <definedName name="solver_irs" localSheetId="1" hidden="1">0</definedName>
    <definedName name="solver_ism" localSheetId="1" hidden="1">0</definedName>
    <definedName name="solver_itr" localSheetId="1" hidden="1">1000</definedName>
    <definedName name="solver_kiv" localSheetId="1" hidden="1">2E+30</definedName>
    <definedName name="solver_lin" localSheetId="1" hidden="1">2</definedName>
    <definedName name="solver_lva" localSheetId="1" hidden="1">2</definedName>
    <definedName name="solver_mda" localSheetId="1" hidden="1">4</definedName>
    <definedName name="solver_mip" localSheetId="1" hidden="1">1000</definedName>
    <definedName name="solver_mni" localSheetId="1" hidden="1">30</definedName>
    <definedName name="solver_mod" localSheetId="1" hidden="1">3</definedName>
    <definedName name="solver_mrt" localSheetId="1" hidden="1">0.075</definedName>
    <definedName name="solver_msl" localSheetId="1" hidden="1">0</definedName>
    <definedName name="solver_neg" localSheetId="1" hidden="1">2</definedName>
    <definedName name="solver_nod" localSheetId="1" hidden="1">1000</definedName>
    <definedName name="solver_ntr" localSheetId="1" hidden="1">2</definedName>
    <definedName name="solver_ntri" hidden="1">1000</definedName>
    <definedName name="solver_num" localSheetId="1" hidden="1">0</definedName>
    <definedName name="solver_nwt" localSheetId="1" hidden="1">1</definedName>
    <definedName name="solver_obc" localSheetId="1" hidden="1">0</definedName>
    <definedName name="solver_obp" localSheetId="1" hidden="1">0</definedName>
    <definedName name="solver_ofx" localSheetId="1" hidden="1">2</definedName>
    <definedName name="solver_opt" localSheetId="1" hidden="1">Target</definedName>
    <definedName name="solver_opt_ob" localSheetId="1" hidden="1">1</definedName>
    <definedName name="solver_piv" localSheetId="1" hidden="1">0.000001</definedName>
    <definedName name="solver_pre" localSheetId="1" hidden="1">0.000001</definedName>
    <definedName name="solver_pro" localSheetId="1" hidden="1">2</definedName>
    <definedName name="solver_psi" localSheetId="1" hidden="1">0</definedName>
    <definedName name="solver_rbv" localSheetId="1" hidden="1">1</definedName>
    <definedName name="solver_rdp" localSheetId="1" hidden="1">0</definedName>
    <definedName name="solver_red" localSheetId="1" hidden="1">0.000001</definedName>
    <definedName name="solver_reo" localSheetId="1" hidden="1">2</definedName>
    <definedName name="solver_rep" localSheetId="1" hidden="1">2</definedName>
    <definedName name="solver_rlx" localSheetId="1" hidden="1">0</definedName>
    <definedName name="solver_rsd" localSheetId="1" hidden="1">0</definedName>
    <definedName name="solver_rsmp" hidden="1">1</definedName>
    <definedName name="solver_rtr" localSheetId="1" hidden="1">0</definedName>
    <definedName name="solver_rxv" localSheetId="1" hidden="1">1</definedName>
    <definedName name="solver_scl" localSheetId="1" hidden="1">2</definedName>
    <definedName name="solver_seed" hidden="1">0</definedName>
    <definedName name="solver_sel" localSheetId="1" hidden="1">1</definedName>
    <definedName name="solver_sho" localSheetId="1" hidden="1">2</definedName>
    <definedName name="solver_slv" localSheetId="1" hidden="1">0</definedName>
    <definedName name="solver_slvu" localSheetId="1" hidden="1">0</definedName>
    <definedName name="solver_ssz" localSheetId="1" hidden="1">100</definedName>
    <definedName name="solver_std" localSheetId="1" hidden="1">0</definedName>
    <definedName name="solver_tim" localSheetId="1" hidden="1">100</definedName>
    <definedName name="solver_tms" localSheetId="1" hidden="1">0</definedName>
    <definedName name="solver_tol" localSheetId="1" hidden="1">0.05</definedName>
    <definedName name="solver_typ" localSheetId="1" hidden="1">2</definedName>
    <definedName name="solver_umod" localSheetId="1" hidden="1">1</definedName>
    <definedName name="solver_urs" localSheetId="1" hidden="1">0</definedName>
    <definedName name="solver_val" localSheetId="1" hidden="1">0</definedName>
    <definedName name="solver_var" localSheetId="1" hidden="1">" "</definedName>
    <definedName name="solver_ver" localSheetId="1" hidden="1">9</definedName>
    <definedName name="solver_vir" localSheetId="1" hidden="1">1</definedName>
    <definedName name="solver_vol" localSheetId="1" hidden="1">0</definedName>
    <definedName name="solver_vst" localSheetId="1" hidden="1">0</definedName>
    <definedName name="SqErrs">Model!$F$11:$F$106</definedName>
    <definedName name="Target">Model!$K$11</definedName>
    <definedName name="Weight">Model!$B$7</definedName>
  </definedNames>
  <calcPr calcId="125725"/>
</workbook>
</file>

<file path=xl/calcChain.xml><?xml version="1.0" encoding="utf-8"?>
<calcChain xmlns="http://schemas.openxmlformats.org/spreadsheetml/2006/main">
  <c r="D11" i="117"/>
  <c r="E11" s="1"/>
  <c r="D12"/>
  <c r="E12" s="1"/>
  <c r="D13"/>
  <c r="E13" s="1"/>
  <c r="D14"/>
  <c r="E14" s="1"/>
  <c r="D15"/>
  <c r="E15" s="1"/>
  <c r="D16"/>
  <c r="E16" s="1"/>
  <c r="D17"/>
  <c r="E17" s="1"/>
  <c r="D18"/>
  <c r="E18" s="1"/>
  <c r="D19"/>
  <c r="E19" s="1"/>
  <c r="D20"/>
  <c r="E20" s="1"/>
  <c r="D21"/>
  <c r="E21" s="1"/>
  <c r="D22"/>
  <c r="E22" s="1"/>
  <c r="D23"/>
  <c r="E23" s="1"/>
  <c r="D24"/>
  <c r="E24" s="1"/>
  <c r="D25"/>
  <c r="E25" s="1"/>
  <c r="D26"/>
  <c r="E26" s="1"/>
  <c r="D27"/>
  <c r="E27" s="1"/>
  <c r="D28"/>
  <c r="E28" s="1"/>
  <c r="D29"/>
  <c r="E29" s="1"/>
  <c r="D30"/>
  <c r="E30" s="1"/>
  <c r="D31"/>
  <c r="E31" s="1"/>
  <c r="D32"/>
  <c r="E32" s="1"/>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51"/>
  <c r="E51" s="1"/>
  <c r="D52"/>
  <c r="E52" s="1"/>
  <c r="D53"/>
  <c r="E53" s="1"/>
  <c r="D54"/>
  <c r="E54" s="1"/>
  <c r="D55"/>
  <c r="E55" s="1"/>
  <c r="D56"/>
  <c r="E56" s="1"/>
  <c r="D57"/>
  <c r="E57" s="1"/>
  <c r="D58"/>
  <c r="E58" s="1"/>
  <c r="D59"/>
  <c r="E59" s="1"/>
  <c r="D60"/>
  <c r="E60" s="1"/>
  <c r="D61"/>
  <c r="E61" s="1"/>
  <c r="D62"/>
  <c r="E62" s="1"/>
  <c r="D63"/>
  <c r="E63" s="1"/>
  <c r="D64"/>
  <c r="E64" s="1"/>
  <c r="D65"/>
  <c r="E65" s="1"/>
  <c r="D66"/>
  <c r="E66" s="1"/>
  <c r="D67"/>
  <c r="E67" s="1"/>
  <c r="D68"/>
  <c r="E68" s="1"/>
  <c r="D69"/>
  <c r="E69" s="1"/>
  <c r="D70"/>
  <c r="E70" s="1"/>
  <c r="D71"/>
  <c r="E71" s="1"/>
  <c r="D72"/>
  <c r="E72" s="1"/>
  <c r="D73"/>
  <c r="E73" s="1"/>
  <c r="D74"/>
  <c r="E74" s="1"/>
  <c r="D75"/>
  <c r="E75" s="1"/>
  <c r="D76"/>
  <c r="E76" s="1"/>
  <c r="D77"/>
  <c r="E77" s="1"/>
  <c r="D78"/>
  <c r="E78" s="1"/>
  <c r="D79"/>
  <c r="E79" s="1"/>
  <c r="D80"/>
  <c r="E80" s="1"/>
  <c r="D81"/>
  <c r="E81" s="1"/>
  <c r="D82"/>
  <c r="E82" s="1"/>
  <c r="D83"/>
  <c r="E83" s="1"/>
  <c r="D84"/>
  <c r="E84" s="1"/>
  <c r="D85"/>
  <c r="E85" s="1"/>
  <c r="D86"/>
  <c r="E86" s="1"/>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134"/>
  <c r="E134" s="1"/>
  <c r="D135"/>
  <c r="E135" s="1"/>
  <c r="D136"/>
  <c r="E136" s="1"/>
  <c r="D137"/>
  <c r="E137" s="1"/>
  <c r="D138"/>
  <c r="E138" s="1"/>
  <c r="D139"/>
  <c r="E139" s="1"/>
  <c r="D140"/>
  <c r="E140" s="1"/>
  <c r="D141"/>
  <c r="E141" s="1"/>
  <c r="D142"/>
  <c r="E142" s="1"/>
  <c r="D143"/>
  <c r="E143" s="1"/>
  <c r="D144"/>
  <c r="E144" s="1"/>
  <c r="D145"/>
  <c r="E145" s="1"/>
  <c r="D146"/>
  <c r="E146" s="1"/>
  <c r="D147"/>
  <c r="E147" s="1"/>
  <c r="D148"/>
  <c r="E148" s="1"/>
  <c r="D149"/>
  <c r="E149" s="1"/>
  <c r="D150"/>
  <c r="E150" s="1"/>
  <c r="D151"/>
  <c r="E151" s="1"/>
  <c r="D152"/>
  <c r="E152" s="1"/>
  <c r="D153"/>
  <c r="E153" s="1"/>
  <c r="D154"/>
  <c r="E154" s="1"/>
  <c r="D155"/>
  <c r="E155" s="1"/>
  <c r="D156"/>
  <c r="E156" s="1"/>
  <c r="D157"/>
  <c r="E157" s="1"/>
  <c r="D158"/>
  <c r="E158" s="1"/>
  <c r="D159"/>
  <c r="E159" s="1"/>
  <c r="D160"/>
  <c r="E160" s="1"/>
  <c r="D161"/>
  <c r="E161" s="1"/>
  <c r="D162"/>
  <c r="E162" s="1"/>
  <c r="D163"/>
  <c r="E163" s="1"/>
  <c r="D164"/>
  <c r="E164" s="1"/>
  <c r="D165"/>
  <c r="E165" s="1"/>
  <c r="D166"/>
  <c r="E166" s="1"/>
  <c r="D167"/>
  <c r="E167" s="1"/>
  <c r="D168"/>
  <c r="E168" s="1"/>
  <c r="D169"/>
  <c r="E169" s="1"/>
  <c r="D170"/>
  <c r="E170" s="1"/>
  <c r="D171"/>
  <c r="E171" s="1"/>
  <c r="D172"/>
  <c r="E172" s="1"/>
  <c r="D173"/>
  <c r="E173" s="1"/>
  <c r="D174"/>
  <c r="E174" s="1"/>
  <c r="D175"/>
  <c r="E175" s="1"/>
  <c r="D176"/>
  <c r="E176" s="1"/>
  <c r="D177"/>
  <c r="E177" s="1"/>
  <c r="D178"/>
  <c r="E178" s="1"/>
  <c r="D179"/>
  <c r="E179" s="1"/>
  <c r="D180"/>
  <c r="E180" s="1"/>
  <c r="D181"/>
  <c r="E181" s="1"/>
  <c r="D182"/>
  <c r="E182" s="1"/>
  <c r="D183"/>
  <c r="E183" s="1"/>
  <c r="D184"/>
  <c r="E184" s="1"/>
  <c r="D185"/>
  <c r="E185" s="1"/>
  <c r="D186"/>
  <c r="E186" s="1"/>
  <c r="D187"/>
  <c r="E187" s="1"/>
  <c r="D188"/>
  <c r="E188" s="1"/>
  <c r="D189"/>
  <c r="E189" s="1"/>
  <c r="D190"/>
  <c r="E190" s="1"/>
  <c r="D191"/>
  <c r="E191" s="1"/>
  <c r="D192"/>
  <c r="E192" s="1"/>
  <c r="D193"/>
  <c r="E193" s="1"/>
  <c r="D194"/>
  <c r="E194" s="1"/>
  <c r="D195"/>
  <c r="E195" s="1"/>
  <c r="D196"/>
  <c r="E196" s="1"/>
  <c r="D197"/>
  <c r="E197" s="1"/>
  <c r="D198"/>
  <c r="E198" s="1"/>
  <c r="D199"/>
  <c r="E199" s="1"/>
  <c r="D200"/>
  <c r="E200" s="1"/>
  <c r="D201"/>
  <c r="E201" s="1"/>
  <c r="D202"/>
  <c r="E202" s="1"/>
  <c r="G202" l="1"/>
  <c r="F202"/>
  <c r="G201"/>
  <c r="F201"/>
  <c r="G199"/>
  <c r="F199"/>
  <c r="G197"/>
  <c r="F197"/>
  <c r="G195"/>
  <c r="F195"/>
  <c r="G193"/>
  <c r="F193"/>
  <c r="G191"/>
  <c r="F191"/>
  <c r="G189"/>
  <c r="F189"/>
  <c r="G187"/>
  <c r="F187"/>
  <c r="G185"/>
  <c r="F185"/>
  <c r="G183"/>
  <c r="F183"/>
  <c r="G181"/>
  <c r="F181"/>
  <c r="G179"/>
  <c r="F179"/>
  <c r="G177"/>
  <c r="F177"/>
  <c r="G175"/>
  <c r="F175"/>
  <c r="G173"/>
  <c r="F173"/>
  <c r="G171"/>
  <c r="F171"/>
  <c r="G169"/>
  <c r="F169"/>
  <c r="G167"/>
  <c r="F167"/>
  <c r="G165"/>
  <c r="F165"/>
  <c r="G163"/>
  <c r="F163"/>
  <c r="G161"/>
  <c r="F161"/>
  <c r="G159"/>
  <c r="F159"/>
  <c r="G157"/>
  <c r="F157"/>
  <c r="G155"/>
  <c r="F155"/>
  <c r="G153"/>
  <c r="F153"/>
  <c r="G151"/>
  <c r="F151"/>
  <c r="G149"/>
  <c r="F149"/>
  <c r="G147"/>
  <c r="F147"/>
  <c r="G145"/>
  <c r="F145"/>
  <c r="G143"/>
  <c r="F143"/>
  <c r="G141"/>
  <c r="F141"/>
  <c r="G139"/>
  <c r="F139"/>
  <c r="G137"/>
  <c r="F137"/>
  <c r="G200"/>
  <c r="F200"/>
  <c r="G198"/>
  <c r="F198"/>
  <c r="G196"/>
  <c r="F196"/>
  <c r="G194"/>
  <c r="F194"/>
  <c r="G192"/>
  <c r="F192"/>
  <c r="G190"/>
  <c r="F190"/>
  <c r="G188"/>
  <c r="F188"/>
  <c r="G186"/>
  <c r="F186"/>
  <c r="G184"/>
  <c r="F184"/>
  <c r="G182"/>
  <c r="F182"/>
  <c r="G180"/>
  <c r="F180"/>
  <c r="G178"/>
  <c r="F178"/>
  <c r="G176"/>
  <c r="F176"/>
  <c r="G174"/>
  <c r="F174"/>
  <c r="G172"/>
  <c r="F172"/>
  <c r="G170"/>
  <c r="F170"/>
  <c r="G168"/>
  <c r="F168"/>
  <c r="G166"/>
  <c r="F166"/>
  <c r="G164"/>
  <c r="F164"/>
  <c r="G162"/>
  <c r="F162"/>
  <c r="G160"/>
  <c r="F160"/>
  <c r="G158"/>
  <c r="F158"/>
  <c r="G156"/>
  <c r="F156"/>
  <c r="G154"/>
  <c r="F154"/>
  <c r="G152"/>
  <c r="F152"/>
  <c r="G150"/>
  <c r="F150"/>
  <c r="G148"/>
  <c r="F148"/>
  <c r="G146"/>
  <c r="F146"/>
  <c r="G144"/>
  <c r="F144"/>
  <c r="G142"/>
  <c r="F142"/>
  <c r="G140"/>
  <c r="F140"/>
  <c r="G138"/>
  <c r="F138"/>
  <c r="G135"/>
  <c r="F135"/>
  <c r="G133"/>
  <c r="F133"/>
  <c r="G131"/>
  <c r="F131"/>
  <c r="G129"/>
  <c r="F129"/>
  <c r="G127"/>
  <c r="F127"/>
  <c r="G125"/>
  <c r="F125"/>
  <c r="G123"/>
  <c r="F123"/>
  <c r="G121"/>
  <c r="F121"/>
  <c r="G119"/>
  <c r="F119"/>
  <c r="G117"/>
  <c r="F117"/>
  <c r="G115"/>
  <c r="F115"/>
  <c r="G113"/>
  <c r="F113"/>
  <c r="G111"/>
  <c r="F111"/>
  <c r="G109"/>
  <c r="F109"/>
  <c r="G107"/>
  <c r="F107"/>
  <c r="G105"/>
  <c r="F105"/>
  <c r="G103"/>
  <c r="F103"/>
  <c r="G101"/>
  <c r="F101"/>
  <c r="G99"/>
  <c r="F99"/>
  <c r="G97"/>
  <c r="F97"/>
  <c r="G95"/>
  <c r="F95"/>
  <c r="G93"/>
  <c r="F93"/>
  <c r="G91"/>
  <c r="F91"/>
  <c r="G89"/>
  <c r="F89"/>
  <c r="G87"/>
  <c r="F87"/>
  <c r="G85"/>
  <c r="F85"/>
  <c r="G83"/>
  <c r="F83"/>
  <c r="G81"/>
  <c r="F81"/>
  <c r="G79"/>
  <c r="F79"/>
  <c r="G77"/>
  <c r="F77"/>
  <c r="G75"/>
  <c r="F75"/>
  <c r="G73"/>
  <c r="F73"/>
  <c r="G71"/>
  <c r="F71"/>
  <c r="G69"/>
  <c r="F69"/>
  <c r="G67"/>
  <c r="F67"/>
  <c r="G65"/>
  <c r="F65"/>
  <c r="G63"/>
  <c r="F63"/>
  <c r="G61"/>
  <c r="F61"/>
  <c r="G59"/>
  <c r="F59"/>
  <c r="G57"/>
  <c r="F57"/>
  <c r="G55"/>
  <c r="F55"/>
  <c r="G53"/>
  <c r="F53"/>
  <c r="G51"/>
  <c r="F51"/>
  <c r="G49"/>
  <c r="F49"/>
  <c r="G47"/>
  <c r="F47"/>
  <c r="G45"/>
  <c r="F45"/>
  <c r="G43"/>
  <c r="F43"/>
  <c r="G41"/>
  <c r="F41"/>
  <c r="G39"/>
  <c r="F39"/>
  <c r="G37"/>
  <c r="F37"/>
  <c r="G35"/>
  <c r="F35"/>
  <c r="G33"/>
  <c r="F33"/>
  <c r="G31"/>
  <c r="F31"/>
  <c r="G29"/>
  <c r="F29"/>
  <c r="G27"/>
  <c r="F27"/>
  <c r="G25"/>
  <c r="F25"/>
  <c r="G23"/>
  <c r="F23"/>
  <c r="G21"/>
  <c r="F21"/>
  <c r="G19"/>
  <c r="F19"/>
  <c r="G17"/>
  <c r="F17"/>
  <c r="G15"/>
  <c r="F15"/>
  <c r="G13"/>
  <c r="F13"/>
  <c r="G11"/>
  <c r="F11"/>
  <c r="G136"/>
  <c r="F136"/>
  <c r="G134"/>
  <c r="F134"/>
  <c r="G132"/>
  <c r="F132"/>
  <c r="G130"/>
  <c r="F130"/>
  <c r="G128"/>
  <c r="F128"/>
  <c r="G126"/>
  <c r="F126"/>
  <c r="G124"/>
  <c r="F124"/>
  <c r="G122"/>
  <c r="F122"/>
  <c r="G120"/>
  <c r="F120"/>
  <c r="G118"/>
  <c r="F118"/>
  <c r="G116"/>
  <c r="F116"/>
  <c r="G114"/>
  <c r="F114"/>
  <c r="G112"/>
  <c r="F112"/>
  <c r="G110"/>
  <c r="F110"/>
  <c r="G108"/>
  <c r="F108"/>
  <c r="G106"/>
  <c r="F106"/>
  <c r="G104"/>
  <c r="F104"/>
  <c r="G102"/>
  <c r="F102"/>
  <c r="G100"/>
  <c r="F100"/>
  <c r="G98"/>
  <c r="F98"/>
  <c r="G96"/>
  <c r="F96"/>
  <c r="G94"/>
  <c r="F94"/>
  <c r="G92"/>
  <c r="F92"/>
  <c r="G90"/>
  <c r="F90"/>
  <c r="G88"/>
  <c r="F88"/>
  <c r="G86"/>
  <c r="F86"/>
  <c r="G84"/>
  <c r="F84"/>
  <c r="G82"/>
  <c r="F82"/>
  <c r="G80"/>
  <c r="F80"/>
  <c r="G78"/>
  <c r="F78"/>
  <c r="G76"/>
  <c r="F76"/>
  <c r="G74"/>
  <c r="F74"/>
  <c r="G72"/>
  <c r="F72"/>
  <c r="G70"/>
  <c r="F70"/>
  <c r="G68"/>
  <c r="F68"/>
  <c r="G66"/>
  <c r="F66"/>
  <c r="G64"/>
  <c r="F64"/>
  <c r="G62"/>
  <c r="F62"/>
  <c r="G60"/>
  <c r="F60"/>
  <c r="G58"/>
  <c r="F58"/>
  <c r="G56"/>
  <c r="F56"/>
  <c r="G54"/>
  <c r="F54"/>
  <c r="G52"/>
  <c r="F52"/>
  <c r="G50"/>
  <c r="F50"/>
  <c r="G48"/>
  <c r="F48"/>
  <c r="G46"/>
  <c r="F46"/>
  <c r="G44"/>
  <c r="F44"/>
  <c r="G42"/>
  <c r="F42"/>
  <c r="G40"/>
  <c r="F40"/>
  <c r="G38"/>
  <c r="F38"/>
  <c r="G36"/>
  <c r="F36"/>
  <c r="G34"/>
  <c r="F34"/>
  <c r="G32"/>
  <c r="F32"/>
  <c r="G30"/>
  <c r="F30"/>
  <c r="G28"/>
  <c r="F28"/>
  <c r="G26"/>
  <c r="F26"/>
  <c r="G24"/>
  <c r="F24"/>
  <c r="G22"/>
  <c r="F22"/>
  <c r="G20"/>
  <c r="F20"/>
  <c r="G18"/>
  <c r="F18"/>
  <c r="G16"/>
  <c r="F16"/>
  <c r="G14"/>
  <c r="F14"/>
  <c r="G12"/>
  <c r="F12"/>
  <c r="K11" l="1"/>
</calcChain>
</file>

<file path=xl/comments1.xml><?xml version="1.0" encoding="utf-8"?>
<comments xmlns="http://schemas.openxmlformats.org/spreadsheetml/2006/main">
  <authors>
    <author>Chris Albright</author>
  </authors>
  <commentList>
    <comment ref="A7" authorId="0">
      <text>
        <r>
          <rPr>
            <b/>
            <sz val="8"/>
            <color indexed="81"/>
            <rFont val="Tahoma"/>
            <family val="2"/>
          </rPr>
          <t>Relevant only if weighted sum of squared errors method is used</t>
        </r>
        <r>
          <rPr>
            <sz val="8"/>
            <color indexed="81"/>
            <rFont val="Tahoma"/>
            <family val="2"/>
          </rPr>
          <t xml:space="preserve">
</t>
        </r>
      </text>
    </comment>
  </commentList>
</comments>
</file>

<file path=xl/sharedStrings.xml><?xml version="1.0" encoding="utf-8"?>
<sst xmlns="http://schemas.openxmlformats.org/spreadsheetml/2006/main" count="55" uniqueCount="54">
  <si>
    <t>Date</t>
  </si>
  <si>
    <t>Parameters</t>
  </si>
  <si>
    <t>Alpha</t>
  </si>
  <si>
    <t>Beta</t>
  </si>
  <si>
    <t>Predicted</t>
  </si>
  <si>
    <t>SqError</t>
  </si>
  <si>
    <t>Error</t>
  </si>
  <si>
    <t>AbsError</t>
  </si>
  <si>
    <t>Mkt return</t>
  </si>
  <si>
    <t>Stock return</t>
  </si>
  <si>
    <t>EK</t>
  </si>
  <si>
    <t>Eastman Kodak</t>
  </si>
  <si>
    <t>CAT</t>
  </si>
  <si>
    <t>Caterpillar</t>
  </si>
  <si>
    <t>WMT</t>
  </si>
  <si>
    <t>Wal-Mart</t>
  </si>
  <si>
    <t>KO</t>
  </si>
  <si>
    <t>Coca Cola</t>
  </si>
  <si>
    <t>JNJ</t>
  </si>
  <si>
    <t>Johnson &amp; Johnson</t>
  </si>
  <si>
    <t>GM</t>
  </si>
  <si>
    <t>General Motors</t>
  </si>
  <si>
    <t>MCD</t>
  </si>
  <si>
    <t>McDonald's</t>
  </si>
  <si>
    <t>DD</t>
  </si>
  <si>
    <t>BA</t>
  </si>
  <si>
    <t>Boeing</t>
  </si>
  <si>
    <t>T</t>
  </si>
  <si>
    <t>AT&amp;T</t>
  </si>
  <si>
    <t>FDX</t>
  </si>
  <si>
    <t>Federal Express</t>
  </si>
  <si>
    <t>MSFT</t>
  </si>
  <si>
    <t>Microsoft</t>
  </si>
  <si>
    <t>MO</t>
  </si>
  <si>
    <t>Philip Morris</t>
  </si>
  <si>
    <t>DIS</t>
  </si>
  <si>
    <t>MRK</t>
  </si>
  <si>
    <t>Merck</t>
  </si>
  <si>
    <t>AA</t>
  </si>
  <si>
    <t>Aluminum Company of America</t>
  </si>
  <si>
    <t>IBM</t>
  </si>
  <si>
    <t>Weighting constant</t>
  </si>
  <si>
    <t>Target for optimization</t>
  </si>
  <si>
    <t>Optimization model</t>
  </si>
  <si>
    <t>NA</t>
  </si>
  <si>
    <t>Application for Estimating Stock Betas</t>
  </si>
  <si>
    <t>Disney</t>
  </si>
  <si>
    <t>Symbol</t>
  </si>
  <si>
    <t>Name</t>
  </si>
  <si>
    <t>AAPL</t>
  </si>
  <si>
    <t>Apple</t>
  </si>
  <si>
    <t>DuPont</t>
  </si>
  <si>
    <t>Estimation model for Eastman Kodak: period from 01/1992 to 12/2007, sum of absolute errors estimation method</t>
  </si>
  <si>
    <t>SAE</t>
  </si>
</sst>
</file>

<file path=xl/styles.xml><?xml version="1.0" encoding="utf-8"?>
<styleSheet xmlns="http://schemas.openxmlformats.org/spreadsheetml/2006/main">
  <numFmts count="3">
    <numFmt numFmtId="164" formatCode="0.00000"/>
    <numFmt numFmtId="165" formatCode="0.0000"/>
    <numFmt numFmtId="166" formatCode="[$-409]mmm\-yy;@"/>
  </numFmts>
  <fonts count="8">
    <font>
      <sz val="10"/>
      <name val="Arial"/>
    </font>
    <font>
      <sz val="11"/>
      <name val="Calibri"/>
      <family val="2"/>
    </font>
    <font>
      <sz val="8"/>
      <color indexed="81"/>
      <name val="Tahoma"/>
      <family val="2"/>
    </font>
    <font>
      <b/>
      <sz val="8"/>
      <color indexed="81"/>
      <name val="Tahoma"/>
      <family val="2"/>
    </font>
    <font>
      <sz val="10"/>
      <name val="Arial"/>
      <family val="2"/>
    </font>
    <font>
      <sz val="11"/>
      <name val="Calibri"/>
      <family val="2"/>
      <scheme val="minor"/>
    </font>
    <font>
      <b/>
      <sz val="14"/>
      <name val="Calibri"/>
      <family val="2"/>
      <scheme val="minor"/>
    </font>
    <font>
      <b/>
      <sz val="11"/>
      <name val="Calibri"/>
      <family val="2"/>
      <scheme val="minor"/>
    </font>
  </fonts>
  <fills count="3">
    <fill>
      <patternFill patternType="none"/>
    </fill>
    <fill>
      <patternFill patternType="gray125"/>
    </fill>
    <fill>
      <patternFill patternType="solid">
        <fgColor theme="5" tint="0.59996337778862885"/>
        <bgColor indexed="64"/>
      </patternFill>
    </fill>
  </fills>
  <borders count="1">
    <border>
      <left/>
      <right/>
      <top/>
      <bottom/>
      <diagonal/>
    </border>
  </borders>
  <cellStyleXfs count="1">
    <xf numFmtId="0" fontId="0" fillId="0" borderId="0"/>
  </cellStyleXfs>
  <cellXfs count="18">
    <xf numFmtId="0" fontId="0" fillId="0" borderId="0" xfId="0"/>
    <xf numFmtId="0" fontId="5" fillId="0" borderId="0" xfId="0" applyFont="1" applyFill="1"/>
    <xf numFmtId="166" fontId="5" fillId="0" borderId="0" xfId="0" applyNumberFormat="1" applyFont="1" applyAlignment="1">
      <alignment horizontal="center"/>
    </xf>
    <xf numFmtId="0" fontId="5" fillId="0" borderId="0" xfId="0" applyFont="1" applyAlignment="1">
      <alignment horizontal="center"/>
    </xf>
    <xf numFmtId="0" fontId="7" fillId="0" borderId="0" xfId="0" applyFont="1"/>
    <xf numFmtId="0" fontId="5" fillId="0" borderId="0" xfId="0" applyFont="1"/>
    <xf numFmtId="0" fontId="5" fillId="0" borderId="0" xfId="0" applyFont="1" applyAlignment="1">
      <alignment horizontal="left"/>
    </xf>
    <xf numFmtId="165" fontId="5" fillId="0" borderId="0" xfId="0" applyNumberFormat="1" applyFont="1" applyBorder="1"/>
    <xf numFmtId="0" fontId="5" fillId="0" borderId="0" xfId="0" applyFont="1" applyFill="1" applyBorder="1"/>
    <xf numFmtId="0" fontId="5" fillId="0" borderId="0" xfId="0" applyFont="1" applyAlignment="1">
      <alignment horizontal="right"/>
    </xf>
    <xf numFmtId="164" fontId="5" fillId="0" borderId="0" xfId="0" applyNumberFormat="1" applyFont="1" applyBorder="1"/>
    <xf numFmtId="164" fontId="5" fillId="0" borderId="0" xfId="0" applyNumberFormat="1" applyFont="1"/>
    <xf numFmtId="165" fontId="5" fillId="0" borderId="0" xfId="0" applyNumberFormat="1" applyFont="1"/>
    <xf numFmtId="17" fontId="5" fillId="0" borderId="0" xfId="0" applyNumberFormat="1" applyFont="1"/>
    <xf numFmtId="165" fontId="5" fillId="2" borderId="0" xfId="0" applyNumberFormat="1" applyFont="1" applyFill="1" applyBorder="1"/>
    <xf numFmtId="164" fontId="7" fillId="0" borderId="0" xfId="0" applyNumberFormat="1" applyFont="1" applyBorder="1"/>
    <xf numFmtId="0" fontId="5" fillId="0" borderId="0" xfId="0" applyNumberFormat="1" applyFont="1"/>
    <xf numFmtId="0" fontId="6" fillId="0" borderId="0" xfId="0" applyFont="1" applyFill="1" applyAlignment="1">
      <alignment horizontal="center"/>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a:t>Stock returns and predictions for Eastman Kodak from 01/1992 to 12/2007</a:t>
            </a:r>
          </a:p>
        </c:rich>
      </c:tx>
      <c:layout>
        <c:manualLayout>
          <c:xMode val="edge"/>
          <c:yMode val="edge"/>
          <c:x val="0.11098779134295216"/>
          <c:y val="2.2838499184339361E-2"/>
        </c:manualLayout>
      </c:layout>
      <c:spPr>
        <a:noFill/>
        <a:ln w="25400">
          <a:noFill/>
        </a:ln>
      </c:spPr>
    </c:title>
    <c:plotArea>
      <c:layout>
        <c:manualLayout>
          <c:layoutTarget val="inner"/>
          <c:xMode val="edge"/>
          <c:yMode val="edge"/>
          <c:x val="7.9911209766925714E-2"/>
          <c:y val="0.12071778140293649"/>
          <c:w val="0.78024417314095451"/>
          <c:h val="0.84339314845024449"/>
        </c:manualLayout>
      </c:layout>
      <c:lineChart>
        <c:grouping val="standard"/>
        <c:ser>
          <c:idx val="0"/>
          <c:order val="0"/>
          <c:tx>
            <c:strRef>
              <c:f>Model!$C$10</c:f>
              <c:strCache>
                <c:ptCount val="1"/>
                <c:pt idx="0">
                  <c:v>Stock return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Model!$A$11:$A$202</c:f>
              <c:numCache>
                <c:formatCode>[$-409]mmm\-yy;@</c:formatCode>
                <c:ptCount val="192"/>
                <c:pt idx="0">
                  <c:v>39419</c:v>
                </c:pt>
                <c:pt idx="1">
                  <c:v>39387</c:v>
                </c:pt>
                <c:pt idx="2">
                  <c:v>39356</c:v>
                </c:pt>
                <c:pt idx="3">
                  <c:v>39329</c:v>
                </c:pt>
                <c:pt idx="4">
                  <c:v>39295</c:v>
                </c:pt>
                <c:pt idx="5">
                  <c:v>39265</c:v>
                </c:pt>
                <c:pt idx="6">
                  <c:v>39234</c:v>
                </c:pt>
                <c:pt idx="7">
                  <c:v>39203</c:v>
                </c:pt>
                <c:pt idx="8">
                  <c:v>39174</c:v>
                </c:pt>
                <c:pt idx="9">
                  <c:v>39142</c:v>
                </c:pt>
                <c:pt idx="10">
                  <c:v>39114</c:v>
                </c:pt>
                <c:pt idx="11">
                  <c:v>39085</c:v>
                </c:pt>
                <c:pt idx="12">
                  <c:v>39052</c:v>
                </c:pt>
                <c:pt idx="13">
                  <c:v>39022</c:v>
                </c:pt>
                <c:pt idx="14">
                  <c:v>38992</c:v>
                </c:pt>
                <c:pt idx="15">
                  <c:v>38961</c:v>
                </c:pt>
                <c:pt idx="16">
                  <c:v>38930</c:v>
                </c:pt>
                <c:pt idx="17">
                  <c:v>38901</c:v>
                </c:pt>
                <c:pt idx="18">
                  <c:v>38869</c:v>
                </c:pt>
                <c:pt idx="19">
                  <c:v>38838</c:v>
                </c:pt>
                <c:pt idx="20">
                  <c:v>38810</c:v>
                </c:pt>
                <c:pt idx="21">
                  <c:v>38777</c:v>
                </c:pt>
                <c:pt idx="22">
                  <c:v>38749</c:v>
                </c:pt>
                <c:pt idx="23">
                  <c:v>38720</c:v>
                </c:pt>
                <c:pt idx="24">
                  <c:v>38687</c:v>
                </c:pt>
                <c:pt idx="25">
                  <c:v>38657</c:v>
                </c:pt>
                <c:pt idx="26">
                  <c:v>38628</c:v>
                </c:pt>
                <c:pt idx="27">
                  <c:v>38596</c:v>
                </c:pt>
                <c:pt idx="28">
                  <c:v>38565</c:v>
                </c:pt>
                <c:pt idx="29">
                  <c:v>38534</c:v>
                </c:pt>
                <c:pt idx="30">
                  <c:v>38504</c:v>
                </c:pt>
                <c:pt idx="31">
                  <c:v>38474</c:v>
                </c:pt>
                <c:pt idx="32">
                  <c:v>38443</c:v>
                </c:pt>
                <c:pt idx="33">
                  <c:v>38412</c:v>
                </c:pt>
                <c:pt idx="34">
                  <c:v>38384</c:v>
                </c:pt>
                <c:pt idx="35">
                  <c:v>38355</c:v>
                </c:pt>
                <c:pt idx="36">
                  <c:v>38322</c:v>
                </c:pt>
                <c:pt idx="37">
                  <c:v>38292</c:v>
                </c:pt>
                <c:pt idx="38">
                  <c:v>38261</c:v>
                </c:pt>
                <c:pt idx="39">
                  <c:v>38231</c:v>
                </c:pt>
                <c:pt idx="40">
                  <c:v>38201</c:v>
                </c:pt>
                <c:pt idx="41">
                  <c:v>38169</c:v>
                </c:pt>
                <c:pt idx="42">
                  <c:v>38139</c:v>
                </c:pt>
                <c:pt idx="43">
                  <c:v>38110</c:v>
                </c:pt>
                <c:pt idx="44">
                  <c:v>38078</c:v>
                </c:pt>
                <c:pt idx="45">
                  <c:v>38047</c:v>
                </c:pt>
                <c:pt idx="46">
                  <c:v>38019</c:v>
                </c:pt>
                <c:pt idx="47">
                  <c:v>37988</c:v>
                </c:pt>
                <c:pt idx="48">
                  <c:v>37956</c:v>
                </c:pt>
                <c:pt idx="49">
                  <c:v>37928</c:v>
                </c:pt>
                <c:pt idx="50">
                  <c:v>37895</c:v>
                </c:pt>
                <c:pt idx="51">
                  <c:v>37866</c:v>
                </c:pt>
                <c:pt idx="52">
                  <c:v>37834</c:v>
                </c:pt>
                <c:pt idx="53">
                  <c:v>37803</c:v>
                </c:pt>
                <c:pt idx="54">
                  <c:v>37774</c:v>
                </c:pt>
                <c:pt idx="55">
                  <c:v>37742</c:v>
                </c:pt>
                <c:pt idx="56">
                  <c:v>37712</c:v>
                </c:pt>
                <c:pt idx="57">
                  <c:v>37683</c:v>
                </c:pt>
                <c:pt idx="58">
                  <c:v>37655</c:v>
                </c:pt>
                <c:pt idx="59">
                  <c:v>37623</c:v>
                </c:pt>
                <c:pt idx="60">
                  <c:v>37592</c:v>
                </c:pt>
                <c:pt idx="61">
                  <c:v>37561</c:v>
                </c:pt>
                <c:pt idx="62">
                  <c:v>37530</c:v>
                </c:pt>
                <c:pt idx="63">
                  <c:v>37502</c:v>
                </c:pt>
                <c:pt idx="64">
                  <c:v>37469</c:v>
                </c:pt>
                <c:pt idx="65">
                  <c:v>37438</c:v>
                </c:pt>
                <c:pt idx="66">
                  <c:v>37410</c:v>
                </c:pt>
                <c:pt idx="67">
                  <c:v>37377</c:v>
                </c:pt>
                <c:pt idx="68">
                  <c:v>37347</c:v>
                </c:pt>
                <c:pt idx="69">
                  <c:v>37316</c:v>
                </c:pt>
                <c:pt idx="70">
                  <c:v>37288</c:v>
                </c:pt>
                <c:pt idx="71">
                  <c:v>37258</c:v>
                </c:pt>
                <c:pt idx="72">
                  <c:v>37228</c:v>
                </c:pt>
                <c:pt idx="73">
                  <c:v>37196</c:v>
                </c:pt>
                <c:pt idx="74">
                  <c:v>37165</c:v>
                </c:pt>
                <c:pt idx="75">
                  <c:v>37138</c:v>
                </c:pt>
                <c:pt idx="76">
                  <c:v>37104</c:v>
                </c:pt>
                <c:pt idx="77">
                  <c:v>37074</c:v>
                </c:pt>
                <c:pt idx="78">
                  <c:v>37043</c:v>
                </c:pt>
                <c:pt idx="79">
                  <c:v>37012</c:v>
                </c:pt>
                <c:pt idx="80">
                  <c:v>36983</c:v>
                </c:pt>
                <c:pt idx="81">
                  <c:v>36951</c:v>
                </c:pt>
                <c:pt idx="82">
                  <c:v>36923</c:v>
                </c:pt>
                <c:pt idx="83">
                  <c:v>36893</c:v>
                </c:pt>
                <c:pt idx="84">
                  <c:v>36861</c:v>
                </c:pt>
                <c:pt idx="85">
                  <c:v>36831</c:v>
                </c:pt>
                <c:pt idx="86">
                  <c:v>36801</c:v>
                </c:pt>
                <c:pt idx="87">
                  <c:v>36770</c:v>
                </c:pt>
                <c:pt idx="88">
                  <c:v>36739</c:v>
                </c:pt>
                <c:pt idx="89">
                  <c:v>36710</c:v>
                </c:pt>
                <c:pt idx="90">
                  <c:v>36678</c:v>
                </c:pt>
                <c:pt idx="91">
                  <c:v>36647</c:v>
                </c:pt>
                <c:pt idx="92">
                  <c:v>36619</c:v>
                </c:pt>
                <c:pt idx="93">
                  <c:v>36586</c:v>
                </c:pt>
                <c:pt idx="94">
                  <c:v>36557</c:v>
                </c:pt>
                <c:pt idx="95">
                  <c:v>36528</c:v>
                </c:pt>
                <c:pt idx="96">
                  <c:v>36495</c:v>
                </c:pt>
                <c:pt idx="97">
                  <c:v>36465</c:v>
                </c:pt>
                <c:pt idx="98">
                  <c:v>36434</c:v>
                </c:pt>
                <c:pt idx="99">
                  <c:v>36404</c:v>
                </c:pt>
                <c:pt idx="100">
                  <c:v>36374</c:v>
                </c:pt>
                <c:pt idx="101">
                  <c:v>36342</c:v>
                </c:pt>
                <c:pt idx="102">
                  <c:v>36312</c:v>
                </c:pt>
                <c:pt idx="103">
                  <c:v>36283</c:v>
                </c:pt>
                <c:pt idx="104">
                  <c:v>36251</c:v>
                </c:pt>
                <c:pt idx="105">
                  <c:v>36220</c:v>
                </c:pt>
                <c:pt idx="106">
                  <c:v>36192</c:v>
                </c:pt>
                <c:pt idx="107">
                  <c:v>36164</c:v>
                </c:pt>
                <c:pt idx="108">
                  <c:v>36130</c:v>
                </c:pt>
                <c:pt idx="109">
                  <c:v>36101</c:v>
                </c:pt>
                <c:pt idx="110">
                  <c:v>36069</c:v>
                </c:pt>
                <c:pt idx="111">
                  <c:v>36039</c:v>
                </c:pt>
                <c:pt idx="112">
                  <c:v>36010</c:v>
                </c:pt>
                <c:pt idx="113">
                  <c:v>35977</c:v>
                </c:pt>
                <c:pt idx="114">
                  <c:v>35947</c:v>
                </c:pt>
                <c:pt idx="115">
                  <c:v>35916</c:v>
                </c:pt>
                <c:pt idx="116">
                  <c:v>35886</c:v>
                </c:pt>
                <c:pt idx="117">
                  <c:v>35856</c:v>
                </c:pt>
                <c:pt idx="118">
                  <c:v>35828</c:v>
                </c:pt>
                <c:pt idx="119">
                  <c:v>35797</c:v>
                </c:pt>
                <c:pt idx="120">
                  <c:v>35765</c:v>
                </c:pt>
                <c:pt idx="121">
                  <c:v>35737</c:v>
                </c:pt>
                <c:pt idx="122">
                  <c:v>35704</c:v>
                </c:pt>
                <c:pt idx="123">
                  <c:v>35675</c:v>
                </c:pt>
                <c:pt idx="124">
                  <c:v>35643</c:v>
                </c:pt>
                <c:pt idx="125">
                  <c:v>35612</c:v>
                </c:pt>
                <c:pt idx="126">
                  <c:v>35583</c:v>
                </c:pt>
                <c:pt idx="127">
                  <c:v>35551</c:v>
                </c:pt>
                <c:pt idx="128">
                  <c:v>35521</c:v>
                </c:pt>
                <c:pt idx="129">
                  <c:v>35492</c:v>
                </c:pt>
                <c:pt idx="130">
                  <c:v>35464</c:v>
                </c:pt>
                <c:pt idx="131">
                  <c:v>35432</c:v>
                </c:pt>
                <c:pt idx="132">
                  <c:v>35401</c:v>
                </c:pt>
                <c:pt idx="133">
                  <c:v>35370</c:v>
                </c:pt>
                <c:pt idx="134">
                  <c:v>35339</c:v>
                </c:pt>
                <c:pt idx="135">
                  <c:v>35311</c:v>
                </c:pt>
                <c:pt idx="136">
                  <c:v>35278</c:v>
                </c:pt>
                <c:pt idx="137">
                  <c:v>35247</c:v>
                </c:pt>
                <c:pt idx="138">
                  <c:v>35219</c:v>
                </c:pt>
                <c:pt idx="139">
                  <c:v>35186</c:v>
                </c:pt>
                <c:pt idx="140">
                  <c:v>35156</c:v>
                </c:pt>
                <c:pt idx="141">
                  <c:v>35125</c:v>
                </c:pt>
                <c:pt idx="142">
                  <c:v>35096</c:v>
                </c:pt>
                <c:pt idx="143">
                  <c:v>35066</c:v>
                </c:pt>
                <c:pt idx="144">
                  <c:v>35034</c:v>
                </c:pt>
                <c:pt idx="145">
                  <c:v>35004</c:v>
                </c:pt>
                <c:pt idx="146">
                  <c:v>34974</c:v>
                </c:pt>
                <c:pt idx="147">
                  <c:v>34943</c:v>
                </c:pt>
                <c:pt idx="148">
                  <c:v>34912</c:v>
                </c:pt>
                <c:pt idx="149">
                  <c:v>34883</c:v>
                </c:pt>
                <c:pt idx="150">
                  <c:v>34851</c:v>
                </c:pt>
                <c:pt idx="151">
                  <c:v>34820</c:v>
                </c:pt>
                <c:pt idx="152">
                  <c:v>34792</c:v>
                </c:pt>
                <c:pt idx="153">
                  <c:v>34759</c:v>
                </c:pt>
                <c:pt idx="154">
                  <c:v>34731</c:v>
                </c:pt>
                <c:pt idx="155">
                  <c:v>34702</c:v>
                </c:pt>
                <c:pt idx="156">
                  <c:v>34669</c:v>
                </c:pt>
                <c:pt idx="157">
                  <c:v>34639</c:v>
                </c:pt>
                <c:pt idx="158">
                  <c:v>34610</c:v>
                </c:pt>
                <c:pt idx="159">
                  <c:v>34578</c:v>
                </c:pt>
                <c:pt idx="160">
                  <c:v>34547</c:v>
                </c:pt>
                <c:pt idx="161">
                  <c:v>34516</c:v>
                </c:pt>
                <c:pt idx="162">
                  <c:v>34486</c:v>
                </c:pt>
                <c:pt idx="163">
                  <c:v>34456</c:v>
                </c:pt>
                <c:pt idx="164">
                  <c:v>34428</c:v>
                </c:pt>
                <c:pt idx="165">
                  <c:v>34394</c:v>
                </c:pt>
                <c:pt idx="166">
                  <c:v>34366</c:v>
                </c:pt>
                <c:pt idx="167">
                  <c:v>34337</c:v>
                </c:pt>
                <c:pt idx="168">
                  <c:v>34304</c:v>
                </c:pt>
                <c:pt idx="169">
                  <c:v>34274</c:v>
                </c:pt>
                <c:pt idx="170">
                  <c:v>34243</c:v>
                </c:pt>
                <c:pt idx="171">
                  <c:v>34213</c:v>
                </c:pt>
                <c:pt idx="172">
                  <c:v>34183</c:v>
                </c:pt>
                <c:pt idx="173">
                  <c:v>34151</c:v>
                </c:pt>
                <c:pt idx="174">
                  <c:v>34121</c:v>
                </c:pt>
                <c:pt idx="175">
                  <c:v>34092</c:v>
                </c:pt>
                <c:pt idx="176">
                  <c:v>34060</c:v>
                </c:pt>
                <c:pt idx="177">
                  <c:v>34029</c:v>
                </c:pt>
                <c:pt idx="178">
                  <c:v>34001</c:v>
                </c:pt>
                <c:pt idx="179">
                  <c:v>33973</c:v>
                </c:pt>
                <c:pt idx="180">
                  <c:v>33939</c:v>
                </c:pt>
                <c:pt idx="181">
                  <c:v>33910</c:v>
                </c:pt>
                <c:pt idx="182">
                  <c:v>33878</c:v>
                </c:pt>
                <c:pt idx="183">
                  <c:v>33848</c:v>
                </c:pt>
                <c:pt idx="184">
                  <c:v>33819</c:v>
                </c:pt>
                <c:pt idx="185">
                  <c:v>33786</c:v>
                </c:pt>
                <c:pt idx="186">
                  <c:v>33756</c:v>
                </c:pt>
                <c:pt idx="187">
                  <c:v>33725</c:v>
                </c:pt>
                <c:pt idx="188">
                  <c:v>33695</c:v>
                </c:pt>
                <c:pt idx="189">
                  <c:v>33665</c:v>
                </c:pt>
                <c:pt idx="190">
                  <c:v>33637</c:v>
                </c:pt>
                <c:pt idx="191">
                  <c:v>33605</c:v>
                </c:pt>
              </c:numCache>
            </c:numRef>
          </c:cat>
          <c:val>
            <c:numRef>
              <c:f>Model!$C$11:$C$202</c:f>
              <c:numCache>
                <c:formatCode>0.00000</c:formatCode>
                <c:ptCount val="192"/>
                <c:pt idx="0">
                  <c:v>-6.8644818423383408E-2</c:v>
                </c:pt>
                <c:pt idx="1">
                  <c:v>-0.18069666182873734</c:v>
                </c:pt>
                <c:pt idx="2">
                  <c:v>8.0360642885142969E-2</c:v>
                </c:pt>
                <c:pt idx="3">
                  <c:v>3.5405192761604979E-3</c:v>
                </c:pt>
                <c:pt idx="4">
                  <c:v>5.6086414624013356E-2</c:v>
                </c:pt>
                <c:pt idx="5">
                  <c:v>-9.272521673577086E-2</c:v>
                </c:pt>
                <c:pt idx="6">
                  <c:v>9.7187758478081115E-2</c:v>
                </c:pt>
                <c:pt idx="7">
                  <c:v>2.8498511271799153E-2</c:v>
                </c:pt>
                <c:pt idx="8">
                  <c:v>0.10427430718647264</c:v>
                </c:pt>
                <c:pt idx="9">
                  <c:v>-5.5037727474478555E-2</c:v>
                </c:pt>
                <c:pt idx="10">
                  <c:v>-7.7017615731257635E-2</c:v>
                </c:pt>
                <c:pt idx="11">
                  <c:v>2.4640657084188384E-3</c:v>
                </c:pt>
                <c:pt idx="12">
                  <c:v>-8.5504885993484252E-3</c:v>
                </c:pt>
                <c:pt idx="13">
                  <c:v>6.6435084672166633E-2</c:v>
                </c:pt>
                <c:pt idx="14">
                  <c:v>0.10086042065009557</c:v>
                </c:pt>
                <c:pt idx="15">
                  <c:v>5.2843482637141455E-2</c:v>
                </c:pt>
                <c:pt idx="16">
                  <c:v>-4.3792107795957658E-2</c:v>
                </c:pt>
                <c:pt idx="17">
                  <c:v>-6.4385411976587106E-2</c:v>
                </c:pt>
                <c:pt idx="18">
                  <c:v>-1.3765541740674899E-2</c:v>
                </c:pt>
                <c:pt idx="19">
                  <c:v>-9.6670677898114732E-2</c:v>
                </c:pt>
                <c:pt idx="20">
                  <c:v>-5.209125475285175E-2</c:v>
                </c:pt>
                <c:pt idx="21">
                  <c:v>1.3878180416345389E-2</c:v>
                </c:pt>
                <c:pt idx="22">
                  <c:v>0.1176217147781129</c:v>
                </c:pt>
                <c:pt idx="23">
                  <c:v>7.2550831792975987E-2</c:v>
                </c:pt>
                <c:pt idx="24">
                  <c:v>-2.3906179521876458E-2</c:v>
                </c:pt>
                <c:pt idx="25">
                  <c:v>9.4814814814814893E-2</c:v>
                </c:pt>
                <c:pt idx="26">
                  <c:v>-8.9068825910931196E-2</c:v>
                </c:pt>
                <c:pt idx="27">
                  <c:v>-1.7961383026492657E-3</c:v>
                </c:pt>
                <c:pt idx="28">
                  <c:v>-8.8415882112157188E-2</c:v>
                </c:pt>
                <c:pt idx="29">
                  <c:v>-4.0766408479413537E-3</c:v>
                </c:pt>
                <c:pt idx="30">
                  <c:v>2.1657642648896275E-2</c:v>
                </c:pt>
                <c:pt idx="31">
                  <c:v>6.0980998674326228E-2</c:v>
                </c:pt>
                <c:pt idx="32">
                  <c:v>-0.23183978275627976</c:v>
                </c:pt>
                <c:pt idx="33">
                  <c:v>-4.257393565160867E-2</c:v>
                </c:pt>
                <c:pt idx="34">
                  <c:v>2.7378964941569293E-2</c:v>
                </c:pt>
                <c:pt idx="35">
                  <c:v>2.6036313806097909E-2</c:v>
                </c:pt>
                <c:pt idx="36">
                  <c:v>-1.4184397163120505E-2</c:v>
                </c:pt>
                <c:pt idx="37">
                  <c:v>8.0262677854797487E-2</c:v>
                </c:pt>
                <c:pt idx="38">
                  <c:v>-5.2540615278257846E-2</c:v>
                </c:pt>
                <c:pt idx="39">
                  <c:v>8.9231927710843414E-2</c:v>
                </c:pt>
                <c:pt idx="40">
                  <c:v>0.1169049621530697</c:v>
                </c:pt>
                <c:pt idx="41">
                  <c:v>-1.8166804293971831E-2</c:v>
                </c:pt>
                <c:pt idx="42">
                  <c:v>3.0638297872340379E-2</c:v>
                </c:pt>
                <c:pt idx="43">
                  <c:v>2.4858264282599227E-2</c:v>
                </c:pt>
                <c:pt idx="44">
                  <c:v>-1.4611087236785555E-2</c:v>
                </c:pt>
                <c:pt idx="45">
                  <c:v>-8.3136327817178862E-2</c:v>
                </c:pt>
                <c:pt idx="46">
                  <c:v>4.7505938242279272E-3</c:v>
                </c:pt>
                <c:pt idx="47">
                  <c:v>0.10692375109553029</c:v>
                </c:pt>
                <c:pt idx="48">
                  <c:v>5.3554939981532788E-2</c:v>
                </c:pt>
                <c:pt idx="49">
                  <c:v>-2.7624309392264607E-3</c:v>
                </c:pt>
                <c:pt idx="50">
                  <c:v>0.17851329354313614</c:v>
                </c:pt>
                <c:pt idx="51">
                  <c:v>-0.24898125509372451</c:v>
                </c:pt>
                <c:pt idx="52">
                  <c:v>9.0460526315789009E-3</c:v>
                </c:pt>
                <c:pt idx="53">
                  <c:v>1.038637307852098E-2</c:v>
                </c:pt>
                <c:pt idx="54">
                  <c:v>-0.1071958456973294</c:v>
                </c:pt>
                <c:pt idx="55">
                  <c:v>5.3948397185301117E-2</c:v>
                </c:pt>
                <c:pt idx="56">
                  <c:v>1.0667720268668494E-2</c:v>
                </c:pt>
                <c:pt idx="57">
                  <c:v>0</c:v>
                </c:pt>
                <c:pt idx="58">
                  <c:v>-2.3157082207641892E-2</c:v>
                </c:pt>
                <c:pt idx="59">
                  <c:v>-0.13518024032042725</c:v>
                </c:pt>
                <c:pt idx="60">
                  <c:v>-5.0997782705099762E-2</c:v>
                </c:pt>
                <c:pt idx="61">
                  <c:v>0.12069577564785226</c:v>
                </c:pt>
                <c:pt idx="62">
                  <c:v>0.24206349206349215</c:v>
                </c:pt>
                <c:pt idx="63">
                  <c:v>-0.1081399921352733</c:v>
                </c:pt>
                <c:pt idx="64">
                  <c:v>-7.8033554428403942E-3</c:v>
                </c:pt>
                <c:pt idx="65">
                  <c:v>5.5166735282009056E-2</c:v>
                </c:pt>
                <c:pt idx="66">
                  <c:v>-0.12310469314079424</c:v>
                </c:pt>
                <c:pt idx="67">
                  <c:v>6.0084194412552631E-2</c:v>
                </c:pt>
                <c:pt idx="68">
                  <c:v>3.3623417721518903E-2</c:v>
                </c:pt>
                <c:pt idx="69">
                  <c:v>-1.0567514677103701E-2</c:v>
                </c:pt>
                <c:pt idx="70">
                  <c:v>0.10942249240121578</c:v>
                </c:pt>
                <c:pt idx="71">
                  <c:v>-3.5190615835777116E-2</c:v>
                </c:pt>
                <c:pt idx="72">
                  <c:v>-2.7698574338085528E-2</c:v>
                </c:pt>
                <c:pt idx="73">
                  <c:v>0.202252693437806</c:v>
                </c:pt>
                <c:pt idx="74">
                  <c:v>-0.21401077752117006</c:v>
                </c:pt>
                <c:pt idx="75">
                  <c:v>-0.27186098654708518</c:v>
                </c:pt>
                <c:pt idx="76">
                  <c:v>4.1447752481027486E-2</c:v>
                </c:pt>
                <c:pt idx="77">
                  <c:v>-7.2047670639220032E-2</c:v>
                </c:pt>
                <c:pt idx="78">
                  <c:v>-1.3888888888888784E-2</c:v>
                </c:pt>
                <c:pt idx="79">
                  <c:v>9.7947214076246222E-2</c:v>
                </c:pt>
                <c:pt idx="80">
                  <c:v>9.0502078669651487E-2</c:v>
                </c:pt>
                <c:pt idx="81">
                  <c:v>-0.11341083073433522</c:v>
                </c:pt>
                <c:pt idx="82">
                  <c:v>4.1642055522740806E-2</c:v>
                </c:pt>
                <c:pt idx="83">
                  <c:v>0.10762185148838728</c:v>
                </c:pt>
                <c:pt idx="84">
                  <c:v>-6.2557497700091974E-2</c:v>
                </c:pt>
                <c:pt idx="85">
                  <c:v>-5.4234338747099702E-2</c:v>
                </c:pt>
                <c:pt idx="86">
                  <c:v>9.8089171974522243E-2</c:v>
                </c:pt>
                <c:pt idx="87">
                  <c:v>-0.34350825841522059</c:v>
                </c:pt>
                <c:pt idx="88">
                  <c:v>0.14261825131390346</c:v>
                </c:pt>
                <c:pt idx="89">
                  <c:v>-7.777043401630318E-2</c:v>
                </c:pt>
                <c:pt idx="90">
                  <c:v>-4.1684949539271109E-3</c:v>
                </c:pt>
                <c:pt idx="91">
                  <c:v>6.7697353010072639E-2</c:v>
                </c:pt>
                <c:pt idx="92">
                  <c:v>3.8180933852140088E-2</c:v>
                </c:pt>
                <c:pt idx="93">
                  <c:v>-5.2534562211981592E-2</c:v>
                </c:pt>
                <c:pt idx="94">
                  <c:v>-6.6666666666666693E-2</c:v>
                </c:pt>
                <c:pt idx="95">
                  <c:v>-6.5889915628766588E-2</c:v>
                </c:pt>
                <c:pt idx="96">
                  <c:v>7.0537634408602182E-2</c:v>
                </c:pt>
                <c:pt idx="97">
                  <c:v>-9.6209912536443204E-2</c:v>
                </c:pt>
                <c:pt idx="98">
                  <c:v>-8.8412473423104099E-2</c:v>
                </c:pt>
                <c:pt idx="99">
                  <c:v>2.9739098704615861E-2</c:v>
                </c:pt>
                <c:pt idx="100">
                  <c:v>6.8837753510140431E-2</c:v>
                </c:pt>
                <c:pt idx="101">
                  <c:v>2.0091505868311078E-2</c:v>
                </c:pt>
                <c:pt idx="102">
                  <c:v>1.99322304165839E-3</c:v>
                </c:pt>
                <c:pt idx="103">
                  <c:v>-8.963890401016146E-2</c:v>
                </c:pt>
                <c:pt idx="104">
                  <c:v>0.17006369426751589</c:v>
                </c:pt>
                <c:pt idx="105">
                  <c:v>-3.4836065573770406E-2</c:v>
                </c:pt>
                <c:pt idx="106">
                  <c:v>1.9001879306744553E-2</c:v>
                </c:pt>
                <c:pt idx="107">
                  <c:v>-9.2132701421800939E-2</c:v>
                </c:pt>
                <c:pt idx="108">
                  <c:v>-8.4586466165414067E-3</c:v>
                </c:pt>
                <c:pt idx="109">
                  <c:v>-5.7406094968107634E-2</c:v>
                </c:pt>
                <c:pt idx="110">
                  <c:v>8.0371494909804563E-3</c:v>
                </c:pt>
                <c:pt idx="111">
                  <c:v>-1.5992970123022789E-2</c:v>
                </c:pt>
                <c:pt idx="112">
                  <c:v>-6.3528637261356144E-2</c:v>
                </c:pt>
                <c:pt idx="113">
                  <c:v>0.14793122992631774</c:v>
                </c:pt>
                <c:pt idx="114">
                  <c:v>2.3593115451556738E-2</c:v>
                </c:pt>
                <c:pt idx="115">
                  <c:v>-5.1943055021161219E-3</c:v>
                </c:pt>
                <c:pt idx="116">
                  <c:v>0.11282380646542488</c:v>
                </c:pt>
                <c:pt idx="117">
                  <c:v>-1.1428571428571411E-2</c:v>
                </c:pt>
                <c:pt idx="118">
                  <c:v>1.2644663523360553E-2</c:v>
                </c:pt>
                <c:pt idx="119">
                  <c:v>7.7349341953359366E-2</c:v>
                </c:pt>
                <c:pt idx="120">
                  <c:v>-1.1531365313652482E-3</c:v>
                </c:pt>
                <c:pt idx="121">
                  <c:v>1.9995295224653056E-2</c:v>
                </c:pt>
                <c:pt idx="122">
                  <c:v>-7.8074170461938874E-2</c:v>
                </c:pt>
                <c:pt idx="123">
                  <c:v>-6.4641241111828736E-3</c:v>
                </c:pt>
                <c:pt idx="124">
                  <c:v>-1.7985611510791397E-2</c:v>
                </c:pt>
                <c:pt idx="125">
                  <c:v>-0.12707794606575548</c:v>
                </c:pt>
                <c:pt idx="126">
                  <c:v>-7.3738237810094129E-2</c:v>
                </c:pt>
                <c:pt idx="127">
                  <c:v>2.2290809327846803E-3</c:v>
                </c:pt>
                <c:pt idx="128">
                  <c:v>9.3773443360840203E-2</c:v>
                </c:pt>
                <c:pt idx="129">
                  <c:v>-0.1532475782118469</c:v>
                </c:pt>
                <c:pt idx="130">
                  <c:v>3.962357602773648E-2</c:v>
                </c:pt>
                <c:pt idx="131">
                  <c:v>8.1028020703194703E-2</c:v>
                </c:pt>
                <c:pt idx="132">
                  <c:v>-1.0769774011299424E-2</c:v>
                </c:pt>
                <c:pt idx="133">
                  <c:v>2.3861171366594366E-2</c:v>
                </c:pt>
                <c:pt idx="134">
                  <c:v>1.4301430143014323E-2</c:v>
                </c:pt>
                <c:pt idx="135">
                  <c:v>8.257244938467638E-2</c:v>
                </c:pt>
                <c:pt idx="136">
                  <c:v>-2.3075431452394757E-2</c:v>
                </c:pt>
                <c:pt idx="137">
                  <c:v>-4.0201005025125566E-2</c:v>
                </c:pt>
                <c:pt idx="138">
                  <c:v>4.5534150612959651E-2</c:v>
                </c:pt>
                <c:pt idx="139">
                  <c:v>-2.2632179535945183E-2</c:v>
                </c:pt>
                <c:pt idx="140">
                  <c:v>7.7459016393442645E-2</c:v>
                </c:pt>
                <c:pt idx="141">
                  <c:v>-7.1210579857579129E-3</c:v>
                </c:pt>
                <c:pt idx="142">
                  <c:v>-1.9940179461615155E-2</c:v>
                </c:pt>
                <c:pt idx="143">
                  <c:v>9.497816593886467E-2</c:v>
                </c:pt>
                <c:pt idx="144">
                  <c:v>-1.822079314040732E-2</c:v>
                </c:pt>
                <c:pt idx="145">
                  <c:v>9.5842142353770227E-2</c:v>
                </c:pt>
                <c:pt idx="146">
                  <c:v>5.711447727837092E-2</c:v>
                </c:pt>
                <c:pt idx="147">
                  <c:v>2.5987261146496896E-2</c:v>
                </c:pt>
                <c:pt idx="148">
                  <c:v>8.9974293059126333E-3</c:v>
                </c:pt>
                <c:pt idx="149">
                  <c:v>-4.9364613880742987E-2</c:v>
                </c:pt>
                <c:pt idx="150">
                  <c:v>4.1717791411043361E-3</c:v>
                </c:pt>
                <c:pt idx="151">
                  <c:v>5.6794605809128568E-2</c:v>
                </c:pt>
                <c:pt idx="152">
                  <c:v>7.9809577149257946E-2</c:v>
                </c:pt>
                <c:pt idx="153">
                  <c:v>4.4152046783625672E-2</c:v>
                </c:pt>
                <c:pt idx="154">
                  <c:v>4.9079754601227037E-2</c:v>
                </c:pt>
                <c:pt idx="155">
                  <c:v>2.6125275417060178E-2</c:v>
                </c:pt>
                <c:pt idx="156">
                  <c:v>4.9554013875123884E-2</c:v>
                </c:pt>
                <c:pt idx="157">
                  <c:v>-4.631379962192813E-2</c:v>
                </c:pt>
                <c:pt idx="158">
                  <c:v>-7.002636976267225E-2</c:v>
                </c:pt>
                <c:pt idx="159">
                  <c:v>4.0231636696129232E-2</c:v>
                </c:pt>
                <c:pt idx="160">
                  <c:v>3.6650868878357147E-2</c:v>
                </c:pt>
                <c:pt idx="161">
                  <c:v>5.0809780882819988E-3</c:v>
                </c:pt>
                <c:pt idx="162">
                  <c:v>2.6736224323442997E-2</c:v>
                </c:pt>
                <c:pt idx="163">
                  <c:v>0.13930163447251115</c:v>
                </c:pt>
                <c:pt idx="164">
                  <c:v>-6.4953108718304883E-2</c:v>
                </c:pt>
                <c:pt idx="165">
                  <c:v>3.2269630692004253E-2</c:v>
                </c:pt>
                <c:pt idx="166">
                  <c:v>-1.622574955908292E-2</c:v>
                </c:pt>
                <c:pt idx="167">
                  <c:v>-8.0475857242826056E-3</c:v>
                </c:pt>
                <c:pt idx="168">
                  <c:v>-7.5978014872292318E-2</c:v>
                </c:pt>
                <c:pt idx="169">
                  <c:v>-2.3982328810350315E-2</c:v>
                </c:pt>
                <c:pt idx="170">
                  <c:v>5.9157754010695167E-2</c:v>
                </c:pt>
                <c:pt idx="171">
                  <c:v>-2.6675341574495665E-2</c:v>
                </c:pt>
                <c:pt idx="172">
                  <c:v>0.1465870943677732</c:v>
                </c:pt>
                <c:pt idx="173">
                  <c:v>7.2829131652661083E-2</c:v>
                </c:pt>
                <c:pt idx="174">
                  <c:v>-3.4016235021260242E-2</c:v>
                </c:pt>
                <c:pt idx="175">
                  <c:v>7.1665285832642936E-2</c:v>
                </c:pt>
                <c:pt idx="176">
                  <c:v>-0.10126582278481008</c:v>
                </c:pt>
                <c:pt idx="177">
                  <c:v>1.1676082862523493E-2</c:v>
                </c:pt>
                <c:pt idx="178">
                  <c:v>8.5445625511038417E-2</c:v>
                </c:pt>
                <c:pt idx="179">
                  <c:v>0.23162134944612295</c:v>
                </c:pt>
                <c:pt idx="180">
                  <c:v>-3.3106134371957141E-2</c:v>
                </c:pt>
                <c:pt idx="181">
                  <c:v>3.7373737373737295E-2</c:v>
                </c:pt>
                <c:pt idx="182">
                  <c:v>-8.16326530612244E-2</c:v>
                </c:pt>
                <c:pt idx="183">
                  <c:v>5.5970149253730143E-3</c:v>
                </c:pt>
                <c:pt idx="184">
                  <c:v>2.9284685549688095E-2</c:v>
                </c:pt>
                <c:pt idx="185">
                  <c:v>8.3766909469302792E-2</c:v>
                </c:pt>
                <c:pt idx="186">
                  <c:v>6.282722513088871E-3</c:v>
                </c:pt>
                <c:pt idx="187">
                  <c:v>1.9210245464247759E-2</c:v>
                </c:pt>
                <c:pt idx="188">
                  <c:v>-2.4973985431841855E-2</c:v>
                </c:pt>
                <c:pt idx="189">
                  <c:v>-8.9531027948839437E-2</c:v>
                </c:pt>
                <c:pt idx="190">
                  <c:v>-0.10664409648751585</c:v>
                </c:pt>
                <c:pt idx="191">
                  <c:v>4.6964997784669858E-2</c:v>
                </c:pt>
              </c:numCache>
            </c:numRef>
          </c:val>
        </c:ser>
        <c:ser>
          <c:idx val="1"/>
          <c:order val="1"/>
          <c:tx>
            <c:strRef>
              <c:f>Model!$D$10</c:f>
              <c:strCache>
                <c:ptCount val="1"/>
                <c:pt idx="0">
                  <c:v>Predicted</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Model!$D$11:$D$202</c:f>
              <c:numCache>
                <c:formatCode>0.0000</c:formatCode>
                <c:ptCount val="192"/>
                <c:pt idx="0">
                  <c:v>-8.8314889426706379E-3</c:v>
                </c:pt>
                <c:pt idx="1">
                  <c:v>-3.272066428133167E-2</c:v>
                </c:pt>
                <c:pt idx="2">
                  <c:v>6.9872848180046795E-3</c:v>
                </c:pt>
                <c:pt idx="3">
                  <c:v>2.1133740651072538E-2</c:v>
                </c:pt>
                <c:pt idx="4">
                  <c:v>5.6660132155324054E-3</c:v>
                </c:pt>
                <c:pt idx="5">
                  <c:v>-2.4584557613667422E-2</c:v>
                </c:pt>
                <c:pt idx="6">
                  <c:v>-1.5029141539883712E-2</c:v>
                </c:pt>
                <c:pt idx="7">
                  <c:v>1.894497637841441E-2</c:v>
                </c:pt>
                <c:pt idx="8">
                  <c:v>2.6190633908107237E-2</c:v>
                </c:pt>
                <c:pt idx="9">
                  <c:v>3.720852997400255E-3</c:v>
                </c:pt>
                <c:pt idx="10">
                  <c:v>-1.7747470639021313E-2</c:v>
                </c:pt>
                <c:pt idx="11">
                  <c:v>6.4724337245175116E-3</c:v>
                </c:pt>
                <c:pt idx="12">
                  <c:v>5.4988319603362611E-3</c:v>
                </c:pt>
                <c:pt idx="13">
                  <c:v>8.0964316542146454E-3</c:v>
                </c:pt>
                <c:pt idx="14">
                  <c:v>1.824263400525827E-2</c:v>
                </c:pt>
                <c:pt idx="15">
                  <c:v>1.3560067700627666E-2</c:v>
                </c:pt>
                <c:pt idx="16">
                  <c:v>1.1339438156684631E-2</c:v>
                </c:pt>
                <c:pt idx="17">
                  <c:v>4.1950554650178364E-4</c:v>
                </c:pt>
                <c:pt idx="18">
                  <c:v>-2.9527127071350525E-3</c:v>
                </c:pt>
                <c:pt idx="19">
                  <c:v>-2.3866157030905527E-2</c:v>
                </c:pt>
                <c:pt idx="20">
                  <c:v>5.1884771271406803E-3</c:v>
                </c:pt>
                <c:pt idx="21">
                  <c:v>4.4735751544646846E-3</c:v>
                </c:pt>
                <c:pt idx="22">
                  <c:v>-2.7054974706661266E-3</c:v>
                </c:pt>
                <c:pt idx="23">
                  <c:v>1.4167544035090775E-2</c:v>
                </c:pt>
                <c:pt idx="24">
                  <c:v>-3.6535739206028381E-3</c:v>
                </c:pt>
                <c:pt idx="25">
                  <c:v>2.0723694503606158E-2</c:v>
                </c:pt>
                <c:pt idx="26">
                  <c:v>-1.4978166614948026E-2</c:v>
                </c:pt>
                <c:pt idx="27">
                  <c:v>1.6762793470401056E-3</c:v>
                </c:pt>
                <c:pt idx="28">
                  <c:v>-1.0580961657007941E-2</c:v>
                </c:pt>
                <c:pt idx="29">
                  <c:v>2.125124895690525E-2</c:v>
                </c:pt>
                <c:pt idx="30">
                  <c:v>-3.1073773291046269E-3</c:v>
                </c:pt>
                <c:pt idx="31">
                  <c:v>1.7193030348364179E-2</c:v>
                </c:pt>
                <c:pt idx="32">
                  <c:v>-1.6575401046618813E-2</c:v>
                </c:pt>
                <c:pt idx="33">
                  <c:v>-1.5906959772398577E-2</c:v>
                </c:pt>
                <c:pt idx="34">
                  <c:v>9.7401597335973703E-3</c:v>
                </c:pt>
                <c:pt idx="35">
                  <c:v>-2.0070828189098385E-2</c:v>
                </c:pt>
                <c:pt idx="36">
                  <c:v>1.8883524498714874E-2</c:v>
                </c:pt>
                <c:pt idx="37">
                  <c:v>2.302311558021879E-2</c:v>
                </c:pt>
                <c:pt idx="38">
                  <c:v>6.44218868418759E-3</c:v>
                </c:pt>
                <c:pt idx="39">
                  <c:v>3.3052970142484045E-3</c:v>
                </c:pt>
                <c:pt idx="40">
                  <c:v>-1.4682120721723941E-3</c:v>
                </c:pt>
                <c:pt idx="41">
                  <c:v>-2.6141836351629318E-2</c:v>
                </c:pt>
                <c:pt idx="42">
                  <c:v>9.1234141006871963E-3</c:v>
                </c:pt>
                <c:pt idx="43">
                  <c:v>5.1397649799431212E-3</c:v>
                </c:pt>
                <c:pt idx="44">
                  <c:v>-1.4337402899013965E-2</c:v>
                </c:pt>
                <c:pt idx="45">
                  <c:v>-1.4046068707272815E-2</c:v>
                </c:pt>
                <c:pt idx="46">
                  <c:v>5.2244775662237362E-3</c:v>
                </c:pt>
                <c:pt idx="47">
                  <c:v>8.6426918479812435E-3</c:v>
                </c:pt>
                <c:pt idx="48">
                  <c:v>3.1232744967416771E-2</c:v>
                </c:pt>
                <c:pt idx="49">
                  <c:v>1.7974105115765187E-3</c:v>
                </c:pt>
                <c:pt idx="50">
                  <c:v>3.4063190156027455E-2</c:v>
                </c:pt>
                <c:pt idx="51">
                  <c:v>-1.1068189745856277E-2</c:v>
                </c:pt>
                <c:pt idx="52">
                  <c:v>9.0452425335985891E-3</c:v>
                </c:pt>
                <c:pt idx="53">
                  <c:v>7.9325797979996129E-3</c:v>
                </c:pt>
                <c:pt idx="54">
                  <c:v>4.6262945893061451E-3</c:v>
                </c:pt>
                <c:pt idx="55">
                  <c:v>3.1322601868012834E-2</c:v>
                </c:pt>
                <c:pt idx="56">
                  <c:v>5.1657246420538608E-2</c:v>
                </c:pt>
                <c:pt idx="57">
                  <c:v>2.6264959714067493E-3</c:v>
                </c:pt>
                <c:pt idx="58">
                  <c:v>-1.4480942836589577E-2</c:v>
                </c:pt>
                <c:pt idx="59">
                  <c:v>-2.1503743050316101E-2</c:v>
                </c:pt>
                <c:pt idx="60" formatCode="General">
                  <c:v>-4.3708530279666355E-2</c:v>
                </c:pt>
                <c:pt idx="61" formatCode="General">
                  <c:v>3.5485238032892996E-2</c:v>
                </c:pt>
                <c:pt idx="62" formatCode="General">
                  <c:v>5.5302997873885561E-2</c:v>
                </c:pt>
                <c:pt idx="63" formatCode="General">
                  <c:v>-7.7228151083521615E-2</c:v>
                </c:pt>
                <c:pt idx="64" formatCode="General">
                  <c:v>2.8163182148092849E-4</c:v>
                </c:pt>
                <c:pt idx="65" formatCode="General">
                  <c:v>-5.6303529188305453E-2</c:v>
                </c:pt>
                <c:pt idx="66" formatCode="General">
                  <c:v>-5.1885952537303368E-2</c:v>
                </c:pt>
                <c:pt idx="67" formatCode="General">
                  <c:v>-9.1370373191152765E-3</c:v>
                </c:pt>
                <c:pt idx="68" formatCode="General">
                  <c:v>-4.4440465250322352E-2</c:v>
                </c:pt>
                <c:pt idx="69" formatCode="General">
                  <c:v>2.1771096799703824E-2</c:v>
                </c:pt>
                <c:pt idx="70" formatCode="General">
                  <c:v>-1.7019016927566907E-2</c:v>
                </c:pt>
                <c:pt idx="71" formatCode="General">
                  <c:v>-1.3516473263185435E-2</c:v>
                </c:pt>
                <c:pt idx="72" formatCode="General">
                  <c:v>2.0977990640364051E-3</c:v>
                </c:pt>
                <c:pt idx="73" formatCode="General">
                  <c:v>4.769888875226503E-2</c:v>
                </c:pt>
                <c:pt idx="74" formatCode="General">
                  <c:v>9.1975794992767666E-3</c:v>
                </c:pt>
                <c:pt idx="75" formatCode="General">
                  <c:v>-5.8137718153281601E-2</c:v>
                </c:pt>
                <c:pt idx="76" formatCode="General">
                  <c:v>-4.6255501854207529E-2</c:v>
                </c:pt>
                <c:pt idx="77" formatCode="General">
                  <c:v>-1.0255898111952946E-2</c:v>
                </c:pt>
                <c:pt idx="78" formatCode="General">
                  <c:v>-1.9898808812180556E-2</c:v>
                </c:pt>
                <c:pt idx="79" formatCode="General">
                  <c:v>4.224639298017357E-4</c:v>
                </c:pt>
                <c:pt idx="80" formatCode="General">
                  <c:v>4.8804055782483827E-2</c:v>
                </c:pt>
                <c:pt idx="81" formatCode="General">
                  <c:v>-4.632048396570862E-2</c:v>
                </c:pt>
                <c:pt idx="82" formatCode="General">
                  <c:v>-6.5265897177651938E-2</c:v>
                </c:pt>
                <c:pt idx="83" formatCode="General">
                  <c:v>2.0353009345426252E-2</c:v>
                </c:pt>
                <c:pt idx="84" formatCode="General">
                  <c:v>-2.769191222421123E-4</c:v>
                </c:pt>
                <c:pt idx="85" formatCode="General">
                  <c:v>-5.7021451548005815E-2</c:v>
                </c:pt>
                <c:pt idx="86" formatCode="General">
                  <c:v>-6.3498208534131578E-3</c:v>
                </c:pt>
                <c:pt idx="87" formatCode="General">
                  <c:v>-3.9088103338246367E-2</c:v>
                </c:pt>
                <c:pt idx="88" formatCode="General">
                  <c:v>3.7933452780872574E-2</c:v>
                </c:pt>
                <c:pt idx="89" formatCode="General">
                  <c:v>-1.4034146940139821E-2</c:v>
                </c:pt>
                <c:pt idx="90" formatCode="General">
                  <c:v>1.3133262308982572E-2</c:v>
                </c:pt>
                <c:pt idx="91" formatCode="General">
                  <c:v>-1.7793915042460699E-2</c:v>
                </c:pt>
                <c:pt idx="92" formatCode="General">
                  <c:v>-2.3784481569695273E-2</c:v>
                </c:pt>
                <c:pt idx="93" formatCode="General">
                  <c:v>6.2231356036451718E-2</c:v>
                </c:pt>
                <c:pt idx="94" formatCode="General">
                  <c:v>-1.6575099149362973E-2</c:v>
                </c:pt>
                <c:pt idx="95" formatCode="General">
                  <c:v>-3.7348149644446126E-2</c:v>
                </c:pt>
                <c:pt idx="96" formatCode="General">
                  <c:v>3.6007533099684109E-2</c:v>
                </c:pt>
                <c:pt idx="97" formatCode="General">
                  <c:v>9.847069574424017E-3</c:v>
                </c:pt>
                <c:pt idx="98" formatCode="General">
                  <c:v>3.9174918062646676E-2</c:v>
                </c:pt>
                <c:pt idx="99" formatCode="General">
                  <c:v>-2.2270733875150845E-2</c:v>
                </c:pt>
                <c:pt idx="100" formatCode="General">
                  <c:v>-7.2298693813226001E-3</c:v>
                </c:pt>
                <c:pt idx="101" formatCode="General">
                  <c:v>-2.4627858058997379E-2</c:v>
                </c:pt>
                <c:pt idx="102" formatCode="General">
                  <c:v>3.3710291184062449E-2</c:v>
                </c:pt>
                <c:pt idx="103" formatCode="General">
                  <c:v>-1.9854950161429699E-2</c:v>
                </c:pt>
                <c:pt idx="104" formatCode="General">
                  <c:v>2.2584011935474442E-2</c:v>
                </c:pt>
                <c:pt idx="105" formatCode="General">
                  <c:v>2.3157515483556879E-2</c:v>
                </c:pt>
                <c:pt idx="106" formatCode="General">
                  <c:v>-2.4787334273551922E-2</c:v>
                </c:pt>
                <c:pt idx="107" formatCode="General">
                  <c:v>2.4651800755343799E-2</c:v>
                </c:pt>
                <c:pt idx="108" formatCode="General">
                  <c:v>3.5016879274003335E-2</c:v>
                </c:pt>
                <c:pt idx="109" formatCode="General">
                  <c:v>3.6872383836656017E-2</c:v>
                </c:pt>
                <c:pt idx="110" formatCode="General">
                  <c:v>5.1151385702200833E-2</c:v>
                </c:pt>
                <c:pt idx="111" formatCode="General">
                  <c:v>3.9077830045758467E-2</c:v>
                </c:pt>
                <c:pt idx="112" formatCode="General">
                  <c:v>-0.1013584330460119</c:v>
                </c:pt>
                <c:pt idx="113" formatCode="General">
                  <c:v>-1.084630940372186E-2</c:v>
                </c:pt>
                <c:pt idx="114" formatCode="General">
                  <c:v>2.3591952082158064E-2</c:v>
                </c:pt>
                <c:pt idx="115" formatCode="General">
                  <c:v>-1.5710347006140414E-2</c:v>
                </c:pt>
                <c:pt idx="116" formatCode="General">
                  <c:v>3.1114060376445231E-3</c:v>
                </c:pt>
                <c:pt idx="117" formatCode="General">
                  <c:v>3.0679767976467119E-2</c:v>
                </c:pt>
                <c:pt idx="118" formatCode="General">
                  <c:v>4.4510475289248959E-2</c:v>
                </c:pt>
                <c:pt idx="119" formatCode="General">
                  <c:v>3.8356513281125001E-3</c:v>
                </c:pt>
                <c:pt idx="120" formatCode="General">
                  <c:v>7.600651030994365E-3</c:v>
                </c:pt>
                <c:pt idx="121" formatCode="General">
                  <c:v>2.7064946167391378E-2</c:v>
                </c:pt>
                <c:pt idx="122" formatCode="General">
                  <c:v>-2.6268071523601527E-2</c:v>
                </c:pt>
                <c:pt idx="123" formatCode="General">
                  <c:v>3.2843621681602687E-2</c:v>
                </c:pt>
                <c:pt idx="124" formatCode="General">
                  <c:v>-4.1774607265639682E-2</c:v>
                </c:pt>
                <c:pt idx="125" formatCode="General">
                  <c:v>4.9702203745939401E-2</c:v>
                </c:pt>
                <c:pt idx="126" formatCode="General">
                  <c:v>2.6299877730461701E-2</c:v>
                </c:pt>
                <c:pt idx="127" formatCode="General">
                  <c:v>3.650195389669713E-2</c:v>
                </c:pt>
                <c:pt idx="128" formatCode="General">
                  <c:v>3.6386371662534181E-2</c:v>
                </c:pt>
                <c:pt idx="129" formatCode="General">
                  <c:v>-3.1756442224602506E-2</c:v>
                </c:pt>
                <c:pt idx="130" formatCode="General">
                  <c:v>9.8729747840575364E-4</c:v>
                </c:pt>
                <c:pt idx="131" formatCode="General">
                  <c:v>3.8350343090831143E-2</c:v>
                </c:pt>
                <c:pt idx="132" formatCode="General">
                  <c:v>-1.7517604649489094E-2</c:v>
                </c:pt>
                <c:pt idx="133" formatCode="General">
                  <c:v>4.6484814478154723E-2</c:v>
                </c:pt>
                <c:pt idx="134" formatCode="General">
                  <c:v>1.4595317814296786E-2</c:v>
                </c:pt>
                <c:pt idx="135" formatCode="General">
                  <c:v>3.3551739276425706E-2</c:v>
                </c:pt>
                <c:pt idx="136" formatCode="General">
                  <c:v>9.6798455732415613E-3</c:v>
                </c:pt>
                <c:pt idx="137" formatCode="General">
                  <c:v>-3.387050650286226E-2</c:v>
                </c:pt>
                <c:pt idx="138" formatCode="General">
                  <c:v>-1.4888784043519435E-3</c:v>
                </c:pt>
                <c:pt idx="139" formatCode="General">
                  <c:v>1.240463777024884E-2</c:v>
                </c:pt>
                <c:pt idx="140" formatCode="General">
                  <c:v>6.0490610891303382E-3</c:v>
                </c:pt>
                <c:pt idx="141" formatCode="General">
                  <c:v>2.3289855814501163E-3</c:v>
                </c:pt>
                <c:pt idx="142" formatCode="General">
                  <c:v>1.6660289940951269E-3</c:v>
                </c:pt>
                <c:pt idx="143" formatCode="General">
                  <c:v>1.8990922925359262E-2</c:v>
                </c:pt>
                <c:pt idx="144" formatCode="General">
                  <c:v>8.7556484502738525E-3</c:v>
                </c:pt>
                <c:pt idx="145" formatCode="General">
                  <c:v>2.4678512148101898E-2</c:v>
                </c:pt>
                <c:pt idx="146" formatCode="General">
                  <c:v>-6.3699799826383999E-3</c:v>
                </c:pt>
                <c:pt idx="147" formatCode="General">
                  <c:v>2.4036689499798192E-2</c:v>
                </c:pt>
                <c:pt idx="148" formatCode="General">
                  <c:v>-3.2271594928607291E-3</c:v>
                </c:pt>
                <c:pt idx="149" formatCode="General">
                  <c:v>1.842342406873592E-2</c:v>
                </c:pt>
                <c:pt idx="150" formatCode="General">
                  <c:v>1.1342357375050573E-2</c:v>
                </c:pt>
                <c:pt idx="151" formatCode="General">
                  <c:v>2.1482961163409989E-2</c:v>
                </c:pt>
                <c:pt idx="152" formatCode="General">
                  <c:v>1.5849508136391573E-2</c:v>
                </c:pt>
                <c:pt idx="153" formatCode="General">
                  <c:v>1.5423830879584443E-2</c:v>
                </c:pt>
                <c:pt idx="154" formatCode="General">
                  <c:v>2.1322712834756175E-2</c:v>
                </c:pt>
                <c:pt idx="155" formatCode="General">
                  <c:v>1.3365381213004859E-2</c:v>
                </c:pt>
                <c:pt idx="156" formatCode="General">
                  <c:v>5.2852661257157107E-3</c:v>
                </c:pt>
                <c:pt idx="157" formatCode="General">
                  <c:v>-2.9658999831732126E-2</c:v>
                </c:pt>
                <c:pt idx="158" formatCode="General">
                  <c:v>1.1042312696207361E-2</c:v>
                </c:pt>
                <c:pt idx="159" formatCode="General">
                  <c:v>-2.1141400220445059E-2</c:v>
                </c:pt>
                <c:pt idx="160" formatCode="General">
                  <c:v>2.2351130780200516E-2</c:v>
                </c:pt>
                <c:pt idx="161" formatCode="General">
                  <c:v>1.8230378207749913E-2</c:v>
                </c:pt>
                <c:pt idx="162" formatCode="General">
                  <c:v>-2.1082891502376938E-2</c:v>
                </c:pt>
                <c:pt idx="163" formatCode="General">
                  <c:v>5.3513757745183698E-3</c:v>
                </c:pt>
                <c:pt idx="164" formatCode="General">
                  <c:v>4.766848794196055E-3</c:v>
                </c:pt>
                <c:pt idx="165" formatCode="General">
                  <c:v>-3.3869446912398841E-2</c:v>
                </c:pt>
                <c:pt idx="166" formatCode="General">
                  <c:v>-2.3278053840208368E-2</c:v>
                </c:pt>
                <c:pt idx="167" formatCode="General">
                  <c:v>1.8912311484734733E-2</c:v>
                </c:pt>
                <c:pt idx="168" formatCode="General">
                  <c:v>3.7958712767317995E-3</c:v>
                </c:pt>
                <c:pt idx="169" formatCode="General">
                  <c:v>-1.1720039778247137E-2</c:v>
                </c:pt>
                <c:pt idx="170" formatCode="General">
                  <c:v>1.0070387527603841E-2</c:v>
                </c:pt>
                <c:pt idx="171" formatCode="General">
                  <c:v>-9.7484941182248847E-3</c:v>
                </c:pt>
                <c:pt idx="172" formatCode="General">
                  <c:v>2.021498316846421E-2</c:v>
                </c:pt>
                <c:pt idx="173" formatCode="General">
                  <c:v>-6.6045067022807435E-3</c:v>
                </c:pt>
                <c:pt idx="174" formatCode="General">
                  <c:v>-2.5016886719247408E-3</c:v>
                </c:pt>
                <c:pt idx="175" formatCode="General">
                  <c:v>1.2312950238222259E-2</c:v>
                </c:pt>
                <c:pt idx="176" formatCode="General">
                  <c:v>-2.0156049852157375E-2</c:v>
                </c:pt>
                <c:pt idx="177" formatCode="General">
                  <c:v>9.6011323289645154E-3</c:v>
                </c:pt>
                <c:pt idx="178" formatCode="General">
                  <c:v>4.0605965247489037E-3</c:v>
                </c:pt>
                <c:pt idx="179" formatCode="General">
                  <c:v>1.7417316276111664E-3</c:v>
                </c:pt>
                <c:pt idx="180" formatCode="General">
                  <c:v>3.8070918294614647E-3</c:v>
                </c:pt>
                <c:pt idx="181" formatCode="General">
                  <c:v>1.7401972621673686E-2</c:v>
                </c:pt>
                <c:pt idx="182" formatCode="General">
                  <c:v>-1.5903473270622807E-3</c:v>
                </c:pt>
                <c:pt idx="183" formatCode="General">
                  <c:v>3.1310699458766016E-3</c:v>
                </c:pt>
                <c:pt idx="184" formatCode="General">
                  <c:v>-1.9198701478086739E-2</c:v>
                </c:pt>
                <c:pt idx="185" formatCode="General">
                  <c:v>2.3548459413092103E-2</c:v>
                </c:pt>
                <c:pt idx="186" formatCode="General">
                  <c:v>-1.4720564362310297E-2</c:v>
                </c:pt>
                <c:pt idx="187" formatCode="General">
                  <c:v>-2.3608863727456147E-3</c:v>
                </c:pt>
                <c:pt idx="188" formatCode="General">
                  <c:v>1.5803904150617581E-2</c:v>
                </c:pt>
                <c:pt idx="189" formatCode="General">
                  <c:v>-1.7737820392540633E-2</c:v>
                </c:pt>
                <c:pt idx="190" formatCode="General">
                  <c:v>3.4574782904471884E-3</c:v>
                </c:pt>
                <c:pt idx="191" formatCode="General">
                  <c:v>-1.6450722249967888E-2</c:v>
                </c:pt>
              </c:numCache>
            </c:numRef>
          </c:val>
        </c:ser>
        <c:marker val="1"/>
        <c:axId val="182666752"/>
        <c:axId val="210125184"/>
      </c:lineChart>
      <c:dateAx>
        <c:axId val="182666752"/>
        <c:scaling>
          <c:orientation val="minMax"/>
        </c:scaling>
        <c:delete val="1"/>
        <c:axPos val="b"/>
        <c:numFmt formatCode="[$-409]mmm\-yy;@" sourceLinked="1"/>
        <c:tickLblPos val="none"/>
        <c:crossAx val="210125184"/>
        <c:crosses val="autoZero"/>
        <c:auto val="1"/>
        <c:lblOffset val="100"/>
      </c:dateAx>
      <c:valAx>
        <c:axId val="210125184"/>
        <c:scaling>
          <c:orientation val="minMax"/>
        </c:scaling>
        <c:axPos val="l"/>
        <c:majorGridlines>
          <c:spPr>
            <a:ln w="3175">
              <a:solidFill>
                <a:srgbClr val="000000"/>
              </a:solidFill>
              <a:prstDash val="solid"/>
            </a:ln>
          </c:spPr>
        </c:majorGridlines>
        <c:numFmt formatCode="0.00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666752"/>
        <c:crosses val="autoZero"/>
        <c:crossBetween val="between"/>
      </c:valAx>
      <c:spPr>
        <a:solidFill>
          <a:srgbClr val="C0C0C0"/>
        </a:solidFill>
        <a:ln w="12700">
          <a:solidFill>
            <a:srgbClr val="808080"/>
          </a:solidFill>
          <a:prstDash val="solid"/>
        </a:ln>
      </c:spPr>
    </c:plotArea>
    <c:legend>
      <c:legendPos val="r"/>
      <c:layout>
        <c:manualLayout>
          <c:xMode val="edge"/>
          <c:yMode val="edge"/>
          <c:x val="0.87680355160932388"/>
          <c:y val="0.47634584013050568"/>
          <c:w val="0.12208657047724768"/>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sheetPr codeName="Chart1"/>
  <sheetViews>
    <sheetView zoomScale="131" workbookViewId="0" zoomToFit="1"/>
  </sheetViews>
  <pageMargins left="0.75" right="0.75" top="1" bottom="1" header="0.5" footer="0.5"/>
  <pageSetup orientation="landscape" r:id="rId1"/>
  <headerFooter alignWithMargins="0"/>
  <drawing r:id="rId2"/>
  <legacyDrawing r:id="rId3"/>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139700</xdr:colOff>
      <xdr:row>5</xdr:row>
      <xdr:rowOff>92075</xdr:rowOff>
    </xdr:from>
    <xdr:to>
      <xdr:col>9</xdr:col>
      <xdr:colOff>590550</xdr:colOff>
      <xdr:row>19</xdr:row>
      <xdr:rowOff>133350</xdr:rowOff>
    </xdr:to>
    <xdr:sp macro="" textlink="">
      <xdr:nvSpPr>
        <xdr:cNvPr id="3" name="TextBox 2"/>
        <xdr:cNvSpPr txBox="1"/>
      </xdr:nvSpPr>
      <xdr:spPr>
        <a:xfrm>
          <a:off x="749300" y="1092200"/>
          <a:ext cx="5327650" cy="2708275"/>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uses monthly stock return data for many of the largest companies in the U.S. to find their "betas". The stock return data are in a separate file called Stock Data.xlsx, and this file should be in the same directory as the current workbook. The "beta" of the stock can be estimated for any of the companies in the Stock Data file, and it can be based on any period from January 1992 to December 2007. There are four possible optimization criteria: (1) sum of squared errors, (2) weighted sum of squared errors, (3) sum of absolute errors, and (4) minimax (minimize the maximum absolute error). Solver performs the appropriate optimization, based on the criterion specified.
The Stock Data file is set up so that each company has its own data sheet, with monthly closing prices from December 1991 to December 2007, and corresponding returns from January 1992 to December</a:t>
          </a:r>
          <a:r>
            <a:rPr lang="en-US" sz="1100" baseline="0"/>
            <a:t> 2007</a:t>
          </a:r>
          <a:r>
            <a:rPr lang="en-US" sz="1100"/>
            <a:t>.  Similar sheets for other companies can be added by the user.  Any additional sheet should be named with the company's ticker symbol, and the name of the company should be entered in cell E1 of its sheet.  There is also market data for the same time period in the S&amp;P500 sheet of the Stock Data file.</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pageSetUpPr fitToPage="1"/>
  </sheetPr>
  <dimension ref="C2:I2"/>
  <sheetViews>
    <sheetView showGridLines="0" tabSelected="1" workbookViewId="0">
      <selection activeCell="M10" sqref="M10"/>
    </sheetView>
  </sheetViews>
  <sheetFormatPr defaultRowHeight="15"/>
  <cols>
    <col min="1" max="16384" width="9.140625" style="1"/>
  </cols>
  <sheetData>
    <row r="2" spans="3:9" ht="18.75">
      <c r="C2" s="17" t="s">
        <v>45</v>
      </c>
      <c r="D2" s="17"/>
      <c r="E2" s="17"/>
      <c r="F2" s="17"/>
      <c r="G2" s="17"/>
      <c r="H2" s="17"/>
      <c r="I2" s="17"/>
    </row>
  </sheetData>
  <mergeCells count="1">
    <mergeCell ref="C2:I2"/>
  </mergeCells>
  <phoneticPr fontId="0" type="noConversion"/>
  <pageMargins left="0.75" right="0.75" top="1" bottom="1" header="0.5" footer="0.5"/>
  <pageSetup paperSize="5" scale="9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pageSetUpPr fitToPage="1"/>
  </sheetPr>
  <dimension ref="A1:AB202"/>
  <sheetViews>
    <sheetView zoomScaleNormal="100" workbookViewId="0">
      <selection activeCell="A2" sqref="A2"/>
    </sheetView>
  </sheetViews>
  <sheetFormatPr defaultRowHeight="15"/>
  <cols>
    <col min="1" max="1" width="19.28515625" style="5" customWidth="1"/>
    <col min="2" max="2" width="10.42578125" style="11" bestFit="1" customWidth="1"/>
    <col min="3" max="3" width="11.7109375" style="11" bestFit="1" customWidth="1"/>
    <col min="4" max="4" width="10" style="5" customWidth="1"/>
    <col min="5" max="5" width="9.140625" style="5"/>
    <col min="6" max="6" width="9.5703125" style="5" customWidth="1"/>
    <col min="7" max="7" width="9.7109375" style="5" customWidth="1"/>
    <col min="8" max="9" width="9.140625" style="5"/>
    <col min="10" max="10" width="10.7109375" style="5" customWidth="1"/>
    <col min="11" max="11" width="10.42578125" style="5" customWidth="1"/>
    <col min="12" max="29" width="9.140625" style="5"/>
    <col min="30" max="30" width="10.28515625" style="5" customWidth="1"/>
    <col min="31" max="16384" width="9.140625" style="5"/>
  </cols>
  <sheetData>
    <row r="1" spans="1:28">
      <c r="A1" s="4" t="s">
        <v>52</v>
      </c>
      <c r="B1" s="5"/>
      <c r="C1" s="5"/>
      <c r="AA1" s="5" t="s">
        <v>47</v>
      </c>
      <c r="AB1" s="5" t="s">
        <v>48</v>
      </c>
    </row>
    <row r="2" spans="1:28">
      <c r="B2" s="5"/>
      <c r="C2" s="5"/>
      <c r="AA2" s="5" t="s">
        <v>38</v>
      </c>
      <c r="AB2" s="5" t="s">
        <v>39</v>
      </c>
    </row>
    <row r="3" spans="1:28">
      <c r="A3" s="4" t="s">
        <v>1</v>
      </c>
      <c r="B3" s="5"/>
      <c r="C3" s="5"/>
      <c r="AA3" s="5" t="s">
        <v>49</v>
      </c>
      <c r="AB3" s="5" t="s">
        <v>50</v>
      </c>
    </row>
    <row r="4" spans="1:28">
      <c r="A4" s="6" t="s">
        <v>2</v>
      </c>
      <c r="B4" s="14">
        <v>-3.0111342333094533E-3</v>
      </c>
      <c r="C4" s="5"/>
      <c r="AA4" s="5" t="s">
        <v>25</v>
      </c>
      <c r="AB4" s="5" t="s">
        <v>26</v>
      </c>
    </row>
    <row r="5" spans="1:28">
      <c r="A5" s="6" t="s">
        <v>3</v>
      </c>
      <c r="B5" s="14">
        <v>0.67455087435235439</v>
      </c>
      <c r="C5" s="5"/>
      <c r="AA5" s="5" t="s">
        <v>12</v>
      </c>
      <c r="AB5" s="5" t="s">
        <v>13</v>
      </c>
    </row>
    <row r="6" spans="1:28">
      <c r="A6" s="6"/>
      <c r="B6" s="7"/>
      <c r="C6" s="5"/>
      <c r="AA6" s="5" t="s">
        <v>24</v>
      </c>
      <c r="AB6" s="5" t="s">
        <v>51</v>
      </c>
    </row>
    <row r="7" spans="1:28">
      <c r="A7" s="6" t="s">
        <v>41</v>
      </c>
      <c r="B7" s="8" t="s">
        <v>44</v>
      </c>
      <c r="C7" s="5"/>
      <c r="AA7" s="5" t="s">
        <v>35</v>
      </c>
      <c r="AB7" s="5" t="s">
        <v>46</v>
      </c>
    </row>
    <row r="8" spans="1:28">
      <c r="A8" s="6"/>
      <c r="B8" s="7"/>
      <c r="C8" s="5"/>
      <c r="AA8" s="5" t="s">
        <v>10</v>
      </c>
      <c r="AB8" s="5" t="s">
        <v>11</v>
      </c>
    </row>
    <row r="9" spans="1:28">
      <c r="A9" s="4" t="s">
        <v>43</v>
      </c>
      <c r="B9" s="5"/>
      <c r="C9" s="5"/>
      <c r="AA9" s="5" t="s">
        <v>29</v>
      </c>
      <c r="AB9" s="5" t="s">
        <v>30</v>
      </c>
    </row>
    <row r="10" spans="1:28" s="9" customFormat="1">
      <c r="A10" s="3" t="s">
        <v>0</v>
      </c>
      <c r="B10" s="9" t="s">
        <v>8</v>
      </c>
      <c r="C10" s="9" t="s">
        <v>9</v>
      </c>
      <c r="D10" s="9" t="s">
        <v>4</v>
      </c>
      <c r="E10" s="9" t="s">
        <v>6</v>
      </c>
      <c r="F10" s="9" t="s">
        <v>5</v>
      </c>
      <c r="G10" s="9" t="s">
        <v>7</v>
      </c>
      <c r="J10" s="10" t="s">
        <v>42</v>
      </c>
      <c r="AA10" s="5" t="s">
        <v>20</v>
      </c>
      <c r="AB10" s="5" t="s">
        <v>21</v>
      </c>
    </row>
    <row r="11" spans="1:28">
      <c r="A11" s="2">
        <v>39419</v>
      </c>
      <c r="B11" s="11">
        <v>-8.6284888666839053E-3</v>
      </c>
      <c r="C11" s="11">
        <v>-6.8644818423383408E-2</v>
      </c>
      <c r="D11" s="12">
        <f>Alpha+Beta*B11</f>
        <v>-8.8314889426706379E-3</v>
      </c>
      <c r="E11" s="12">
        <f t="shared" ref="E11:E42" si="0">C11-D11</f>
        <v>-5.9813329480712774E-2</v>
      </c>
      <c r="F11" s="11">
        <f t="shared" ref="F11:F42" si="1">E11^2</f>
        <v>3.577634383568304E-3</v>
      </c>
      <c r="G11" s="12">
        <f t="shared" ref="G11:G42" si="2">ABS(E11)</f>
        <v>5.9813329480712774E-2</v>
      </c>
      <c r="H11" s="12"/>
      <c r="J11" s="10" t="s">
        <v>53</v>
      </c>
      <c r="K11" s="5">
        <f>SUM(AbsErrs)</f>
        <v>11.43798578743319</v>
      </c>
      <c r="AA11" s="5" t="s">
        <v>40</v>
      </c>
      <c r="AB11" s="5" t="s">
        <v>40</v>
      </c>
    </row>
    <row r="12" spans="1:28">
      <c r="A12" s="2">
        <v>39387</v>
      </c>
      <c r="B12" s="11">
        <v>-4.4043423821141361E-2</v>
      </c>
      <c r="C12" s="11">
        <v>-0.18069666182873734</v>
      </c>
      <c r="D12" s="12">
        <f>Alpha+Beta*B12</f>
        <v>-3.272066428133167E-2</v>
      </c>
      <c r="E12" s="12">
        <f t="shared" si="0"/>
        <v>-0.14797599754740567</v>
      </c>
      <c r="F12" s="11">
        <f t="shared" si="1"/>
        <v>2.1896895850149811E-2</v>
      </c>
      <c r="G12" s="12">
        <f t="shared" si="2"/>
        <v>0.14797599754740567</v>
      </c>
      <c r="H12" s="12"/>
      <c r="J12" s="10"/>
      <c r="AA12" s="5" t="s">
        <v>18</v>
      </c>
      <c r="AB12" s="5" t="s">
        <v>19</v>
      </c>
    </row>
    <row r="13" spans="1:28">
      <c r="A13" s="2">
        <v>39356</v>
      </c>
      <c r="B13" s="11">
        <v>1.4822335025380782E-2</v>
      </c>
      <c r="C13" s="11">
        <v>8.0360642885142969E-2</v>
      </c>
      <c r="D13" s="12">
        <f>Alpha+Beta*B13</f>
        <v>6.9872848180046795E-3</v>
      </c>
      <c r="E13" s="12">
        <f t="shared" si="0"/>
        <v>7.3373358067138295E-2</v>
      </c>
      <c r="F13" s="11">
        <f t="shared" si="1"/>
        <v>5.3836496740484879E-3</v>
      </c>
      <c r="G13" s="12">
        <f t="shared" si="2"/>
        <v>7.3373358067138295E-2</v>
      </c>
      <c r="H13" s="12"/>
      <c r="J13" s="15"/>
      <c r="AA13" s="5" t="s">
        <v>16</v>
      </c>
      <c r="AB13" s="5" t="s">
        <v>17</v>
      </c>
    </row>
    <row r="14" spans="1:28">
      <c r="A14" s="2">
        <v>39329</v>
      </c>
      <c r="B14" s="11">
        <v>3.5794001316155462E-2</v>
      </c>
      <c r="C14" s="11">
        <v>3.5405192761604979E-3</v>
      </c>
      <c r="D14" s="12">
        <f>Alpha+Beta*B14</f>
        <v>2.1133740651072538E-2</v>
      </c>
      <c r="E14" s="12">
        <f t="shared" si="0"/>
        <v>-1.7593221374912038E-2</v>
      </c>
      <c r="F14" s="11">
        <f t="shared" si="1"/>
        <v>3.095214383466618E-4</v>
      </c>
      <c r="G14" s="12">
        <f t="shared" si="2"/>
        <v>1.7593221374912038E-2</v>
      </c>
      <c r="H14" s="12"/>
      <c r="J14" s="16"/>
      <c r="K14" s="16"/>
      <c r="AA14" s="5" t="s">
        <v>22</v>
      </c>
      <c r="AB14" s="5" t="s">
        <v>23</v>
      </c>
    </row>
    <row r="15" spans="1:28">
      <c r="A15" s="2">
        <v>39295</v>
      </c>
      <c r="B15" s="11">
        <v>1.2863592323074088E-2</v>
      </c>
      <c r="C15" s="11">
        <v>5.6086414624013356E-2</v>
      </c>
      <c r="D15" s="12">
        <f>Alpha+Beta*B15</f>
        <v>5.6660132155324054E-3</v>
      </c>
      <c r="E15" s="12">
        <f t="shared" si="0"/>
        <v>5.0420401408480947E-2</v>
      </c>
      <c r="F15" s="11">
        <f t="shared" si="1"/>
        <v>2.5422168781923473E-3</v>
      </c>
      <c r="G15" s="12">
        <f t="shared" si="2"/>
        <v>5.0420401408480947E-2</v>
      </c>
      <c r="H15" s="12"/>
      <c r="J15" s="16"/>
      <c r="K15" s="16"/>
      <c r="AA15" s="5" t="s">
        <v>33</v>
      </c>
      <c r="AB15" s="5" t="s">
        <v>34</v>
      </c>
    </row>
    <row r="16" spans="1:28">
      <c r="A16" s="2">
        <v>39265</v>
      </c>
      <c r="B16" s="11">
        <v>-3.1981907074200906E-2</v>
      </c>
      <c r="C16" s="11">
        <v>-9.272521673577086E-2</v>
      </c>
      <c r="D16" s="12">
        <f>Alpha+Beta*B16</f>
        <v>-2.4584557613667422E-2</v>
      </c>
      <c r="E16" s="12">
        <f t="shared" si="0"/>
        <v>-6.8140659122103431E-2</v>
      </c>
      <c r="F16" s="11">
        <f t="shared" si="1"/>
        <v>4.6431494255946976E-3</v>
      </c>
      <c r="G16" s="12">
        <f t="shared" si="2"/>
        <v>6.8140659122103431E-2</v>
      </c>
      <c r="H16" s="12"/>
      <c r="J16" s="16"/>
      <c r="K16" s="16"/>
      <c r="AA16" s="5" t="s">
        <v>36</v>
      </c>
      <c r="AB16" s="5" t="s">
        <v>37</v>
      </c>
    </row>
    <row r="17" spans="1:28">
      <c r="A17" s="2">
        <v>39234</v>
      </c>
      <c r="B17" s="11">
        <v>-1.7816309730697352E-2</v>
      </c>
      <c r="C17" s="11">
        <v>9.7187758478081115E-2</v>
      </c>
      <c r="D17" s="12">
        <f>Alpha+Beta*B17</f>
        <v>-1.5029141539883712E-2</v>
      </c>
      <c r="E17" s="12">
        <f t="shared" si="0"/>
        <v>0.11221690001796483</v>
      </c>
      <c r="F17" s="11">
        <f t="shared" si="1"/>
        <v>1.2592632649641916E-2</v>
      </c>
      <c r="G17" s="12">
        <f t="shared" si="2"/>
        <v>0.11221690001796483</v>
      </c>
      <c r="H17" s="12"/>
      <c r="J17" s="16"/>
      <c r="K17" s="16"/>
      <c r="AA17" s="5" t="s">
        <v>31</v>
      </c>
      <c r="AB17" s="5" t="s">
        <v>32</v>
      </c>
    </row>
    <row r="18" spans="1:28">
      <c r="A18" s="2">
        <v>39203</v>
      </c>
      <c r="B18" s="11">
        <v>3.2549228600147063E-2</v>
      </c>
      <c r="C18" s="11">
        <v>2.8498511271799153E-2</v>
      </c>
      <c r="D18" s="12">
        <f>Alpha+Beta*B18</f>
        <v>1.894497637841441E-2</v>
      </c>
      <c r="E18" s="12">
        <f t="shared" si="0"/>
        <v>9.5535348933847436E-3</v>
      </c>
      <c r="F18" s="11">
        <f t="shared" si="1"/>
        <v>9.127002895911985E-5</v>
      </c>
      <c r="G18" s="12">
        <f t="shared" si="2"/>
        <v>9.5535348933847436E-3</v>
      </c>
      <c r="H18" s="12"/>
      <c r="J18" s="16"/>
      <c r="K18" s="16"/>
      <c r="AA18" s="5" t="s">
        <v>27</v>
      </c>
      <c r="AB18" s="5" t="s">
        <v>28</v>
      </c>
    </row>
    <row r="19" spans="1:28">
      <c r="A19" s="2">
        <v>39174</v>
      </c>
      <c r="B19" s="11">
        <v>4.3290683107413817E-2</v>
      </c>
      <c r="C19" s="11">
        <v>0.10427430718647264</v>
      </c>
      <c r="D19" s="12">
        <f>Alpha+Beta*B19</f>
        <v>2.6190633908107237E-2</v>
      </c>
      <c r="E19" s="12">
        <f t="shared" si="0"/>
        <v>7.8083673278365406E-2</v>
      </c>
      <c r="F19" s="11">
        <f t="shared" si="1"/>
        <v>6.0970600326425159E-3</v>
      </c>
      <c r="G19" s="12">
        <f t="shared" si="2"/>
        <v>7.8083673278365406E-2</v>
      </c>
      <c r="H19" s="12"/>
      <c r="K19" s="13"/>
      <c r="AA19" s="6" t="s">
        <v>14</v>
      </c>
      <c r="AB19" s="6" t="s">
        <v>15</v>
      </c>
    </row>
    <row r="20" spans="1:28">
      <c r="A20" s="2">
        <v>39142</v>
      </c>
      <c r="B20" s="11">
        <v>9.9799547916577559E-3</v>
      </c>
      <c r="C20" s="11">
        <v>-5.5037727474478555E-2</v>
      </c>
      <c r="D20" s="12">
        <f>Alpha+Beta*B20</f>
        <v>3.720852997400255E-3</v>
      </c>
      <c r="E20" s="12">
        <f t="shared" si="0"/>
        <v>-5.8758580471878812E-2</v>
      </c>
      <c r="F20" s="11">
        <f t="shared" si="1"/>
        <v>3.4525707790702578E-3</v>
      </c>
      <c r="G20" s="12">
        <f t="shared" si="2"/>
        <v>5.8758580471878812E-2</v>
      </c>
      <c r="H20" s="12"/>
      <c r="K20" s="13"/>
    </row>
    <row r="21" spans="1:28">
      <c r="A21" s="2">
        <v>39114</v>
      </c>
      <c r="B21" s="11">
        <v>-2.1846145288686222E-2</v>
      </c>
      <c r="C21" s="11">
        <v>-7.7017615731257635E-2</v>
      </c>
      <c r="D21" s="12">
        <f>Alpha+Beta*B21</f>
        <v>-1.7747470639021313E-2</v>
      </c>
      <c r="E21" s="12">
        <f t="shared" si="0"/>
        <v>-5.9270145092236326E-2</v>
      </c>
      <c r="F21" s="11">
        <f t="shared" si="1"/>
        <v>3.5129500992547458E-3</v>
      </c>
      <c r="G21" s="12">
        <f t="shared" si="2"/>
        <v>5.9270145092236326E-2</v>
      </c>
      <c r="H21" s="12"/>
      <c r="K21" s="13"/>
    </row>
    <row r="22" spans="1:28">
      <c r="A22" s="2">
        <v>39085</v>
      </c>
      <c r="B22" s="11">
        <v>1.4059084819854795E-2</v>
      </c>
      <c r="C22" s="11">
        <v>2.4640657084188384E-3</v>
      </c>
      <c r="D22" s="12">
        <f>Alpha+Beta*B22</f>
        <v>6.4724337245175116E-3</v>
      </c>
      <c r="E22" s="12">
        <f t="shared" si="0"/>
        <v>-4.0083680160986727E-3</v>
      </c>
      <c r="F22" s="11">
        <f t="shared" si="1"/>
        <v>1.6067014152482809E-5</v>
      </c>
      <c r="G22" s="12">
        <f t="shared" si="2"/>
        <v>4.0083680160986727E-3</v>
      </c>
      <c r="H22" s="12"/>
      <c r="K22" s="13"/>
    </row>
    <row r="23" spans="1:28">
      <c r="A23" s="2">
        <v>39052</v>
      </c>
      <c r="B23" s="11">
        <v>1.2615751483260993E-2</v>
      </c>
      <c r="C23" s="11">
        <v>-8.5504885993484252E-3</v>
      </c>
      <c r="D23" s="12">
        <f>Alpha+Beta*B23</f>
        <v>5.4988319603362611E-3</v>
      </c>
      <c r="E23" s="12">
        <f t="shared" si="0"/>
        <v>-1.4049320559684686E-2</v>
      </c>
      <c r="F23" s="11">
        <f t="shared" si="1"/>
        <v>1.9738340818877882E-4</v>
      </c>
      <c r="G23" s="12">
        <f t="shared" si="2"/>
        <v>1.4049320559684686E-2</v>
      </c>
      <c r="H23" s="12"/>
      <c r="K23" s="13"/>
    </row>
    <row r="24" spans="1:28">
      <c r="A24" s="2">
        <v>39022</v>
      </c>
      <c r="B24" s="11">
        <v>1.6466609576614406E-2</v>
      </c>
      <c r="C24" s="11">
        <v>6.6435084672166633E-2</v>
      </c>
      <c r="D24" s="12">
        <f>Alpha+Beta*B24</f>
        <v>8.0964316542146454E-3</v>
      </c>
      <c r="E24" s="12">
        <f t="shared" si="0"/>
        <v>5.8338653017951991E-2</v>
      </c>
      <c r="F24" s="11">
        <f t="shared" si="1"/>
        <v>3.4033984359489989E-3</v>
      </c>
      <c r="G24" s="12">
        <f t="shared" si="2"/>
        <v>5.8338653017951991E-2</v>
      </c>
      <c r="H24" s="12"/>
      <c r="K24" s="13"/>
    </row>
    <row r="25" spans="1:28">
      <c r="A25" s="2">
        <v>38992</v>
      </c>
      <c r="B25" s="11">
        <v>3.1508028596025112E-2</v>
      </c>
      <c r="C25" s="11">
        <v>0.10086042065009557</v>
      </c>
      <c r="D25" s="12">
        <f>Alpha+Beta*B25</f>
        <v>1.824263400525827E-2</v>
      </c>
      <c r="E25" s="12">
        <f t="shared" si="0"/>
        <v>8.2617786644837293E-2</v>
      </c>
      <c r="F25" s="11">
        <f t="shared" si="1"/>
        <v>6.8256986700918551E-3</v>
      </c>
      <c r="G25" s="12">
        <f t="shared" si="2"/>
        <v>8.2617786644837293E-2</v>
      </c>
      <c r="H25" s="12"/>
      <c r="K25" s="13"/>
    </row>
    <row r="26" spans="1:28">
      <c r="A26" s="2">
        <v>38961</v>
      </c>
      <c r="B26" s="11">
        <v>2.4566274485741876E-2</v>
      </c>
      <c r="C26" s="11">
        <v>5.2843482637141455E-2</v>
      </c>
      <c r="D26" s="12">
        <f>Alpha+Beta*B26</f>
        <v>1.3560067700627666E-2</v>
      </c>
      <c r="E26" s="12">
        <f t="shared" si="0"/>
        <v>3.9283414936513786E-2</v>
      </c>
      <c r="F26" s="11">
        <f t="shared" si="1"/>
        <v>1.5431866890743143E-3</v>
      </c>
      <c r="G26" s="12">
        <f t="shared" si="2"/>
        <v>3.9283414936513786E-2</v>
      </c>
      <c r="H26" s="12"/>
    </row>
    <row r="27" spans="1:28">
      <c r="A27" s="2">
        <v>38930</v>
      </c>
      <c r="B27" s="11">
        <v>2.1274262528785937E-2</v>
      </c>
      <c r="C27" s="11">
        <v>-4.3792107795957658E-2</v>
      </c>
      <c r="D27" s="12">
        <f>Alpha+Beta*B27</f>
        <v>1.1339438156684631E-2</v>
      </c>
      <c r="E27" s="12">
        <f t="shared" si="0"/>
        <v>-5.5131545952642289E-2</v>
      </c>
      <c r="F27" s="11">
        <f t="shared" si="1"/>
        <v>3.0394873591283083E-3</v>
      </c>
      <c r="G27" s="12">
        <f t="shared" si="2"/>
        <v>5.5131545952642289E-2</v>
      </c>
      <c r="H27" s="12"/>
    </row>
    <row r="28" spans="1:28">
      <c r="A28" s="2">
        <v>38901</v>
      </c>
      <c r="B28" s="11">
        <v>5.0858132577547123E-3</v>
      </c>
      <c r="C28" s="11">
        <v>-6.4385411976587106E-2</v>
      </c>
      <c r="D28" s="12">
        <f>Alpha+Beta*B28</f>
        <v>4.1950554650178364E-4</v>
      </c>
      <c r="E28" s="12">
        <f t="shared" si="0"/>
        <v>-6.4804917523088895E-2</v>
      </c>
      <c r="F28" s="11">
        <f t="shared" si="1"/>
        <v>4.1996773351743542E-3</v>
      </c>
      <c r="G28" s="12">
        <f t="shared" si="2"/>
        <v>6.4804917523088895E-2</v>
      </c>
      <c r="H28" s="12"/>
    </row>
    <row r="29" spans="1:28">
      <c r="A29" s="2">
        <v>38869</v>
      </c>
      <c r="B29" s="11">
        <v>8.6608035651117117E-5</v>
      </c>
      <c r="C29" s="11">
        <v>-1.3765541740674899E-2</v>
      </c>
      <c r="D29" s="12">
        <f>Alpha+Beta*B29</f>
        <v>-2.9527127071350525E-3</v>
      </c>
      <c r="E29" s="12">
        <f t="shared" si="0"/>
        <v>-1.0812829033539847E-2</v>
      </c>
      <c r="F29" s="11">
        <f t="shared" si="1"/>
        <v>1.1691727170856227E-4</v>
      </c>
      <c r="G29" s="12">
        <f t="shared" si="2"/>
        <v>1.0812829033539847E-2</v>
      </c>
      <c r="H29" s="12"/>
    </row>
    <row r="30" spans="1:28">
      <c r="A30" s="2">
        <v>38838</v>
      </c>
      <c r="B30" s="11">
        <v>-3.0916901290238885E-2</v>
      </c>
      <c r="C30" s="11">
        <v>-9.6670677898114732E-2</v>
      </c>
      <c r="D30" s="12">
        <f>Alpha+Beta*B30</f>
        <v>-2.3866157030905527E-2</v>
      </c>
      <c r="E30" s="12">
        <f t="shared" si="0"/>
        <v>-7.2804520867209205E-2</v>
      </c>
      <c r="F30" s="11">
        <f t="shared" si="1"/>
        <v>5.3004982587039002E-3</v>
      </c>
      <c r="G30" s="12">
        <f t="shared" si="2"/>
        <v>7.2804520867209205E-2</v>
      </c>
      <c r="H30" s="12"/>
    </row>
    <row r="31" spans="1:28">
      <c r="A31" s="2">
        <v>38810</v>
      </c>
      <c r="B31" s="11">
        <v>1.2155660413786721E-2</v>
      </c>
      <c r="C31" s="11">
        <v>-5.209125475285175E-2</v>
      </c>
      <c r="D31" s="12">
        <f>Alpha+Beta*B31</f>
        <v>5.1884771271406803E-3</v>
      </c>
      <c r="E31" s="12">
        <f t="shared" si="0"/>
        <v>-5.7279731879992427E-2</v>
      </c>
      <c r="F31" s="11">
        <f t="shared" si="1"/>
        <v>3.2809676842438205E-3</v>
      </c>
      <c r="G31" s="12">
        <f t="shared" si="2"/>
        <v>5.7279731879992427E-2</v>
      </c>
      <c r="H31" s="12"/>
    </row>
    <row r="32" spans="1:28">
      <c r="A32" s="2">
        <v>38777</v>
      </c>
      <c r="B32" s="11">
        <v>1.1095841206877554E-2</v>
      </c>
      <c r="C32" s="11">
        <v>1.3878180416345389E-2</v>
      </c>
      <c r="D32" s="12">
        <f>Alpha+Beta*B32</f>
        <v>4.4735751544646846E-3</v>
      </c>
      <c r="E32" s="12">
        <f t="shared" si="0"/>
        <v>9.4046052618807045E-3</v>
      </c>
      <c r="F32" s="11">
        <f t="shared" si="1"/>
        <v>8.8446600131794235E-5</v>
      </c>
      <c r="G32" s="12">
        <f t="shared" si="2"/>
        <v>9.4046052618807045E-3</v>
      </c>
      <c r="H32" s="12"/>
    </row>
    <row r="33" spans="1:8">
      <c r="A33" s="2">
        <v>38749</v>
      </c>
      <c r="B33" s="11">
        <v>4.5309668145752973E-4</v>
      </c>
      <c r="C33" s="11">
        <v>0.1176217147781129</v>
      </c>
      <c r="D33" s="12">
        <f>Alpha+Beta*B33</f>
        <v>-2.7054974706661266E-3</v>
      </c>
      <c r="E33" s="12">
        <f t="shared" si="0"/>
        <v>0.12032721224877903</v>
      </c>
      <c r="F33" s="11">
        <f t="shared" si="1"/>
        <v>1.4478638007562718E-2</v>
      </c>
      <c r="G33" s="12">
        <f t="shared" si="2"/>
        <v>0.12032721224877903</v>
      </c>
      <c r="H33" s="12"/>
    </row>
    <row r="34" spans="1:8">
      <c r="A34" s="2">
        <v>38720</v>
      </c>
      <c r="B34" s="11">
        <v>2.5466838635252998E-2</v>
      </c>
      <c r="C34" s="11">
        <v>7.2550831792975987E-2</v>
      </c>
      <c r="D34" s="12">
        <f>Alpha+Beta*B34</f>
        <v>1.4167544035090775E-2</v>
      </c>
      <c r="E34" s="12">
        <f t="shared" si="0"/>
        <v>5.8383287757885212E-2</v>
      </c>
      <c r="F34" s="11">
        <f t="shared" si="1"/>
        <v>3.4086082894200292E-3</v>
      </c>
      <c r="G34" s="12">
        <f t="shared" si="2"/>
        <v>5.8383287757885212E-2</v>
      </c>
      <c r="H34" s="12"/>
    </row>
    <row r="35" spans="1:8">
      <c r="A35" s="2">
        <v>38687</v>
      </c>
      <c r="B35" s="11">
        <v>-9.5239619681791992E-4</v>
      </c>
      <c r="C35" s="11">
        <v>-2.3906179521876458E-2</v>
      </c>
      <c r="D35" s="12">
        <f>Alpha+Beta*B35</f>
        <v>-3.6535739206028381E-3</v>
      </c>
      <c r="E35" s="12">
        <f t="shared" si="0"/>
        <v>-2.0252605601273621E-2</v>
      </c>
      <c r="F35" s="11">
        <f t="shared" si="1"/>
        <v>4.1016803364073964E-4</v>
      </c>
      <c r="G35" s="12">
        <f t="shared" si="2"/>
        <v>2.0252605601273621E-2</v>
      </c>
      <c r="H35" s="12"/>
    </row>
    <row r="36" spans="1:8">
      <c r="A36" s="2">
        <v>38657</v>
      </c>
      <c r="B36" s="11">
        <v>3.5186121076047447E-2</v>
      </c>
      <c r="C36" s="11">
        <v>9.4814814814814893E-2</v>
      </c>
      <c r="D36" s="12">
        <f>Alpha+Beta*B36</f>
        <v>2.0723694503606158E-2</v>
      </c>
      <c r="E36" s="12">
        <f t="shared" si="0"/>
        <v>7.4091120311208736E-2</v>
      </c>
      <c r="F36" s="11">
        <f t="shared" si="1"/>
        <v>5.4894941089700076E-3</v>
      </c>
      <c r="G36" s="12">
        <f t="shared" si="2"/>
        <v>7.4091120311208736E-2</v>
      </c>
      <c r="H36" s="12"/>
    </row>
    <row r="37" spans="1:8">
      <c r="A37" s="2">
        <v>38628</v>
      </c>
      <c r="B37" s="11">
        <v>-1.774074104214643E-2</v>
      </c>
      <c r="C37" s="11">
        <v>-8.9068825910931196E-2</v>
      </c>
      <c r="D37" s="12">
        <f>Alpha+Beta*B37</f>
        <v>-1.4978166614948026E-2</v>
      </c>
      <c r="E37" s="12">
        <f t="shared" si="0"/>
        <v>-7.4090659295983172E-2</v>
      </c>
      <c r="F37" s="11">
        <f t="shared" si="1"/>
        <v>5.4894257949134571E-3</v>
      </c>
      <c r="G37" s="12">
        <f t="shared" si="2"/>
        <v>7.4090659295983172E-2</v>
      </c>
      <c r="H37" s="12"/>
    </row>
    <row r="38" spans="1:8">
      <c r="A38" s="2">
        <v>38596</v>
      </c>
      <c r="B38" s="11">
        <v>6.9489400408086488E-3</v>
      </c>
      <c r="C38" s="11">
        <v>-1.7961383026492657E-3</v>
      </c>
      <c r="D38" s="12">
        <f>Alpha+Beta*B38</f>
        <v>1.6762793470401056E-3</v>
      </c>
      <c r="E38" s="12">
        <f t="shared" si="0"/>
        <v>-3.4724176496893711E-3</v>
      </c>
      <c r="F38" s="11">
        <f t="shared" si="1"/>
        <v>1.2057684333874256E-5</v>
      </c>
      <c r="G38" s="12">
        <f t="shared" si="2"/>
        <v>3.4724176496893711E-3</v>
      </c>
      <c r="H38" s="12"/>
    </row>
    <row r="39" spans="1:8">
      <c r="A39" s="2">
        <v>38565</v>
      </c>
      <c r="B39" s="11">
        <v>-1.1222025960556917E-2</v>
      </c>
      <c r="C39" s="11">
        <v>-8.8415882112157188E-2</v>
      </c>
      <c r="D39" s="12">
        <f>Alpha+Beta*B39</f>
        <v>-1.0580961657007941E-2</v>
      </c>
      <c r="E39" s="12">
        <f t="shared" si="0"/>
        <v>-7.7834920455149254E-2</v>
      </c>
      <c r="F39" s="11">
        <f t="shared" si="1"/>
        <v>6.0582748422594113E-3</v>
      </c>
      <c r="G39" s="12">
        <f t="shared" si="2"/>
        <v>7.7834920455149254E-2</v>
      </c>
      <c r="H39" s="12"/>
    </row>
    <row r="40" spans="1:8">
      <c r="A40" s="2">
        <v>38534</v>
      </c>
      <c r="B40" s="11">
        <v>3.5968203604375061E-2</v>
      </c>
      <c r="C40" s="11">
        <v>-4.0766408479413537E-3</v>
      </c>
      <c r="D40" s="12">
        <f>Alpha+Beta*B40</f>
        <v>2.125124895690525E-2</v>
      </c>
      <c r="E40" s="12">
        <f t="shared" si="0"/>
        <v>-2.5327889804846605E-2</v>
      </c>
      <c r="F40" s="11">
        <f t="shared" si="1"/>
        <v>6.4150200196645257E-4</v>
      </c>
      <c r="G40" s="12">
        <f t="shared" si="2"/>
        <v>2.5327889804846605E-2</v>
      </c>
      <c r="H40" s="12"/>
    </row>
    <row r="41" spans="1:8">
      <c r="A41" s="2">
        <v>38504</v>
      </c>
      <c r="B41" s="11">
        <v>-1.4267729752419031E-4</v>
      </c>
      <c r="C41" s="11">
        <v>2.1657642648896275E-2</v>
      </c>
      <c r="D41" s="12">
        <f>Alpha+Beta*B41</f>
        <v>-3.1073773291046269E-3</v>
      </c>
      <c r="E41" s="12">
        <f t="shared" si="0"/>
        <v>2.4765019978000902E-2</v>
      </c>
      <c r="F41" s="11">
        <f t="shared" si="1"/>
        <v>6.133062145107838E-4</v>
      </c>
      <c r="G41" s="12">
        <f t="shared" si="2"/>
        <v>2.4765019978000902E-2</v>
      </c>
      <c r="H41" s="12"/>
    </row>
    <row r="42" spans="1:8">
      <c r="A42" s="2">
        <v>38474</v>
      </c>
      <c r="B42" s="11">
        <v>2.9952024895189604E-2</v>
      </c>
      <c r="C42" s="11">
        <v>6.0980998674326228E-2</v>
      </c>
      <c r="D42" s="12">
        <f>Alpha+Beta*B42</f>
        <v>1.7193030348364179E-2</v>
      </c>
      <c r="E42" s="12">
        <f t="shared" si="0"/>
        <v>4.3787968325962046E-2</v>
      </c>
      <c r="F42" s="11">
        <f t="shared" si="1"/>
        <v>1.9173861701154554E-3</v>
      </c>
      <c r="G42" s="12">
        <f t="shared" si="2"/>
        <v>4.3787968325962046E-2</v>
      </c>
      <c r="H42" s="12"/>
    </row>
    <row r="43" spans="1:8">
      <c r="A43" s="2">
        <v>38443</v>
      </c>
      <c r="B43" s="11">
        <v>-2.0108589772910163E-2</v>
      </c>
      <c r="C43" s="11">
        <v>-0.23183978275627976</v>
      </c>
      <c r="D43" s="12">
        <f>Alpha+Beta*B43</f>
        <v>-1.6575401046618813E-2</v>
      </c>
      <c r="E43" s="12">
        <f t="shared" ref="E43:E74" si="3">C43-D43</f>
        <v>-0.21526438170966095</v>
      </c>
      <c r="F43" s="11">
        <f t="shared" ref="F43:F74" si="4">E43^2</f>
        <v>4.6338754032842606E-2</v>
      </c>
      <c r="G43" s="12">
        <f t="shared" ref="G43:G74" si="5">ABS(E43)</f>
        <v>0.21526438170966095</v>
      </c>
      <c r="H43" s="12"/>
    </row>
    <row r="44" spans="1:8">
      <c r="A44" s="2">
        <v>38412</v>
      </c>
      <c r="B44" s="11">
        <v>-1.9117647058823524E-2</v>
      </c>
      <c r="C44" s="11">
        <v>-4.257393565160867E-2</v>
      </c>
      <c r="D44" s="12">
        <f>Alpha+Beta*B44</f>
        <v>-1.5906959772398577E-2</v>
      </c>
      <c r="E44" s="12">
        <f t="shared" si="3"/>
        <v>-2.6666975879210093E-2</v>
      </c>
      <c r="F44" s="11">
        <f t="shared" si="4"/>
        <v>7.1112760254237286E-4</v>
      </c>
      <c r="G44" s="12">
        <f t="shared" si="5"/>
        <v>2.6666975879210093E-2</v>
      </c>
      <c r="H44" s="12"/>
    </row>
    <row r="45" spans="1:8">
      <c r="A45" s="2">
        <v>38384</v>
      </c>
      <c r="B45" s="11">
        <v>1.890338364641439E-2</v>
      </c>
      <c r="C45" s="11">
        <v>2.7378964941569293E-2</v>
      </c>
      <c r="D45" s="12">
        <f>Alpha+Beta*B45</f>
        <v>9.7401597335973703E-3</v>
      </c>
      <c r="E45" s="12">
        <f t="shared" si="3"/>
        <v>1.7638805207971925E-2</v>
      </c>
      <c r="F45" s="11">
        <f t="shared" si="4"/>
        <v>3.1112744916477749E-4</v>
      </c>
      <c r="G45" s="12">
        <f t="shared" si="5"/>
        <v>1.7638805207971925E-2</v>
      </c>
      <c r="H45" s="12"/>
    </row>
    <row r="46" spans="1:8">
      <c r="A46" s="2">
        <v>38355</v>
      </c>
      <c r="B46" s="11">
        <v>-2.5290448214403665E-2</v>
      </c>
      <c r="C46" s="11">
        <v>2.6036313806097909E-2</v>
      </c>
      <c r="D46" s="12">
        <f>Alpha+Beta*B46</f>
        <v>-2.0070828189098385E-2</v>
      </c>
      <c r="E46" s="12">
        <f t="shared" si="3"/>
        <v>4.6107141995196291E-2</v>
      </c>
      <c r="F46" s="11">
        <f t="shared" si="4"/>
        <v>2.1258685429651936E-3</v>
      </c>
      <c r="G46" s="12">
        <f t="shared" si="5"/>
        <v>4.6107141995196291E-2</v>
      </c>
      <c r="H46" s="12"/>
    </row>
    <row r="47" spans="1:8">
      <c r="A47" s="2">
        <v>38322</v>
      </c>
      <c r="B47" s="11">
        <v>3.2458128162750795E-2</v>
      </c>
      <c r="C47" s="11">
        <v>-1.4184397163120505E-2</v>
      </c>
      <c r="D47" s="12">
        <f>Alpha+Beta*B47</f>
        <v>1.8883524498714874E-2</v>
      </c>
      <c r="E47" s="12">
        <f t="shared" si="3"/>
        <v>-3.3067921661835378E-2</v>
      </c>
      <c r="F47" s="11">
        <f t="shared" si="4"/>
        <v>1.0934874430332815E-3</v>
      </c>
      <c r="G47" s="12">
        <f t="shared" si="5"/>
        <v>3.3067921661835378E-2</v>
      </c>
      <c r="H47" s="12"/>
    </row>
    <row r="48" spans="1:8">
      <c r="A48" s="2">
        <v>38292</v>
      </c>
      <c r="B48" s="11">
        <v>3.8594938948858508E-2</v>
      </c>
      <c r="C48" s="11">
        <v>8.0262677854797487E-2</v>
      </c>
      <c r="D48" s="12">
        <f>Alpha+Beta*B48</f>
        <v>2.302311558021879E-2</v>
      </c>
      <c r="E48" s="12">
        <f t="shared" si="3"/>
        <v>5.7239562274578701E-2</v>
      </c>
      <c r="F48" s="11">
        <f t="shared" si="4"/>
        <v>3.276367489385373E-3</v>
      </c>
      <c r="G48" s="12">
        <f t="shared" si="5"/>
        <v>5.7239562274578701E-2</v>
      </c>
      <c r="H48" s="12"/>
    </row>
    <row r="49" spans="1:8">
      <c r="A49" s="2">
        <v>38261</v>
      </c>
      <c r="B49" s="11">
        <v>1.4014247519245024E-2</v>
      </c>
      <c r="C49" s="11">
        <v>-5.2540615278257846E-2</v>
      </c>
      <c r="D49" s="12">
        <f>Alpha+Beta*B49</f>
        <v>6.44218868418759E-3</v>
      </c>
      <c r="E49" s="12">
        <f t="shared" si="3"/>
        <v>-5.8982803962445436E-2</v>
      </c>
      <c r="F49" s="11">
        <f t="shared" si="4"/>
        <v>3.4789711632722689E-3</v>
      </c>
      <c r="G49" s="12">
        <f t="shared" si="5"/>
        <v>5.8982803962445436E-2</v>
      </c>
      <c r="H49" s="12"/>
    </row>
    <row r="50" spans="1:8">
      <c r="A50" s="2">
        <v>38231</v>
      </c>
      <c r="B50" s="11">
        <v>9.3639063971599629E-3</v>
      </c>
      <c r="C50" s="11">
        <v>8.9231927710843414E-2</v>
      </c>
      <c r="D50" s="12">
        <f>Alpha+Beta*B50</f>
        <v>3.3052970142484045E-3</v>
      </c>
      <c r="E50" s="12">
        <f t="shared" si="3"/>
        <v>8.5926630696595008E-2</v>
      </c>
      <c r="F50" s="11">
        <f t="shared" si="4"/>
        <v>7.3833858628690237E-3</v>
      </c>
      <c r="G50" s="12">
        <f t="shared" si="5"/>
        <v>8.5926630696595008E-2</v>
      </c>
      <c r="H50" s="12"/>
    </row>
    <row r="51" spans="1:8">
      <c r="A51" s="2">
        <v>38201</v>
      </c>
      <c r="B51" s="11">
        <v>2.287332534582273E-3</v>
      </c>
      <c r="C51" s="11">
        <v>0.1169049621530697</v>
      </c>
      <c r="D51" s="12">
        <f>Alpha+Beta*B51</f>
        <v>-1.4682120721723941E-3</v>
      </c>
      <c r="E51" s="12">
        <f t="shared" si="3"/>
        <v>0.11837317422524209</v>
      </c>
      <c r="F51" s="11">
        <f t="shared" si="4"/>
        <v>1.4012208376159517E-2</v>
      </c>
      <c r="G51" s="12">
        <f t="shared" si="5"/>
        <v>0.11837317422524209</v>
      </c>
      <c r="H51" s="12"/>
    </row>
    <row r="52" spans="1:8">
      <c r="A52" s="2">
        <v>38169</v>
      </c>
      <c r="B52" s="11">
        <v>-3.4290522772693711E-2</v>
      </c>
      <c r="C52" s="11">
        <v>-1.8166804293971831E-2</v>
      </c>
      <c r="D52" s="12">
        <f>Alpha+Beta*B52</f>
        <v>-2.6141836351629318E-2</v>
      </c>
      <c r="E52" s="12">
        <f t="shared" si="3"/>
        <v>7.9750320576574864E-3</v>
      </c>
      <c r="F52" s="11">
        <f t="shared" si="4"/>
        <v>6.3601136320664599E-5</v>
      </c>
      <c r="G52" s="12">
        <f t="shared" si="5"/>
        <v>7.9750320576574864E-3</v>
      </c>
      <c r="H52" s="12"/>
    </row>
    <row r="53" spans="1:8">
      <c r="A53" s="2">
        <v>38139</v>
      </c>
      <c r="B53" s="11">
        <v>1.7989078059749308E-2</v>
      </c>
      <c r="C53" s="11">
        <v>3.0638297872340379E-2</v>
      </c>
      <c r="D53" s="12">
        <f>Alpha+Beta*B53</f>
        <v>9.1234141006871963E-3</v>
      </c>
      <c r="E53" s="12">
        <f t="shared" si="3"/>
        <v>2.1514883771653184E-2</v>
      </c>
      <c r="F53" s="11">
        <f t="shared" si="4"/>
        <v>4.6289022370774556E-4</v>
      </c>
      <c r="G53" s="12">
        <f t="shared" si="5"/>
        <v>2.1514883771653184E-2</v>
      </c>
      <c r="H53" s="12"/>
    </row>
    <row r="54" spans="1:8">
      <c r="A54" s="2">
        <v>38110</v>
      </c>
      <c r="B54" s="11">
        <v>1.208344622053654E-2</v>
      </c>
      <c r="C54" s="11">
        <v>2.4858264282599227E-2</v>
      </c>
      <c r="D54" s="12">
        <f>Alpha+Beta*B54</f>
        <v>5.1397649799431212E-3</v>
      </c>
      <c r="E54" s="12">
        <f t="shared" si="3"/>
        <v>1.9718499302656105E-2</v>
      </c>
      <c r="F54" s="11">
        <f t="shared" si="4"/>
        <v>3.8881921474884934E-4</v>
      </c>
      <c r="G54" s="12">
        <f t="shared" si="5"/>
        <v>1.9718499302656105E-2</v>
      </c>
      <c r="H54" s="12"/>
    </row>
    <row r="55" spans="1:8">
      <c r="A55" s="2">
        <v>38078</v>
      </c>
      <c r="B55" s="11">
        <v>-1.6790829419024943E-2</v>
      </c>
      <c r="C55" s="11">
        <v>-1.4611087236785555E-2</v>
      </c>
      <c r="D55" s="12">
        <f>Alpha+Beta*B55</f>
        <v>-1.4337402899013965E-2</v>
      </c>
      <c r="E55" s="12">
        <f t="shared" si="3"/>
        <v>-2.7368433777158994E-4</v>
      </c>
      <c r="F55" s="11">
        <f t="shared" si="4"/>
        <v>7.4903116741473732E-8</v>
      </c>
      <c r="G55" s="12">
        <f t="shared" si="5"/>
        <v>2.7368433777158994E-4</v>
      </c>
      <c r="H55" s="12"/>
    </row>
    <row r="56" spans="1:8">
      <c r="A56" s="2">
        <v>38047</v>
      </c>
      <c r="B56" s="11">
        <v>-1.635893583943265E-2</v>
      </c>
      <c r="C56" s="11">
        <v>-8.3136327817178862E-2</v>
      </c>
      <c r="D56" s="12">
        <f>Alpha+Beta*B56</f>
        <v>-1.4046068707272815E-2</v>
      </c>
      <c r="E56" s="12">
        <f t="shared" si="3"/>
        <v>-6.9090259109906044E-2</v>
      </c>
      <c r="F56" s="11">
        <f t="shared" si="4"/>
        <v>4.7734639038739552E-3</v>
      </c>
      <c r="G56" s="12">
        <f t="shared" si="5"/>
        <v>6.9090259109906044E-2</v>
      </c>
      <c r="H56" s="12"/>
    </row>
    <row r="57" spans="1:8">
      <c r="A57" s="2">
        <v>38019</v>
      </c>
      <c r="B57" s="11">
        <v>1.2209029908144903E-2</v>
      </c>
      <c r="C57" s="11">
        <v>4.7505938242279272E-3</v>
      </c>
      <c r="D57" s="12">
        <f>Alpha+Beta*B57</f>
        <v>5.2244775662237362E-3</v>
      </c>
      <c r="E57" s="12">
        <f t="shared" si="3"/>
        <v>-4.7388374199580901E-4</v>
      </c>
      <c r="F57" s="11">
        <f t="shared" si="4"/>
        <v>2.2456580092795047E-7</v>
      </c>
      <c r="G57" s="12">
        <f t="shared" si="5"/>
        <v>4.7388374199580901E-4</v>
      </c>
      <c r="H57" s="12"/>
    </row>
    <row r="58" spans="1:8">
      <c r="A58" s="2">
        <v>37988</v>
      </c>
      <c r="B58" s="11">
        <v>1.7276422764227674E-2</v>
      </c>
      <c r="C58" s="11">
        <v>0.10692375109553029</v>
      </c>
      <c r="D58" s="12">
        <f>Alpha+Beta*B58</f>
        <v>8.6426918479812435E-3</v>
      </c>
      <c r="E58" s="12">
        <f t="shared" si="3"/>
        <v>9.8281059247549041E-2</v>
      </c>
      <c r="F58" s="11">
        <f t="shared" si="4"/>
        <v>9.6591666068202454E-3</v>
      </c>
      <c r="G58" s="12">
        <f t="shared" si="5"/>
        <v>9.8281059247549041E-2</v>
      </c>
      <c r="H58" s="12"/>
    </row>
    <row r="59" spans="1:8">
      <c r="A59" s="2">
        <v>37956</v>
      </c>
      <c r="B59" s="11">
        <v>5.076545076545079E-2</v>
      </c>
      <c r="C59" s="11">
        <v>5.3554939981532788E-2</v>
      </c>
      <c r="D59" s="12">
        <f>Alpha+Beta*B59</f>
        <v>3.1232744967416771E-2</v>
      </c>
      <c r="E59" s="12">
        <f t="shared" si="3"/>
        <v>2.2322195014116017E-2</v>
      </c>
      <c r="F59" s="11">
        <f t="shared" si="4"/>
        <v>4.9828039024822591E-4</v>
      </c>
      <c r="G59" s="12">
        <f t="shared" si="5"/>
        <v>2.2322195014116017E-2</v>
      </c>
      <c r="H59" s="12"/>
    </row>
    <row r="60" spans="1:8">
      <c r="A60" s="2">
        <v>37928</v>
      </c>
      <c r="B60" s="11">
        <v>7.1285131006652725E-3</v>
      </c>
      <c r="C60" s="11">
        <v>-2.7624309392264607E-3</v>
      </c>
      <c r="D60" s="12">
        <f>Alpha+Beta*B60</f>
        <v>1.7974105115765187E-3</v>
      </c>
      <c r="E60" s="12">
        <f t="shared" si="3"/>
        <v>-4.5598414508029794E-3</v>
      </c>
      <c r="F60" s="11">
        <f t="shared" si="4"/>
        <v>2.0792154056461019E-5</v>
      </c>
      <c r="G60" s="12">
        <f t="shared" si="5"/>
        <v>4.5598414508029794E-3</v>
      </c>
      <c r="H60" s="12"/>
    </row>
    <row r="61" spans="1:8">
      <c r="A61" s="2">
        <v>37895</v>
      </c>
      <c r="B61" s="11">
        <v>5.4961494824141297E-2</v>
      </c>
      <c r="C61" s="11">
        <v>0.17851329354313614</v>
      </c>
      <c r="D61" s="12">
        <f>Alpha+Beta*B61</f>
        <v>3.4063190156027455E-2</v>
      </c>
      <c r="E61" s="12">
        <f t="shared" si="3"/>
        <v>0.14445010338710867</v>
      </c>
      <c r="F61" s="11">
        <f t="shared" si="4"/>
        <v>2.0865832368546385E-2</v>
      </c>
      <c r="G61" s="12">
        <f t="shared" si="5"/>
        <v>0.14445010338710867</v>
      </c>
      <c r="H61" s="12"/>
    </row>
    <row r="62" spans="1:8">
      <c r="A62" s="2">
        <v>37866</v>
      </c>
      <c r="B62" s="11">
        <v>-1.1944325949147294E-2</v>
      </c>
      <c r="C62" s="11">
        <v>-0.24898125509372451</v>
      </c>
      <c r="D62" s="12">
        <f>Alpha+Beta*B62</f>
        <v>-1.1068189745856277E-2</v>
      </c>
      <c r="E62" s="12">
        <f t="shared" si="3"/>
        <v>-0.23791306534786824</v>
      </c>
      <c r="F62" s="11">
        <f t="shared" si="4"/>
        <v>5.6602626663219024E-2</v>
      </c>
      <c r="G62" s="12">
        <f t="shared" si="5"/>
        <v>0.23791306534786824</v>
      </c>
      <c r="H62" s="12"/>
    </row>
    <row r="63" spans="1:8">
      <c r="A63" s="2">
        <v>37834</v>
      </c>
      <c r="B63" s="11">
        <v>1.7873191222950436E-2</v>
      </c>
      <c r="C63" s="11">
        <v>9.0460526315789009E-3</v>
      </c>
      <c r="D63" s="12">
        <f>Alpha+Beta*B63</f>
        <v>9.0452425335985891E-3</v>
      </c>
      <c r="E63" s="12">
        <f t="shared" si="3"/>
        <v>8.1009798031175806E-7</v>
      </c>
      <c r="F63" s="11">
        <f t="shared" si="4"/>
        <v>6.5625873770518951E-13</v>
      </c>
      <c r="G63" s="12">
        <f t="shared" si="5"/>
        <v>8.1009798031175806E-7</v>
      </c>
      <c r="H63" s="12"/>
    </row>
    <row r="64" spans="1:8">
      <c r="A64" s="2">
        <v>37803</v>
      </c>
      <c r="B64" s="11">
        <v>1.6223704463827548E-2</v>
      </c>
      <c r="C64" s="11">
        <v>1.038637307852098E-2</v>
      </c>
      <c r="D64" s="12">
        <f>Alpha+Beta*B64</f>
        <v>7.9325797979996129E-3</v>
      </c>
      <c r="E64" s="12">
        <f t="shared" si="3"/>
        <v>2.4537932805213675E-3</v>
      </c>
      <c r="F64" s="11">
        <f t="shared" si="4"/>
        <v>6.0211014635318145E-6</v>
      </c>
      <c r="G64" s="12">
        <f t="shared" si="5"/>
        <v>2.4537932805213675E-3</v>
      </c>
      <c r="H64" s="12"/>
    </row>
    <row r="65" spans="1:8">
      <c r="A65" s="2">
        <v>37774</v>
      </c>
      <c r="B65" s="11">
        <v>1.1322242862628264E-2</v>
      </c>
      <c r="C65" s="11">
        <v>-0.1071958456973294</v>
      </c>
      <c r="D65" s="12">
        <f>Alpha+Beta*B65</f>
        <v>4.6262945893061451E-3</v>
      </c>
      <c r="E65" s="12">
        <f t="shared" si="3"/>
        <v>-0.11182214028663555</v>
      </c>
      <c r="F65" s="11">
        <f t="shared" si="4"/>
        <v>1.2504191058284E-2</v>
      </c>
      <c r="G65" s="12">
        <f t="shared" si="5"/>
        <v>0.11182214028663555</v>
      </c>
      <c r="H65" s="12"/>
    </row>
    <row r="66" spans="1:8">
      <c r="A66" s="2">
        <v>37742</v>
      </c>
      <c r="B66" s="11">
        <v>5.0898660733760932E-2</v>
      </c>
      <c r="C66" s="11">
        <v>5.3948397185301117E-2</v>
      </c>
      <c r="D66" s="12">
        <f>Alpha+Beta*B66</f>
        <v>3.1322601868012834E-2</v>
      </c>
      <c r="E66" s="12">
        <f t="shared" si="3"/>
        <v>2.2625795317288283E-2</v>
      </c>
      <c r="F66" s="11">
        <f t="shared" si="4"/>
        <v>5.1192661373982437E-4</v>
      </c>
      <c r="G66" s="12">
        <f t="shared" si="5"/>
        <v>2.2625795317288283E-2</v>
      </c>
      <c r="H66" s="12"/>
    </row>
    <row r="67" spans="1:8">
      <c r="A67" s="2">
        <v>37712</v>
      </c>
      <c r="B67" s="11">
        <v>8.1044117993822079E-2</v>
      </c>
      <c r="C67" s="11">
        <v>1.0667720268668494E-2</v>
      </c>
      <c r="D67" s="12">
        <f>Alpha+Beta*B67</f>
        <v>5.1657246420538608E-2</v>
      </c>
      <c r="E67" s="12">
        <f t="shared" si="3"/>
        <v>-4.0989526151870112E-2</v>
      </c>
      <c r="F67" s="11">
        <f t="shared" si="4"/>
        <v>1.6801412541548439E-3</v>
      </c>
      <c r="G67" s="12">
        <f t="shared" si="5"/>
        <v>4.0989526151870112E-2</v>
      </c>
      <c r="H67" s="12"/>
    </row>
    <row r="68" spans="1:8">
      <c r="A68" s="2">
        <v>37683</v>
      </c>
      <c r="B68" s="11">
        <v>8.3576056589193051E-3</v>
      </c>
      <c r="C68" s="11">
        <v>0</v>
      </c>
      <c r="D68" s="12">
        <f>Alpha+Beta*B68</f>
        <v>2.6264959714067493E-3</v>
      </c>
      <c r="E68" s="12">
        <f t="shared" si="3"/>
        <v>-2.6264959714067493E-3</v>
      </c>
      <c r="F68" s="11">
        <f t="shared" si="4"/>
        <v>6.8984810878158831E-6</v>
      </c>
      <c r="G68" s="12">
        <f t="shared" si="5"/>
        <v>2.6264959714067493E-3</v>
      </c>
      <c r="H68" s="12"/>
    </row>
    <row r="69" spans="1:8">
      <c r="A69" s="2">
        <v>37655</v>
      </c>
      <c r="B69" s="11">
        <v>-1.7003622764987809E-2</v>
      </c>
      <c r="C69" s="11">
        <v>-2.3157082207641892E-2</v>
      </c>
      <c r="D69" s="12">
        <f>Alpha+Beta*B69</f>
        <v>-1.4480942836589577E-2</v>
      </c>
      <c r="E69" s="12">
        <f t="shared" si="3"/>
        <v>-8.676139371052315E-3</v>
      </c>
      <c r="F69" s="11">
        <f t="shared" si="4"/>
        <v>7.5275394385924065E-5</v>
      </c>
      <c r="G69" s="12">
        <f t="shared" si="5"/>
        <v>8.676139371052315E-3</v>
      </c>
      <c r="H69" s="12"/>
    </row>
    <row r="70" spans="1:8">
      <c r="A70" s="2">
        <v>37623</v>
      </c>
      <c r="B70" s="11">
        <v>-2.7414698461048853E-2</v>
      </c>
      <c r="C70" s="11">
        <v>-0.13518024032042725</v>
      </c>
      <c r="D70" s="12">
        <f>Alpha+Beta*B70</f>
        <v>-2.1503743050316101E-2</v>
      </c>
      <c r="E70" s="12">
        <f t="shared" si="3"/>
        <v>-0.11367649727011114</v>
      </c>
      <c r="F70" s="12">
        <f t="shared" si="4"/>
        <v>1.2922346031601585E-2</v>
      </c>
      <c r="G70" s="12">
        <f t="shared" si="5"/>
        <v>0.11367649727011114</v>
      </c>
      <c r="H70" s="12"/>
    </row>
    <row r="71" spans="1:8">
      <c r="A71" s="2">
        <v>37592</v>
      </c>
      <c r="B71" s="11">
        <v>-6.0332582157618629E-2</v>
      </c>
      <c r="C71" s="11">
        <v>-5.0997782705099762E-2</v>
      </c>
      <c r="D71" s="5">
        <f>Alpha+Beta*B71</f>
        <v>-4.3708530279666355E-2</v>
      </c>
      <c r="E71" s="11">
        <f t="shared" si="3"/>
        <v>-7.2892524254334068E-3</v>
      </c>
      <c r="F71" s="5">
        <f t="shared" si="4"/>
        <v>5.3133200921686801E-5</v>
      </c>
      <c r="G71" s="5">
        <f t="shared" si="5"/>
        <v>7.2892524254334068E-3</v>
      </c>
    </row>
    <row r="72" spans="1:8">
      <c r="A72" s="2">
        <v>37561</v>
      </c>
      <c r="B72" s="11">
        <v>5.7069635115606886E-2</v>
      </c>
      <c r="C72" s="11">
        <v>0.12069577564785226</v>
      </c>
      <c r="D72" s="5">
        <f>Alpha+Beta*B72</f>
        <v>3.5485238032892996E-2</v>
      </c>
      <c r="E72" s="11">
        <f t="shared" si="3"/>
        <v>8.5210537614959267E-2</v>
      </c>
      <c r="F72" s="5">
        <f t="shared" si="4"/>
        <v>7.260835720630388E-3</v>
      </c>
      <c r="G72" s="5">
        <f t="shared" si="5"/>
        <v>8.5210537614959267E-2</v>
      </c>
    </row>
    <row r="73" spans="1:8">
      <c r="A73" s="2">
        <v>37530</v>
      </c>
      <c r="B73" s="11">
        <v>8.6448827396722619E-2</v>
      </c>
      <c r="C73" s="11">
        <v>0.24206349206349215</v>
      </c>
      <c r="D73" s="5">
        <f>Alpha+Beta*B73</f>
        <v>5.5302997873885561E-2</v>
      </c>
      <c r="E73" s="11">
        <f t="shared" si="3"/>
        <v>0.18676049418960658</v>
      </c>
      <c r="F73" s="5">
        <f t="shared" si="4"/>
        <v>3.4879482189946076E-2</v>
      </c>
      <c r="G73" s="5">
        <f t="shared" si="5"/>
        <v>0.18676049418960658</v>
      </c>
    </row>
    <row r="74" spans="1:8">
      <c r="A74" s="2">
        <v>37502</v>
      </c>
      <c r="B74" s="11">
        <v>-0.11002434311788409</v>
      </c>
      <c r="C74" s="11">
        <v>-0.1081399921352733</v>
      </c>
      <c r="D74" s="5">
        <f>Alpha+Beta*B74</f>
        <v>-7.7228151083521615E-2</v>
      </c>
      <c r="E74" s="11">
        <f t="shared" si="3"/>
        <v>-3.0911841051751682E-2</v>
      </c>
      <c r="F74" s="5">
        <f t="shared" si="4"/>
        <v>9.5554191720876051E-4</v>
      </c>
      <c r="G74" s="5">
        <f t="shared" si="5"/>
        <v>3.0911841051751682E-2</v>
      </c>
    </row>
    <row r="75" spans="1:8">
      <c r="A75" s="2">
        <v>37469</v>
      </c>
      <c r="B75" s="11">
        <v>4.8814198898664415E-3</v>
      </c>
      <c r="C75" s="11">
        <v>-7.8033554428403942E-3</v>
      </c>
      <c r="D75" s="5">
        <f>Alpha+Beta*B75</f>
        <v>2.8163182148092849E-4</v>
      </c>
      <c r="E75" s="11">
        <f t="shared" ref="E75:E106" si="6">C75-D75</f>
        <v>-8.0849872643213236E-3</v>
      </c>
      <c r="F75" s="5">
        <f t="shared" ref="F75:F106" si="7">E75^2</f>
        <v>6.5367019064237994E-5</v>
      </c>
      <c r="G75" s="5">
        <f t="shared" ref="G75:G106" si="8">ABS(E75)</f>
        <v>8.0849872643213236E-3</v>
      </c>
    </row>
    <row r="76" spans="1:8">
      <c r="A76" s="2">
        <v>37438</v>
      </c>
      <c r="B76" s="11">
        <v>-7.9004263401426564E-2</v>
      </c>
      <c r="C76" s="11">
        <v>5.5166735282009056E-2</v>
      </c>
      <c r="D76" s="5">
        <f>Alpha+Beta*B76</f>
        <v>-5.6303529188305453E-2</v>
      </c>
      <c r="E76" s="11">
        <f t="shared" si="6"/>
        <v>0.11147026447031451</v>
      </c>
      <c r="F76" s="5">
        <f t="shared" si="7"/>
        <v>1.2425619861081861E-2</v>
      </c>
      <c r="G76" s="5">
        <f t="shared" si="8"/>
        <v>0.11147026447031451</v>
      </c>
    </row>
    <row r="77" spans="1:8">
      <c r="A77" s="2">
        <v>37410</v>
      </c>
      <c r="B77" s="11">
        <v>-7.2455347939351947E-2</v>
      </c>
      <c r="C77" s="11">
        <v>-0.12310469314079424</v>
      </c>
      <c r="D77" s="5">
        <f>Alpha+Beta*B77</f>
        <v>-5.1885952537303368E-2</v>
      </c>
      <c r="E77" s="11">
        <f t="shared" si="6"/>
        <v>-7.1218740603490871E-2</v>
      </c>
      <c r="F77" s="5">
        <f t="shared" si="7"/>
        <v>5.0721090131473192E-3</v>
      </c>
      <c r="G77" s="5">
        <f t="shared" si="8"/>
        <v>7.1218740603490871E-2</v>
      </c>
    </row>
    <row r="78" spans="1:8">
      <c r="A78" s="2">
        <v>37377</v>
      </c>
      <c r="B78" s="11">
        <v>-9.0814545184414557E-3</v>
      </c>
      <c r="C78" s="11">
        <v>6.0084194412552631E-2</v>
      </c>
      <c r="D78" s="5">
        <f>Alpha+Beta*B78</f>
        <v>-9.1370373191152765E-3</v>
      </c>
      <c r="E78" s="11">
        <f t="shared" si="6"/>
        <v>6.9221231731667915E-2</v>
      </c>
      <c r="F78" s="5">
        <f t="shared" si="7"/>
        <v>4.7915789224492692E-3</v>
      </c>
      <c r="G78" s="5">
        <f t="shared" si="8"/>
        <v>6.9221231731667915E-2</v>
      </c>
    </row>
    <row r="79" spans="1:8">
      <c r="A79" s="2">
        <v>37347</v>
      </c>
      <c r="B79" s="11">
        <v>-6.1417652236815751E-2</v>
      </c>
      <c r="C79" s="11">
        <v>3.3623417721518903E-2</v>
      </c>
      <c r="D79" s="5">
        <f>Alpha+Beta*B79</f>
        <v>-4.4440465250322352E-2</v>
      </c>
      <c r="E79" s="11">
        <f t="shared" si="6"/>
        <v>7.8063882971841247E-2</v>
      </c>
      <c r="F79" s="5">
        <f t="shared" si="7"/>
        <v>6.093969824641326E-3</v>
      </c>
      <c r="G79" s="5">
        <f t="shared" si="8"/>
        <v>7.8063882971841247E-2</v>
      </c>
    </row>
    <row r="80" spans="1:8">
      <c r="A80" s="2">
        <v>37316</v>
      </c>
      <c r="B80" s="11">
        <v>3.673886133022515E-2</v>
      </c>
      <c r="C80" s="11">
        <v>-1.0567514677103701E-2</v>
      </c>
      <c r="D80" s="5">
        <f>Alpha+Beta*B80</f>
        <v>2.1771096799703824E-2</v>
      </c>
      <c r="E80" s="11">
        <f t="shared" si="6"/>
        <v>-3.2338611476807527E-2</v>
      </c>
      <c r="F80" s="5">
        <f t="shared" si="7"/>
        <v>1.0457857922479075E-3</v>
      </c>
      <c r="G80" s="5">
        <f t="shared" si="8"/>
        <v>3.2338611476807527E-2</v>
      </c>
    </row>
    <row r="81" spans="1:7">
      <c r="A81" s="2">
        <v>37288</v>
      </c>
      <c r="B81" s="11">
        <v>-2.0766236064413402E-2</v>
      </c>
      <c r="C81" s="11">
        <v>0.10942249240121578</v>
      </c>
      <c r="D81" s="5">
        <f>Alpha+Beta*B81</f>
        <v>-1.7019016927566907E-2</v>
      </c>
      <c r="E81" s="11">
        <f t="shared" si="6"/>
        <v>0.12644150932878268</v>
      </c>
      <c r="F81" s="5">
        <f t="shared" si="7"/>
        <v>1.5987455281340636E-2</v>
      </c>
      <c r="G81" s="5">
        <f t="shared" si="8"/>
        <v>0.12644150932878268</v>
      </c>
    </row>
    <row r="82" spans="1:7">
      <c r="A82" s="2">
        <v>37258</v>
      </c>
      <c r="B82" s="11">
        <v>-1.5573827607832104E-2</v>
      </c>
      <c r="C82" s="11">
        <v>-3.5190615835777116E-2</v>
      </c>
      <c r="D82" s="5">
        <f>Alpha+Beta*B82</f>
        <v>-1.3516473263185435E-2</v>
      </c>
      <c r="E82" s="11">
        <f t="shared" si="6"/>
        <v>-2.1674142572591683E-2</v>
      </c>
      <c r="F82" s="5">
        <f t="shared" si="7"/>
        <v>4.697684562570312E-4</v>
      </c>
      <c r="G82" s="5">
        <f t="shared" si="8"/>
        <v>2.1674142572591683E-2</v>
      </c>
    </row>
    <row r="83" spans="1:7">
      <c r="A83" s="2">
        <v>37228</v>
      </c>
      <c r="B83" s="11">
        <v>7.573829479134566E-3</v>
      </c>
      <c r="C83" s="11">
        <v>-2.7698574338085528E-2</v>
      </c>
      <c r="D83" s="5">
        <f>Alpha+Beta*B83</f>
        <v>2.0977990640364051E-3</v>
      </c>
      <c r="E83" s="11">
        <f t="shared" si="6"/>
        <v>-2.9796373402121934E-2</v>
      </c>
      <c r="F83" s="5">
        <f t="shared" si="7"/>
        <v>8.8782386791867946E-4</v>
      </c>
      <c r="G83" s="5">
        <f t="shared" si="8"/>
        <v>2.9796373402121934E-2</v>
      </c>
    </row>
    <row r="84" spans="1:7">
      <c r="A84" s="2">
        <v>37196</v>
      </c>
      <c r="B84" s="11">
        <v>7.5175979920360902E-2</v>
      </c>
      <c r="C84" s="11">
        <v>0.202252693437806</v>
      </c>
      <c r="D84" s="5">
        <f>Alpha+Beta*B84</f>
        <v>4.769888875226503E-2</v>
      </c>
      <c r="E84" s="11">
        <f t="shared" si="6"/>
        <v>0.15455380468554097</v>
      </c>
      <c r="F84" s="5">
        <f t="shared" si="7"/>
        <v>2.3886878542776348E-2</v>
      </c>
      <c r="G84" s="5">
        <f t="shared" si="8"/>
        <v>0.15455380468554097</v>
      </c>
    </row>
    <row r="85" spans="1:7">
      <c r="A85" s="2">
        <v>37165</v>
      </c>
      <c r="B85" s="11">
        <v>1.8099025880454124E-2</v>
      </c>
      <c r="C85" s="11">
        <v>-0.21401077752117006</v>
      </c>
      <c r="D85" s="5">
        <f>Alpha+Beta*B85</f>
        <v>9.1975794992767666E-3</v>
      </c>
      <c r="E85" s="11">
        <f t="shared" si="6"/>
        <v>-0.22320835702044683</v>
      </c>
      <c r="F85" s="5">
        <f t="shared" si="7"/>
        <v>4.9821970643767255E-2</v>
      </c>
      <c r="G85" s="5">
        <f t="shared" si="8"/>
        <v>0.22320835702044683</v>
      </c>
    </row>
    <row r="86" spans="1:7">
      <c r="A86" s="2">
        <v>37138</v>
      </c>
      <c r="B86" s="11">
        <v>-8.1723389615201286E-2</v>
      </c>
      <c r="C86" s="11">
        <v>-0.27186098654708518</v>
      </c>
      <c r="D86" s="5">
        <f>Alpha+Beta*B86</f>
        <v>-5.8137718153281601E-2</v>
      </c>
      <c r="E86" s="11">
        <f t="shared" si="6"/>
        <v>-0.21372326839380357</v>
      </c>
      <c r="F86" s="5">
        <f t="shared" si="7"/>
        <v>4.5677635452929792E-2</v>
      </c>
      <c r="G86" s="5">
        <f t="shared" si="8"/>
        <v>0.21372326839380357</v>
      </c>
    </row>
    <row r="87" spans="1:7">
      <c r="A87" s="2">
        <v>37104</v>
      </c>
      <c r="B87" s="11">
        <v>-6.410838569057907E-2</v>
      </c>
      <c r="C87" s="11">
        <v>4.1447752481027486E-2</v>
      </c>
      <c r="D87" s="5">
        <f>Alpha+Beta*B87</f>
        <v>-4.6255501854207529E-2</v>
      </c>
      <c r="E87" s="11">
        <f t="shared" si="6"/>
        <v>8.7703254335235015E-2</v>
      </c>
      <c r="F87" s="5">
        <f t="shared" si="7"/>
        <v>7.6918608209909194E-3</v>
      </c>
      <c r="G87" s="5">
        <f t="shared" si="8"/>
        <v>8.7703254335235015E-2</v>
      </c>
    </row>
    <row r="88" spans="1:7">
      <c r="A88" s="2">
        <v>37074</v>
      </c>
      <c r="B88" s="11">
        <v>-1.0740129698296354E-2</v>
      </c>
      <c r="C88" s="11">
        <v>-7.2047670639220032E-2</v>
      </c>
      <c r="D88" s="5">
        <f>Alpha+Beta*B88</f>
        <v>-1.0255898111952946E-2</v>
      </c>
      <c r="E88" s="11">
        <f t="shared" si="6"/>
        <v>-6.1791772527267086E-2</v>
      </c>
      <c r="F88" s="5">
        <f t="shared" si="7"/>
        <v>3.8182231520615196E-3</v>
      </c>
      <c r="G88" s="5">
        <f t="shared" si="8"/>
        <v>6.1791772527267086E-2</v>
      </c>
    </row>
    <row r="89" spans="1:7">
      <c r="A89" s="2">
        <v>37043</v>
      </c>
      <c r="B89" s="11">
        <v>-2.5035435014572015E-2</v>
      </c>
      <c r="C89" s="11">
        <v>-1.3888888888888784E-2</v>
      </c>
      <c r="D89" s="5">
        <f>Alpha+Beta*B89</f>
        <v>-1.9898808812180556E-2</v>
      </c>
      <c r="E89" s="11">
        <f t="shared" si="6"/>
        <v>6.0099199232917719E-3</v>
      </c>
      <c r="F89" s="5">
        <f t="shared" si="7"/>
        <v>3.6119137484379375E-5</v>
      </c>
      <c r="G89" s="5">
        <f t="shared" si="8"/>
        <v>6.0099199232917719E-3</v>
      </c>
    </row>
    <row r="90" spans="1:7">
      <c r="A90" s="2">
        <v>37012</v>
      </c>
      <c r="B90" s="11">
        <v>5.0901989659532113E-3</v>
      </c>
      <c r="C90" s="11">
        <v>9.7947214076246222E-2</v>
      </c>
      <c r="D90" s="5">
        <f>Alpha+Beta*B90</f>
        <v>4.224639298017357E-4</v>
      </c>
      <c r="E90" s="11">
        <f t="shared" si="6"/>
        <v>9.7524750146444489E-2</v>
      </c>
      <c r="F90" s="5">
        <f t="shared" si="7"/>
        <v>9.5110768911264246E-3</v>
      </c>
      <c r="G90" s="5">
        <f t="shared" si="8"/>
        <v>9.7524750146444489E-2</v>
      </c>
    </row>
    <row r="91" spans="1:7">
      <c r="A91" s="2">
        <v>36983</v>
      </c>
      <c r="B91" s="11">
        <v>7.6814354537071444E-2</v>
      </c>
      <c r="C91" s="11">
        <v>9.0502078669651487E-2</v>
      </c>
      <c r="D91" s="5">
        <f>Alpha+Beta*B91</f>
        <v>4.8804055782483827E-2</v>
      </c>
      <c r="E91" s="11">
        <f t="shared" si="6"/>
        <v>4.169802288716766E-2</v>
      </c>
      <c r="F91" s="5">
        <f t="shared" si="7"/>
        <v>1.7387251126987581E-3</v>
      </c>
      <c r="G91" s="5">
        <f t="shared" si="8"/>
        <v>4.169802288716766E-2</v>
      </c>
    </row>
    <row r="92" spans="1:7">
      <c r="A92" s="2">
        <v>36951</v>
      </c>
      <c r="B92" s="11">
        <v>-6.4204719583205741E-2</v>
      </c>
      <c r="C92" s="11">
        <v>-0.11341083073433522</v>
      </c>
      <c r="D92" s="5">
        <f>Alpha+Beta*B92</f>
        <v>-4.632048396570862E-2</v>
      </c>
      <c r="E92" s="11">
        <f t="shared" si="6"/>
        <v>-6.7090346768626602E-2</v>
      </c>
      <c r="F92" s="5">
        <f t="shared" si="7"/>
        <v>4.5011146295345656E-3</v>
      </c>
      <c r="G92" s="5">
        <f t="shared" si="8"/>
        <v>6.7090346768626602E-2</v>
      </c>
    </row>
    <row r="93" spans="1:7">
      <c r="A93" s="2">
        <v>36923</v>
      </c>
      <c r="B93" s="11">
        <v>-9.2290686012547446E-2</v>
      </c>
      <c r="C93" s="11">
        <v>4.1642055522740806E-2</v>
      </c>
      <c r="D93" s="5">
        <f>Alpha+Beta*B93</f>
        <v>-6.5265897177651938E-2</v>
      </c>
      <c r="E93" s="11">
        <f t="shared" si="6"/>
        <v>0.10690795270039274</v>
      </c>
      <c r="F93" s="5">
        <f t="shared" si="7"/>
        <v>1.1429310350589411E-2</v>
      </c>
      <c r="G93" s="5">
        <f t="shared" si="8"/>
        <v>0.10690795270039274</v>
      </c>
    </row>
    <row r="94" spans="1:7">
      <c r="A94" s="2">
        <v>36893</v>
      </c>
      <c r="B94" s="11">
        <v>3.4636592238010133E-2</v>
      </c>
      <c r="C94" s="11">
        <v>0.10762185148838728</v>
      </c>
      <c r="D94" s="5">
        <f>Alpha+Beta*B94</f>
        <v>2.0353009345426252E-2</v>
      </c>
      <c r="E94" s="11">
        <f t="shared" si="6"/>
        <v>8.7268842142961031E-2</v>
      </c>
      <c r="F94" s="5">
        <f t="shared" si="7"/>
        <v>7.6158508089730513E-3</v>
      </c>
      <c r="G94" s="5">
        <f t="shared" si="8"/>
        <v>8.7268842142961031E-2</v>
      </c>
    </row>
    <row r="95" spans="1:7">
      <c r="A95" s="2">
        <v>36861</v>
      </c>
      <c r="B95" s="11">
        <v>4.0533860603064204E-3</v>
      </c>
      <c r="C95" s="11">
        <v>-6.2557497700091974E-2</v>
      </c>
      <c r="D95" s="5">
        <f>Alpha+Beta*B95</f>
        <v>-2.769191222421123E-4</v>
      </c>
      <c r="E95" s="11">
        <f t="shared" si="6"/>
        <v>-6.2280578577849861E-2</v>
      </c>
      <c r="F95" s="5">
        <f t="shared" si="7"/>
        <v>3.8788704679917308E-3</v>
      </c>
      <c r="G95" s="5">
        <f t="shared" si="8"/>
        <v>6.2280578577849861E-2</v>
      </c>
    </row>
    <row r="96" spans="1:7">
      <c r="A96" s="2">
        <v>36831</v>
      </c>
      <c r="B96" s="11">
        <v>-8.0068560235063688E-2</v>
      </c>
      <c r="C96" s="11">
        <v>-5.4234338747099702E-2</v>
      </c>
      <c r="D96" s="5">
        <f>Alpha+Beta*B96</f>
        <v>-5.7021451548005815E-2</v>
      </c>
      <c r="E96" s="11">
        <f t="shared" si="6"/>
        <v>2.7871128009061136E-3</v>
      </c>
      <c r="F96" s="5">
        <f t="shared" si="7"/>
        <v>7.7679977649747222E-6</v>
      </c>
      <c r="G96" s="5">
        <f t="shared" si="8"/>
        <v>2.7871128009061136E-3</v>
      </c>
    </row>
    <row r="97" spans="1:7">
      <c r="A97" s="2">
        <v>36801</v>
      </c>
      <c r="B97" s="11">
        <v>-4.9494956526581089E-3</v>
      </c>
      <c r="C97" s="11">
        <v>9.8089171974522243E-2</v>
      </c>
      <c r="D97" s="5">
        <f>Alpha+Beta*B97</f>
        <v>-6.3498208534131578E-3</v>
      </c>
      <c r="E97" s="11">
        <f t="shared" si="6"/>
        <v>0.1044389928279354</v>
      </c>
      <c r="F97" s="5">
        <f t="shared" si="7"/>
        <v>1.0907503222913541E-2</v>
      </c>
      <c r="G97" s="5">
        <f t="shared" si="8"/>
        <v>0.1044389928279354</v>
      </c>
    </row>
    <row r="98" spans="1:7">
      <c r="A98" s="2">
        <v>36770</v>
      </c>
      <c r="B98" s="11">
        <v>-5.3482947656950129E-2</v>
      </c>
      <c r="C98" s="11">
        <v>-0.34350825841522059</v>
      </c>
      <c r="D98" s="5">
        <f>Alpha+Beta*B98</f>
        <v>-3.9088103338246367E-2</v>
      </c>
      <c r="E98" s="11">
        <f t="shared" si="6"/>
        <v>-0.30442015507697423</v>
      </c>
      <c r="F98" s="5">
        <f t="shared" si="7"/>
        <v>9.267163081708904E-2</v>
      </c>
      <c r="G98" s="5">
        <f t="shared" si="8"/>
        <v>0.30442015507697423</v>
      </c>
    </row>
    <row r="99" spans="1:7">
      <c r="A99" s="2">
        <v>36739</v>
      </c>
      <c r="B99" s="11">
        <v>6.0699034825940287E-2</v>
      </c>
      <c r="C99" s="11">
        <v>0.14261825131390346</v>
      </c>
      <c r="D99" s="5">
        <f>Alpha+Beta*B99</f>
        <v>3.7933452780872574E-2</v>
      </c>
      <c r="E99" s="11">
        <f t="shared" si="6"/>
        <v>0.10468479853303089</v>
      </c>
      <c r="F99" s="5">
        <f t="shared" si="7"/>
        <v>1.0958907043901267E-2</v>
      </c>
      <c r="G99" s="5">
        <f t="shared" si="8"/>
        <v>0.10468479853303089</v>
      </c>
    </row>
    <row r="100" spans="1:7">
      <c r="A100" s="2">
        <v>36710</v>
      </c>
      <c r="B100" s="11">
        <v>-1.6341262202667389E-2</v>
      </c>
      <c r="C100" s="11">
        <v>-7.777043401630318E-2</v>
      </c>
      <c r="D100" s="5">
        <f>Alpha+Beta*B100</f>
        <v>-1.4034146940139821E-2</v>
      </c>
      <c r="E100" s="11">
        <f t="shared" si="6"/>
        <v>-6.3736287076163356E-2</v>
      </c>
      <c r="F100" s="5">
        <f t="shared" si="7"/>
        <v>4.0623142902551082E-3</v>
      </c>
      <c r="G100" s="5">
        <f t="shared" si="8"/>
        <v>6.3736287076163356E-2</v>
      </c>
    </row>
    <row r="101" spans="1:7">
      <c r="A101" s="2">
        <v>36678</v>
      </c>
      <c r="B101" s="11">
        <v>2.3933549204561453E-2</v>
      </c>
      <c r="C101" s="11">
        <v>-4.1684949539271109E-3</v>
      </c>
      <c r="D101" s="5">
        <f>Alpha+Beta*B101</f>
        <v>1.3133262308982572E-2</v>
      </c>
      <c r="E101" s="11">
        <f t="shared" si="6"/>
        <v>-1.7301757262909681E-2</v>
      </c>
      <c r="F101" s="5">
        <f t="shared" si="7"/>
        <v>2.993508043846479E-4</v>
      </c>
      <c r="G101" s="5">
        <f t="shared" si="8"/>
        <v>1.7301757262909681E-2</v>
      </c>
    </row>
    <row r="102" spans="1:7">
      <c r="A102" s="2">
        <v>36647</v>
      </c>
      <c r="B102" s="11">
        <v>-2.1914997624670484E-2</v>
      </c>
      <c r="C102" s="11">
        <v>6.7697353010072639E-2</v>
      </c>
      <c r="D102" s="5">
        <f>Alpha+Beta*B102</f>
        <v>-1.7793915042460699E-2</v>
      </c>
      <c r="E102" s="11">
        <f t="shared" si="6"/>
        <v>8.5491268052533334E-2</v>
      </c>
      <c r="F102" s="5">
        <f t="shared" si="7"/>
        <v>7.3087569132301066E-3</v>
      </c>
      <c r="G102" s="5">
        <f t="shared" si="8"/>
        <v>8.5491268052533334E-2</v>
      </c>
    </row>
    <row r="103" spans="1:7">
      <c r="A103" s="2">
        <v>36619</v>
      </c>
      <c r="B103" s="11">
        <v>-3.0795820042973925E-2</v>
      </c>
      <c r="C103" s="11">
        <v>3.8180933852140088E-2</v>
      </c>
      <c r="D103" s="5">
        <f>Alpha+Beta*B103</f>
        <v>-2.3784481569695273E-2</v>
      </c>
      <c r="E103" s="11">
        <f t="shared" si="6"/>
        <v>6.1965415421835361E-2</v>
      </c>
      <c r="F103" s="5">
        <f t="shared" si="7"/>
        <v>3.8397127084006315E-3</v>
      </c>
      <c r="G103" s="5">
        <f t="shared" si="8"/>
        <v>6.1965415421835361E-2</v>
      </c>
    </row>
    <row r="104" spans="1:7">
      <c r="A104" s="2">
        <v>36586</v>
      </c>
      <c r="B104" s="11">
        <v>9.6719895786068599E-2</v>
      </c>
      <c r="C104" s="11">
        <v>-5.2534562211981592E-2</v>
      </c>
      <c r="D104" s="5">
        <f>Alpha+Beta*B104</f>
        <v>6.2231356036451718E-2</v>
      </c>
      <c r="E104" s="11">
        <f t="shared" si="6"/>
        <v>-0.11476591824843331</v>
      </c>
      <c r="F104" s="5">
        <f t="shared" si="7"/>
        <v>1.3171215991406077E-2</v>
      </c>
      <c r="G104" s="5">
        <f t="shared" si="8"/>
        <v>0.11476591824843331</v>
      </c>
    </row>
    <row r="105" spans="1:7">
      <c r="A105" s="2">
        <v>36557</v>
      </c>
      <c r="B105" s="11">
        <v>-2.0108142219927402E-2</v>
      </c>
      <c r="C105" s="11">
        <v>-6.6666666666666693E-2</v>
      </c>
      <c r="D105" s="5">
        <f>Alpha+Beta*B105</f>
        <v>-1.6575099149362973E-2</v>
      </c>
      <c r="E105" s="11">
        <f t="shared" si="6"/>
        <v>-5.0091567517303717E-2</v>
      </c>
      <c r="F105" s="5">
        <f t="shared" si="7"/>
        <v>2.5091651363405971E-3</v>
      </c>
      <c r="G105" s="5">
        <f t="shared" si="8"/>
        <v>5.0091567517303717E-2</v>
      </c>
    </row>
    <row r="106" spans="1:7">
      <c r="A106" s="2">
        <v>36528</v>
      </c>
      <c r="B106" s="11">
        <v>-5.0903522205206712E-2</v>
      </c>
      <c r="C106" s="11">
        <v>-6.5889915628766588E-2</v>
      </c>
      <c r="D106" s="5">
        <f>Alpha+Beta*B106</f>
        <v>-3.7348149644446126E-2</v>
      </c>
      <c r="E106" s="11">
        <f t="shared" si="6"/>
        <v>-2.8541765984320462E-2</v>
      </c>
      <c r="F106" s="5">
        <f t="shared" si="7"/>
        <v>8.1463240550371256E-4</v>
      </c>
      <c r="G106" s="5">
        <f t="shared" si="8"/>
        <v>2.8541765984320462E-2</v>
      </c>
    </row>
    <row r="107" spans="1:7">
      <c r="A107" s="2">
        <v>36495</v>
      </c>
      <c r="B107" s="11">
        <v>5.7843920772404196E-2</v>
      </c>
      <c r="C107" s="11">
        <v>7.0537634408602182E-2</v>
      </c>
      <c r="D107" s="5">
        <f>Alpha+Beta*B107</f>
        <v>3.6007533099684109E-2</v>
      </c>
      <c r="E107" s="11">
        <f t="shared" ref="E107:E138" si="9">C107-D107</f>
        <v>3.4530101308918072E-2</v>
      </c>
      <c r="F107" s="5">
        <f t="shared" ref="F107:F138" si="10">E107^2</f>
        <v>1.1923278964041455E-3</v>
      </c>
      <c r="G107" s="5">
        <f t="shared" ref="G107:G138" si="11">ABS(E107)</f>
        <v>3.4530101308918072E-2</v>
      </c>
    </row>
    <row r="108" spans="1:7">
      <c r="A108" s="2">
        <v>36465</v>
      </c>
      <c r="B108" s="11">
        <v>1.9061874050758307E-2</v>
      </c>
      <c r="C108" s="11">
        <v>-9.6209912536443204E-2</v>
      </c>
      <c r="D108" s="5">
        <f>Alpha+Beta*B108</f>
        <v>9.847069574424017E-3</v>
      </c>
      <c r="E108" s="11">
        <f t="shared" si="9"/>
        <v>-0.10605698211086723</v>
      </c>
      <c r="F108" s="5">
        <f t="shared" si="10"/>
        <v>1.124808345446481E-2</v>
      </c>
      <c r="G108" s="5">
        <f t="shared" si="11"/>
        <v>0.10605698211086723</v>
      </c>
    </row>
    <row r="109" spans="1:7">
      <c r="A109" s="2">
        <v>36434</v>
      </c>
      <c r="B109" s="11">
        <v>6.2539467221741488E-2</v>
      </c>
      <c r="C109" s="11">
        <v>-8.8412473423104099E-2</v>
      </c>
      <c r="D109" s="5">
        <f>Alpha+Beta*B109</f>
        <v>3.9174918062646676E-2</v>
      </c>
      <c r="E109" s="11">
        <f t="shared" si="9"/>
        <v>-0.12758739148575077</v>
      </c>
      <c r="F109" s="5">
        <f t="shared" si="10"/>
        <v>1.6278542466138229E-2</v>
      </c>
      <c r="G109" s="5">
        <f t="shared" si="11"/>
        <v>0.12758739148575077</v>
      </c>
    </row>
    <row r="110" spans="1:7">
      <c r="A110" s="2">
        <v>36404</v>
      </c>
      <c r="B110" s="11">
        <v>-2.8551737717830102E-2</v>
      </c>
      <c r="C110" s="11">
        <v>2.9739098704615861E-2</v>
      </c>
      <c r="D110" s="5">
        <f>Alpha+Beta*B110</f>
        <v>-2.2270733875150845E-2</v>
      </c>
      <c r="E110" s="11">
        <f t="shared" si="9"/>
        <v>5.2009832579766706E-2</v>
      </c>
      <c r="F110" s="5">
        <f t="shared" si="10"/>
        <v>2.7050226849753621E-3</v>
      </c>
      <c r="G110" s="5">
        <f t="shared" si="11"/>
        <v>5.2009832579766706E-2</v>
      </c>
    </row>
    <row r="111" spans="1:7">
      <c r="A111" s="2">
        <v>36374</v>
      </c>
      <c r="B111" s="11">
        <v>-6.2541393220542666E-3</v>
      </c>
      <c r="C111" s="11">
        <v>6.8837753510140431E-2</v>
      </c>
      <c r="D111" s="5">
        <f>Alpha+Beta*B111</f>
        <v>-7.2298693813226001E-3</v>
      </c>
      <c r="E111" s="11">
        <f t="shared" si="9"/>
        <v>7.606762289146303E-2</v>
      </c>
      <c r="F111" s="5">
        <f t="shared" si="10"/>
        <v>5.7862832523578305E-3</v>
      </c>
      <c r="G111" s="5">
        <f t="shared" si="11"/>
        <v>7.606762289146303E-2</v>
      </c>
    </row>
    <row r="112" spans="1:7">
      <c r="A112" s="2">
        <v>36342</v>
      </c>
      <c r="B112" s="11">
        <v>-3.2046098593293562E-2</v>
      </c>
      <c r="C112" s="11">
        <v>2.0091505868311078E-2</v>
      </c>
      <c r="D112" s="5">
        <f>Alpha+Beta*B112</f>
        <v>-2.4627858058997379E-2</v>
      </c>
      <c r="E112" s="11">
        <f t="shared" si="9"/>
        <v>4.4719363927308457E-2</v>
      </c>
      <c r="F112" s="5">
        <f t="shared" si="10"/>
        <v>1.999821510063057E-3</v>
      </c>
      <c r="G112" s="5">
        <f t="shared" si="11"/>
        <v>4.4719363927308457E-2</v>
      </c>
    </row>
    <row r="113" spans="1:7">
      <c r="A113" s="2">
        <v>36312</v>
      </c>
      <c r="B113" s="11">
        <v>5.4438333435752564E-2</v>
      </c>
      <c r="C113" s="11">
        <v>1.99322304165839E-3</v>
      </c>
      <c r="D113" s="5">
        <f>Alpha+Beta*B113</f>
        <v>3.3710291184062449E-2</v>
      </c>
      <c r="E113" s="11">
        <f t="shared" si="9"/>
        <v>-3.1717068142404062E-2</v>
      </c>
      <c r="F113" s="5">
        <f t="shared" si="10"/>
        <v>1.0059724115499026E-3</v>
      </c>
      <c r="G113" s="5">
        <f t="shared" si="11"/>
        <v>3.1717068142404062E-2</v>
      </c>
    </row>
    <row r="114" spans="1:7">
      <c r="A114" s="2">
        <v>36283</v>
      </c>
      <c r="B114" s="11">
        <v>-2.4970415973876288E-2</v>
      </c>
      <c r="C114" s="11">
        <v>-8.963890401016146E-2</v>
      </c>
      <c r="D114" s="5">
        <f>Alpha+Beta*B114</f>
        <v>-1.9854950161429699E-2</v>
      </c>
      <c r="E114" s="11">
        <f t="shared" si="9"/>
        <v>-6.9783953848731761E-2</v>
      </c>
      <c r="F114" s="5">
        <f t="shared" si="10"/>
        <v>4.869800214761924E-3</v>
      </c>
      <c r="G114" s="5">
        <f t="shared" si="11"/>
        <v>6.9783953848731761E-2</v>
      </c>
    </row>
    <row r="115" spans="1:7">
      <c r="A115" s="2">
        <v>36251</v>
      </c>
      <c r="B115" s="11">
        <v>3.7943981902563165E-2</v>
      </c>
      <c r="C115" s="11">
        <v>0.17006369426751589</v>
      </c>
      <c r="D115" s="5">
        <f>Alpha+Beta*B115</f>
        <v>2.2584011935474442E-2</v>
      </c>
      <c r="E115" s="11">
        <f t="shared" si="9"/>
        <v>0.14747968233204145</v>
      </c>
      <c r="F115" s="5">
        <f t="shared" si="10"/>
        <v>2.1750256700759859E-2</v>
      </c>
      <c r="G115" s="5">
        <f t="shared" si="11"/>
        <v>0.14747968233204145</v>
      </c>
    </row>
    <row r="116" spans="1:7">
      <c r="A116" s="2">
        <v>36220</v>
      </c>
      <c r="B116" s="11">
        <v>3.8794182487705192E-2</v>
      </c>
      <c r="C116" s="11">
        <v>-3.4836065573770406E-2</v>
      </c>
      <c r="D116" s="5">
        <f>Alpha+Beta*B116</f>
        <v>2.3157515483556879E-2</v>
      </c>
      <c r="E116" s="11">
        <f t="shared" si="9"/>
        <v>-5.7993581057327284E-2</v>
      </c>
      <c r="F116" s="5">
        <f t="shared" si="10"/>
        <v>3.3632554438527899E-3</v>
      </c>
      <c r="G116" s="5">
        <f t="shared" si="11"/>
        <v>5.7993581057327284E-2</v>
      </c>
    </row>
    <row r="117" spans="1:7">
      <c r="A117" s="2">
        <v>36192</v>
      </c>
      <c r="B117" s="11">
        <v>-3.2282516957894539E-2</v>
      </c>
      <c r="C117" s="11">
        <v>1.9001879306744553E-2</v>
      </c>
      <c r="D117" s="5">
        <f>Alpha+Beta*B117</f>
        <v>-2.4787334273551922E-2</v>
      </c>
      <c r="E117" s="11">
        <f t="shared" si="9"/>
        <v>4.3789213580296471E-2</v>
      </c>
      <c r="F117" s="5">
        <f t="shared" si="10"/>
        <v>1.9174952259808208E-3</v>
      </c>
      <c r="G117" s="5">
        <f t="shared" si="11"/>
        <v>4.3789213580296471E-2</v>
      </c>
    </row>
    <row r="118" spans="1:7">
      <c r="A118" s="2">
        <v>36164</v>
      </c>
      <c r="B118" s="11">
        <v>4.1009412396378286E-2</v>
      </c>
      <c r="C118" s="11">
        <v>-9.2132701421800939E-2</v>
      </c>
      <c r="D118" s="5">
        <f>Alpha+Beta*B118</f>
        <v>2.4651800755343799E-2</v>
      </c>
      <c r="E118" s="11">
        <f t="shared" si="9"/>
        <v>-0.11678450217714474</v>
      </c>
      <c r="F118" s="5">
        <f t="shared" si="10"/>
        <v>1.3638619948763525E-2</v>
      </c>
      <c r="G118" s="5">
        <f t="shared" si="11"/>
        <v>0.11678450217714474</v>
      </c>
    </row>
    <row r="119" spans="1:7">
      <c r="A119" s="2">
        <v>36130</v>
      </c>
      <c r="B119" s="11">
        <v>5.6375308302467196E-2</v>
      </c>
      <c r="C119" s="11">
        <v>-8.4586466165414067E-3</v>
      </c>
      <c r="D119" s="5">
        <f>Alpha+Beta*B119</f>
        <v>3.5016879274003335E-2</v>
      </c>
      <c r="E119" s="11">
        <f t="shared" si="9"/>
        <v>-4.3475525890544743E-2</v>
      </c>
      <c r="F119" s="5">
        <f t="shared" si="10"/>
        <v>1.8901213514594263E-3</v>
      </c>
      <c r="G119" s="5">
        <f t="shared" si="11"/>
        <v>4.3475525890544743E-2</v>
      </c>
    </row>
    <row r="120" spans="1:7">
      <c r="A120" s="2">
        <v>36101</v>
      </c>
      <c r="B120" s="11">
        <v>5.9126034204993343E-2</v>
      </c>
      <c r="C120" s="11">
        <v>-5.7406094968107634E-2</v>
      </c>
      <c r="D120" s="5">
        <f>Alpha+Beta*B120</f>
        <v>3.6872383836656017E-2</v>
      </c>
      <c r="E120" s="11">
        <f t="shared" si="9"/>
        <v>-9.4278478804763644E-2</v>
      </c>
      <c r="F120" s="5">
        <f t="shared" si="10"/>
        <v>8.8884315657402676E-3</v>
      </c>
      <c r="G120" s="5">
        <f t="shared" si="11"/>
        <v>9.4278478804763644E-2</v>
      </c>
    </row>
    <row r="121" spans="1:7">
      <c r="A121" s="2">
        <v>36069</v>
      </c>
      <c r="B121" s="11">
        <v>8.02941957306222E-2</v>
      </c>
      <c r="C121" s="11">
        <v>8.0371494909804563E-3</v>
      </c>
      <c r="D121" s="5">
        <f>Alpha+Beta*B121</f>
        <v>5.1151385702200833E-2</v>
      </c>
      <c r="E121" s="11">
        <f t="shared" si="9"/>
        <v>-4.3114236211220375E-2</v>
      </c>
      <c r="F121" s="5">
        <f t="shared" si="10"/>
        <v>1.8588373640769061E-3</v>
      </c>
      <c r="G121" s="5">
        <f t="shared" si="11"/>
        <v>4.3114236211220375E-2</v>
      </c>
    </row>
    <row r="122" spans="1:7">
      <c r="A122" s="2">
        <v>36039</v>
      </c>
      <c r="B122" s="11">
        <v>6.2395537355841572E-2</v>
      </c>
      <c r="C122" s="11">
        <v>-1.5992970123022789E-2</v>
      </c>
      <c r="D122" s="5">
        <f>Alpha+Beta*B122</f>
        <v>3.9077830045758467E-2</v>
      </c>
      <c r="E122" s="11">
        <f t="shared" si="9"/>
        <v>-5.5070800168781256E-2</v>
      </c>
      <c r="F122" s="5">
        <f t="shared" si="10"/>
        <v>3.0327930312298375E-3</v>
      </c>
      <c r="G122" s="5">
        <f t="shared" si="11"/>
        <v>5.5070800168781256E-2</v>
      </c>
    </row>
    <row r="123" spans="1:7">
      <c r="A123" s="2">
        <v>36010</v>
      </c>
      <c r="B123" s="11">
        <v>-0.14579671089616042</v>
      </c>
      <c r="C123" s="11">
        <v>-6.3528637261356144E-2</v>
      </c>
      <c r="D123" s="5">
        <f>Alpha+Beta*B123</f>
        <v>-0.1013584330460119</v>
      </c>
      <c r="E123" s="11">
        <f t="shared" si="9"/>
        <v>3.7829795784655756E-2</v>
      </c>
      <c r="F123" s="5">
        <f t="shared" si="10"/>
        <v>1.4310934491087585E-3</v>
      </c>
      <c r="G123" s="5">
        <f t="shared" si="11"/>
        <v>3.7829795784655756E-2</v>
      </c>
    </row>
    <row r="124" spans="1:7">
      <c r="A124" s="2">
        <v>35977</v>
      </c>
      <c r="B124" s="11">
        <v>-1.1615395470260218E-2</v>
      </c>
      <c r="C124" s="11">
        <v>0.14793122992631774</v>
      </c>
      <c r="D124" s="5">
        <f>Alpha+Beta*B124</f>
        <v>-1.084630940372186E-2</v>
      </c>
      <c r="E124" s="11">
        <f t="shared" si="9"/>
        <v>0.1587775393300396</v>
      </c>
      <c r="F124" s="5">
        <f t="shared" si="10"/>
        <v>2.5210306995702272E-2</v>
      </c>
      <c r="G124" s="5">
        <f t="shared" si="11"/>
        <v>0.1587775393300396</v>
      </c>
    </row>
    <row r="125" spans="1:7">
      <c r="A125" s="2">
        <v>35947</v>
      </c>
      <c r="B125" s="11">
        <v>3.9438220788031011E-2</v>
      </c>
      <c r="C125" s="11">
        <v>2.3593115451556738E-2</v>
      </c>
      <c r="D125" s="5">
        <f>Alpha+Beta*B125</f>
        <v>2.3591952082158064E-2</v>
      </c>
      <c r="E125" s="11">
        <f t="shared" si="9"/>
        <v>1.163369398673314E-6</v>
      </c>
      <c r="F125" s="5">
        <f t="shared" si="10"/>
        <v>1.3534283577695082E-12</v>
      </c>
      <c r="G125" s="5">
        <f t="shared" si="11"/>
        <v>1.163369398673314E-6</v>
      </c>
    </row>
    <row r="126" spans="1:7">
      <c r="A126" s="2">
        <v>35916</v>
      </c>
      <c r="B126" s="11">
        <v>-1.882617494940415E-2</v>
      </c>
      <c r="C126" s="11">
        <v>-5.1943055021161219E-3</v>
      </c>
      <c r="D126" s="5">
        <f>Alpha+Beta*B126</f>
        <v>-1.5710347006140414E-2</v>
      </c>
      <c r="E126" s="11">
        <f t="shared" si="9"/>
        <v>1.0516041504024291E-2</v>
      </c>
      <c r="F126" s="5">
        <f t="shared" si="10"/>
        <v>1.1058712891436148E-4</v>
      </c>
      <c r="G126" s="5">
        <f t="shared" si="11"/>
        <v>1.0516041504024291E-2</v>
      </c>
    </row>
    <row r="127" spans="1:7">
      <c r="A127" s="2">
        <v>35886</v>
      </c>
      <c r="B127" s="11">
        <v>9.0764692534604039E-3</v>
      </c>
      <c r="C127" s="11">
        <v>0.11282380646542488</v>
      </c>
      <c r="D127" s="5">
        <f>Alpha+Beta*B127</f>
        <v>3.1114060376445231E-3</v>
      </c>
      <c r="E127" s="11">
        <f t="shared" si="9"/>
        <v>0.10971240042778035</v>
      </c>
      <c r="F127" s="5">
        <f t="shared" si="10"/>
        <v>1.2036810807625619E-2</v>
      </c>
      <c r="G127" s="5">
        <f t="shared" si="11"/>
        <v>0.10971240042778035</v>
      </c>
    </row>
    <row r="128" spans="1:7">
      <c r="A128" s="2">
        <v>35856</v>
      </c>
      <c r="B128" s="11">
        <v>4.9945680141803499E-2</v>
      </c>
      <c r="C128" s="11">
        <v>-1.1428571428571411E-2</v>
      </c>
      <c r="D128" s="5">
        <f>Alpha+Beta*B128</f>
        <v>3.0679767976467119E-2</v>
      </c>
      <c r="E128" s="11">
        <f t="shared" si="9"/>
        <v>-4.2108339405038532E-2</v>
      </c>
      <c r="F128" s="5">
        <f t="shared" si="10"/>
        <v>1.7731122474499209E-3</v>
      </c>
      <c r="G128" s="5">
        <f t="shared" si="11"/>
        <v>4.2108339405038532E-2</v>
      </c>
    </row>
    <row r="129" spans="1:7">
      <c r="A129" s="2">
        <v>35828</v>
      </c>
      <c r="B129" s="11">
        <v>7.0449259395274771E-2</v>
      </c>
      <c r="C129" s="11">
        <v>1.2644663523360553E-2</v>
      </c>
      <c r="D129" s="5">
        <f>Alpha+Beta*B129</f>
        <v>4.4510475289248959E-2</v>
      </c>
      <c r="E129" s="11">
        <f t="shared" si="9"/>
        <v>-3.1865811765888402E-2</v>
      </c>
      <c r="F129" s="5">
        <f t="shared" si="10"/>
        <v>1.0154299594990316E-3</v>
      </c>
      <c r="G129" s="5">
        <f t="shared" si="11"/>
        <v>3.1865811765888402E-2</v>
      </c>
    </row>
    <row r="130" spans="1:7">
      <c r="A130" s="2">
        <v>35797</v>
      </c>
      <c r="B130" s="11">
        <v>1.015013962882436E-2</v>
      </c>
      <c r="C130" s="11">
        <v>7.7349341953359366E-2</v>
      </c>
      <c r="D130" s="5">
        <f>Alpha+Beta*B130</f>
        <v>3.8356513281125001E-3</v>
      </c>
      <c r="E130" s="11">
        <f t="shared" si="9"/>
        <v>7.3513690625246861E-2</v>
      </c>
      <c r="F130" s="5">
        <f t="shared" si="10"/>
        <v>5.4042627093445084E-3</v>
      </c>
      <c r="G130" s="5">
        <f t="shared" si="11"/>
        <v>7.3513690625246861E-2</v>
      </c>
    </row>
    <row r="131" spans="1:7">
      <c r="A131" s="2">
        <v>35765</v>
      </c>
      <c r="B131" s="11">
        <v>1.573163073058402E-2</v>
      </c>
      <c r="C131" s="11">
        <v>-1.1531365313652482E-3</v>
      </c>
      <c r="D131" s="5">
        <f>Alpha+Beta*B131</f>
        <v>7.600651030994365E-3</v>
      </c>
      <c r="E131" s="11">
        <f t="shared" si="9"/>
        <v>-8.7537875623596127E-3</v>
      </c>
      <c r="F131" s="5">
        <f t="shared" si="10"/>
        <v>7.6628796686921849E-5</v>
      </c>
      <c r="G131" s="5">
        <f t="shared" si="11"/>
        <v>8.7537875623596127E-3</v>
      </c>
    </row>
    <row r="132" spans="1:7">
      <c r="A132" s="2">
        <v>35737</v>
      </c>
      <c r="B132" s="11">
        <v>4.4586822942861488E-2</v>
      </c>
      <c r="C132" s="11">
        <v>1.9995295224653056E-2</v>
      </c>
      <c r="D132" s="5">
        <f>Alpha+Beta*B132</f>
        <v>2.7064946167391378E-2</v>
      </c>
      <c r="E132" s="11">
        <f t="shared" si="9"/>
        <v>-7.0696509427383217E-3</v>
      </c>
      <c r="F132" s="5">
        <f t="shared" si="10"/>
        <v>4.9979964452160838E-5</v>
      </c>
      <c r="G132" s="5">
        <f t="shared" si="11"/>
        <v>7.0696509427383217E-3</v>
      </c>
    </row>
    <row r="133" spans="1:7">
      <c r="A133" s="2">
        <v>35704</v>
      </c>
      <c r="B133" s="11">
        <v>-3.4477662359597976E-2</v>
      </c>
      <c r="C133" s="11">
        <v>-7.8074170461938874E-2</v>
      </c>
      <c r="D133" s="5">
        <f>Alpha+Beta*B133</f>
        <v>-2.6268071523601527E-2</v>
      </c>
      <c r="E133" s="11">
        <f t="shared" si="9"/>
        <v>-5.1806098938337347E-2</v>
      </c>
      <c r="F133" s="5">
        <f t="shared" si="10"/>
        <v>2.6838718872087982E-3</v>
      </c>
      <c r="G133" s="5">
        <f t="shared" si="11"/>
        <v>5.1806098938337347E-2</v>
      </c>
    </row>
    <row r="134" spans="1:7">
      <c r="A134" s="2">
        <v>35675</v>
      </c>
      <c r="B134" s="11">
        <v>5.3153523741758975E-2</v>
      </c>
      <c r="C134" s="11">
        <v>-6.4641241111828736E-3</v>
      </c>
      <c r="D134" s="5">
        <f>Alpha+Beta*B134</f>
        <v>3.2843621681602687E-2</v>
      </c>
      <c r="E134" s="11">
        <f t="shared" si="9"/>
        <v>-3.9307745792785564E-2</v>
      </c>
      <c r="F134" s="5">
        <f t="shared" si="10"/>
        <v>1.5450988793102513E-3</v>
      </c>
      <c r="G134" s="5">
        <f t="shared" si="11"/>
        <v>3.9307745792785564E-2</v>
      </c>
    </row>
    <row r="135" spans="1:7">
      <c r="A135" s="2">
        <v>35643</v>
      </c>
      <c r="B135" s="11">
        <v>-5.7465603420272154E-2</v>
      </c>
      <c r="C135" s="11">
        <v>-1.7985611510791397E-2</v>
      </c>
      <c r="D135" s="5">
        <f>Alpha+Beta*B135</f>
        <v>-4.1774607265639682E-2</v>
      </c>
      <c r="E135" s="11">
        <f t="shared" si="9"/>
        <v>2.3788995754848285E-2</v>
      </c>
      <c r="F135" s="5">
        <f t="shared" si="10"/>
        <v>5.6591631902418974E-4</v>
      </c>
      <c r="G135" s="5">
        <f t="shared" si="11"/>
        <v>2.3788995754848285E-2</v>
      </c>
    </row>
    <row r="136" spans="1:7">
      <c r="A136" s="2">
        <v>35612</v>
      </c>
      <c r="B136" s="11">
        <v>7.8145830038186009E-2</v>
      </c>
      <c r="C136" s="11">
        <v>-0.12707794606575548</v>
      </c>
      <c r="D136" s="5">
        <f>Alpha+Beta*B136</f>
        <v>4.9702203745939401E-2</v>
      </c>
      <c r="E136" s="11">
        <f t="shared" si="9"/>
        <v>-0.17678014981169488</v>
      </c>
      <c r="F136" s="5">
        <f t="shared" si="10"/>
        <v>3.1251221367445285E-2</v>
      </c>
      <c r="G136" s="5">
        <f t="shared" si="11"/>
        <v>0.17678014981169488</v>
      </c>
    </row>
    <row r="137" spans="1:7">
      <c r="A137" s="2">
        <v>35583</v>
      </c>
      <c r="B137" s="11">
        <v>4.3452633564389137E-2</v>
      </c>
      <c r="C137" s="11">
        <v>-7.3738237810094129E-2</v>
      </c>
      <c r="D137" s="5">
        <f>Alpha+Beta*B137</f>
        <v>2.6299877730461701E-2</v>
      </c>
      <c r="E137" s="11">
        <f t="shared" si="9"/>
        <v>-0.10003811554055583</v>
      </c>
      <c r="F137" s="5">
        <f t="shared" si="10"/>
        <v>1.0007624560905598E-2</v>
      </c>
      <c r="G137" s="5">
        <f t="shared" si="11"/>
        <v>0.10003811554055583</v>
      </c>
    </row>
    <row r="138" spans="1:7">
      <c r="A138" s="2">
        <v>35551</v>
      </c>
      <c r="B138" s="11">
        <v>5.857688371976931E-2</v>
      </c>
      <c r="C138" s="11">
        <v>2.2290809327846803E-3</v>
      </c>
      <c r="D138" s="5">
        <f>Alpha+Beta*B138</f>
        <v>3.650195389669713E-2</v>
      </c>
      <c r="E138" s="11">
        <f t="shared" si="9"/>
        <v>-3.4272872963912453E-2</v>
      </c>
      <c r="F138" s="5">
        <f t="shared" si="10"/>
        <v>1.174629821200481E-3</v>
      </c>
      <c r="G138" s="5">
        <f t="shared" si="11"/>
        <v>3.4272872963912453E-2</v>
      </c>
    </row>
    <row r="139" spans="1:7">
      <c r="A139" s="2">
        <v>35521</v>
      </c>
      <c r="B139" s="11">
        <v>5.8405536770921425E-2</v>
      </c>
      <c r="C139" s="11">
        <v>9.3773443360840203E-2</v>
      </c>
      <c r="D139" s="5">
        <f>Alpha+Beta*B139</f>
        <v>3.6386371662534181E-2</v>
      </c>
      <c r="E139" s="11">
        <f t="shared" ref="E139:E170" si="12">C139-D139</f>
        <v>5.7387071698306022E-2</v>
      </c>
      <c r="F139" s="5">
        <f t="shared" ref="F139:F170" si="13">E139^2</f>
        <v>3.2932759981065159E-3</v>
      </c>
      <c r="G139" s="5">
        <f t="shared" ref="G139:G170" si="14">ABS(E139)</f>
        <v>5.7387071698306022E-2</v>
      </c>
    </row>
    <row r="140" spans="1:7">
      <c r="A140" s="2">
        <v>35492</v>
      </c>
      <c r="B140" s="11">
        <v>-4.2613995599504365E-2</v>
      </c>
      <c r="C140" s="11">
        <v>-0.1532475782118469</v>
      </c>
      <c r="D140" s="5">
        <f>Alpha+Beta*B140</f>
        <v>-3.1756442224602506E-2</v>
      </c>
      <c r="E140" s="11">
        <f t="shared" si="12"/>
        <v>-0.1214911359872444</v>
      </c>
      <c r="F140" s="5">
        <f t="shared" si="13"/>
        <v>1.476009612347111E-2</v>
      </c>
      <c r="G140" s="5">
        <f t="shared" si="14"/>
        <v>0.1214911359872444</v>
      </c>
    </row>
    <row r="141" spans="1:7">
      <c r="A141" s="2">
        <v>35464</v>
      </c>
      <c r="B141" s="11">
        <v>5.9275465554086727E-3</v>
      </c>
      <c r="C141" s="11">
        <v>3.962357602773648E-2</v>
      </c>
      <c r="D141" s="5">
        <f>Alpha+Beta*B141</f>
        <v>9.8729747840575364E-4</v>
      </c>
      <c r="E141" s="11">
        <f t="shared" si="12"/>
        <v>3.863627854933073E-2</v>
      </c>
      <c r="F141" s="5">
        <f t="shared" si="13"/>
        <v>1.4927620201414739E-3</v>
      </c>
      <c r="G141" s="5">
        <f t="shared" si="14"/>
        <v>3.863627854933073E-2</v>
      </c>
    </row>
    <row r="142" spans="1:7">
      <c r="A142" s="2">
        <v>35432</v>
      </c>
      <c r="B142" s="11">
        <v>6.1317061317061258E-2</v>
      </c>
      <c r="C142" s="11">
        <v>8.1028020703194703E-2</v>
      </c>
      <c r="D142" s="5">
        <f>Alpha+Beta*B142</f>
        <v>3.8350343090831143E-2</v>
      </c>
      <c r="E142" s="11">
        <f t="shared" si="12"/>
        <v>4.267767761236356E-2</v>
      </c>
      <c r="F142" s="5">
        <f t="shared" si="13"/>
        <v>1.8213841663848379E-3</v>
      </c>
      <c r="G142" s="5">
        <f t="shared" si="14"/>
        <v>4.267767761236356E-2</v>
      </c>
    </row>
    <row r="143" spans="1:7">
      <c r="A143" s="2">
        <v>35401</v>
      </c>
      <c r="B143" s="11">
        <v>-2.1505376344085985E-2</v>
      </c>
      <c r="C143" s="11">
        <v>-1.0769774011299424E-2</v>
      </c>
      <c r="D143" s="5">
        <f>Alpha+Beta*B143</f>
        <v>-1.7517604649489094E-2</v>
      </c>
      <c r="E143" s="11">
        <f t="shared" si="12"/>
        <v>6.7478306381896693E-3</v>
      </c>
      <c r="F143" s="5">
        <f t="shared" si="13"/>
        <v>4.5533218321691203E-5</v>
      </c>
      <c r="G143" s="5">
        <f t="shared" si="14"/>
        <v>6.7478306381896693E-3</v>
      </c>
    </row>
    <row r="144" spans="1:7">
      <c r="A144" s="2">
        <v>35370</v>
      </c>
      <c r="B144" s="11">
        <v>7.3376153813433154E-2</v>
      </c>
      <c r="C144" s="11">
        <v>2.3861171366594366E-2</v>
      </c>
      <c r="D144" s="5">
        <f>Alpha+Beta*B144</f>
        <v>4.6484814478154723E-2</v>
      </c>
      <c r="E144" s="11">
        <f t="shared" si="12"/>
        <v>-2.2623643111560357E-2</v>
      </c>
      <c r="F144" s="5">
        <f t="shared" si="13"/>
        <v>5.1182922763925239E-4</v>
      </c>
      <c r="G144" s="5">
        <f t="shared" si="14"/>
        <v>2.2623643111560357E-2</v>
      </c>
    </row>
    <row r="145" spans="1:7">
      <c r="A145" s="2">
        <v>35339</v>
      </c>
      <c r="B145" s="11">
        <v>2.6100999519881193E-2</v>
      </c>
      <c r="C145" s="11">
        <v>1.4301430143014323E-2</v>
      </c>
      <c r="D145" s="5">
        <f>Alpha+Beta*B145</f>
        <v>1.4595317814296786E-2</v>
      </c>
      <c r="E145" s="11">
        <f t="shared" si="12"/>
        <v>-2.9388767128246326E-4</v>
      </c>
      <c r="F145" s="5">
        <f t="shared" si="13"/>
        <v>8.6369963331829177E-8</v>
      </c>
      <c r="G145" s="5">
        <f t="shared" si="14"/>
        <v>2.9388767128246326E-4</v>
      </c>
    </row>
    <row r="146" spans="1:7">
      <c r="A146" s="2">
        <v>35311</v>
      </c>
      <c r="B146" s="11">
        <v>5.4203285326462111E-2</v>
      </c>
      <c r="C146" s="11">
        <v>8.257244938467638E-2</v>
      </c>
      <c r="D146" s="5">
        <f>Alpha+Beta*B146</f>
        <v>3.3551739276425706E-2</v>
      </c>
      <c r="E146" s="11">
        <f t="shared" si="12"/>
        <v>4.9020710108250674E-2</v>
      </c>
      <c r="F146" s="5">
        <f t="shared" si="13"/>
        <v>2.4030300195171501E-3</v>
      </c>
      <c r="G146" s="5">
        <f t="shared" si="14"/>
        <v>4.9020710108250674E-2</v>
      </c>
    </row>
    <row r="147" spans="1:7">
      <c r="A147" s="2">
        <v>35278</v>
      </c>
      <c r="B147" s="11">
        <v>1.8813969841393802E-2</v>
      </c>
      <c r="C147" s="11">
        <v>-2.3075431452394757E-2</v>
      </c>
      <c r="D147" s="5">
        <f>Alpha+Beta*B147</f>
        <v>9.6798455732415613E-3</v>
      </c>
      <c r="E147" s="11">
        <f t="shared" si="12"/>
        <v>-3.2755277025636319E-2</v>
      </c>
      <c r="F147" s="5">
        <f t="shared" si="13"/>
        <v>1.0729081730261785E-3</v>
      </c>
      <c r="G147" s="5">
        <f t="shared" si="14"/>
        <v>3.2755277025636319E-2</v>
      </c>
    </row>
    <row r="148" spans="1:7">
      <c r="A148" s="2">
        <v>35247</v>
      </c>
      <c r="B148" s="11">
        <v>-4.5748027973696301E-2</v>
      </c>
      <c r="C148" s="11">
        <v>-4.0201005025125566E-2</v>
      </c>
      <c r="D148" s="5">
        <f>Alpha+Beta*B148</f>
        <v>-3.387050650286226E-2</v>
      </c>
      <c r="E148" s="11">
        <f t="shared" si="12"/>
        <v>-6.3304985222633059E-3</v>
      </c>
      <c r="F148" s="5">
        <f t="shared" si="13"/>
        <v>4.0075211540377898E-5</v>
      </c>
      <c r="G148" s="5">
        <f t="shared" si="14"/>
        <v>6.3304985222633059E-3</v>
      </c>
    </row>
    <row r="149" spans="1:7">
      <c r="A149" s="2">
        <v>35219</v>
      </c>
      <c r="B149" s="11">
        <v>2.2566953610712441E-3</v>
      </c>
      <c r="C149" s="11">
        <v>4.5534150612959651E-2</v>
      </c>
      <c r="D149" s="5">
        <f>Alpha+Beta*B149</f>
        <v>-1.4888784043519435E-3</v>
      </c>
      <c r="E149" s="11">
        <f t="shared" si="12"/>
        <v>4.7023029017311598E-2</v>
      </c>
      <c r="F149" s="5">
        <f t="shared" si="13"/>
        <v>2.2111652579629285E-3</v>
      </c>
      <c r="G149" s="5">
        <f t="shared" si="14"/>
        <v>4.7023029017311598E-2</v>
      </c>
    </row>
    <row r="150" spans="1:7">
      <c r="A150" s="2">
        <v>35186</v>
      </c>
      <c r="B150" s="11">
        <v>2.2853386734335183E-2</v>
      </c>
      <c r="C150" s="11">
        <v>-2.2632179535945183E-2</v>
      </c>
      <c r="D150" s="5">
        <f>Alpha+Beta*B150</f>
        <v>1.240463777024884E-2</v>
      </c>
      <c r="E150" s="11">
        <f t="shared" si="12"/>
        <v>-3.5036817306194026E-2</v>
      </c>
      <c r="F150" s="5">
        <f t="shared" si="13"/>
        <v>1.2275785669476173E-3</v>
      </c>
      <c r="G150" s="5">
        <f t="shared" si="14"/>
        <v>3.5036817306194026E-2</v>
      </c>
    </row>
    <row r="151" spans="1:7">
      <c r="A151" s="2">
        <v>35156</v>
      </c>
      <c r="B151" s="11">
        <v>1.3431448489542927E-2</v>
      </c>
      <c r="C151" s="11">
        <v>7.7459016393442645E-2</v>
      </c>
      <c r="D151" s="5">
        <f>Alpha+Beta*B151</f>
        <v>6.0490610891303382E-3</v>
      </c>
      <c r="E151" s="11">
        <f t="shared" si="12"/>
        <v>7.1409955304312309E-2</v>
      </c>
      <c r="F151" s="5">
        <f t="shared" si="13"/>
        <v>5.0993817165638812E-3</v>
      </c>
      <c r="G151" s="5">
        <f t="shared" si="14"/>
        <v>7.1409955304312309E-2</v>
      </c>
    </row>
    <row r="152" spans="1:7">
      <c r="A152" s="2">
        <v>35125</v>
      </c>
      <c r="B152" s="11">
        <v>7.9165560638946499E-3</v>
      </c>
      <c r="C152" s="11">
        <v>-7.1210579857579129E-3</v>
      </c>
      <c r="D152" s="5">
        <f>Alpha+Beta*B152</f>
        <v>2.3289855814501163E-3</v>
      </c>
      <c r="E152" s="11">
        <f t="shared" si="12"/>
        <v>-9.4500435672080288E-3</v>
      </c>
      <c r="F152" s="5">
        <f t="shared" si="13"/>
        <v>8.9303323422129852E-5</v>
      </c>
      <c r="G152" s="5">
        <f t="shared" si="14"/>
        <v>9.4500435672080288E-3</v>
      </c>
    </row>
    <row r="153" spans="1:7">
      <c r="A153" s="2">
        <v>35096</v>
      </c>
      <c r="B153" s="11">
        <v>6.9337442218797649E-3</v>
      </c>
      <c r="C153" s="11">
        <v>-1.9940179461615155E-2</v>
      </c>
      <c r="D153" s="5">
        <f>Alpha+Beta*B153</f>
        <v>1.6660289940951269E-3</v>
      </c>
      <c r="E153" s="11">
        <f t="shared" si="12"/>
        <v>-2.160620845571028E-2</v>
      </c>
      <c r="F153" s="5">
        <f t="shared" si="13"/>
        <v>4.6682824383160641E-4</v>
      </c>
      <c r="G153" s="5">
        <f t="shared" si="14"/>
        <v>2.160620845571028E-2</v>
      </c>
    </row>
    <row r="154" spans="1:7">
      <c r="A154" s="2">
        <v>35066</v>
      </c>
      <c r="B154" s="11">
        <v>3.2617342879872765E-2</v>
      </c>
      <c r="C154" s="11">
        <v>9.497816593886467E-2</v>
      </c>
      <c r="D154" s="5">
        <f>Alpha+Beta*B154</f>
        <v>1.8990922925359262E-2</v>
      </c>
      <c r="E154" s="11">
        <f t="shared" si="12"/>
        <v>7.5987243013505401E-2</v>
      </c>
      <c r="F154" s="5">
        <f t="shared" si="13"/>
        <v>5.774061100793525E-3</v>
      </c>
      <c r="G154" s="5">
        <f t="shared" si="14"/>
        <v>7.5987243013505401E-2</v>
      </c>
    </row>
    <row r="155" spans="1:7">
      <c r="A155" s="2">
        <v>35034</v>
      </c>
      <c r="B155" s="11">
        <v>1.7443877298181188E-2</v>
      </c>
      <c r="C155" s="11">
        <v>-1.822079314040732E-2</v>
      </c>
      <c r="D155" s="5">
        <f>Alpha+Beta*B155</f>
        <v>8.7556484502738525E-3</v>
      </c>
      <c r="E155" s="11">
        <f t="shared" si="12"/>
        <v>-2.6976441590681174E-2</v>
      </c>
      <c r="F155" s="5">
        <f t="shared" si="13"/>
        <v>7.2772840089543303E-4</v>
      </c>
      <c r="G155" s="5">
        <f t="shared" si="14"/>
        <v>2.6976441590681174E-2</v>
      </c>
    </row>
    <row r="156" spans="1:7">
      <c r="A156" s="2">
        <v>35004</v>
      </c>
      <c r="B156" s="11">
        <v>4.1049011177987968E-2</v>
      </c>
      <c r="C156" s="11">
        <v>9.5842142353770227E-2</v>
      </c>
      <c r="D156" s="5">
        <f>Alpha+Beta*B156</f>
        <v>2.4678512148101898E-2</v>
      </c>
      <c r="E156" s="11">
        <f t="shared" si="12"/>
        <v>7.1163630205668321E-2</v>
      </c>
      <c r="F156" s="5">
        <f t="shared" si="13"/>
        <v>5.0642622640491089E-3</v>
      </c>
      <c r="G156" s="5">
        <f t="shared" si="14"/>
        <v>7.1163630205668321E-2</v>
      </c>
    </row>
    <row r="157" spans="1:7">
      <c r="A157" s="2">
        <v>34974</v>
      </c>
      <c r="B157" s="11">
        <v>-4.9793809140842357E-3</v>
      </c>
      <c r="C157" s="11">
        <v>5.711447727837092E-2</v>
      </c>
      <c r="D157" s="5">
        <f>Alpha+Beta*B157</f>
        <v>-6.3699799826383999E-3</v>
      </c>
      <c r="E157" s="11">
        <f t="shared" si="12"/>
        <v>6.3484457261009319E-2</v>
      </c>
      <c r="F157" s="5">
        <f t="shared" si="13"/>
        <v>4.0302763137249186E-3</v>
      </c>
      <c r="G157" s="5">
        <f t="shared" si="14"/>
        <v>6.3484457261009319E-2</v>
      </c>
    </row>
    <row r="158" spans="1:7">
      <c r="A158" s="2">
        <v>34943</v>
      </c>
      <c r="B158" s="11">
        <v>4.0097529721648699E-2</v>
      </c>
      <c r="C158" s="11">
        <v>2.5987261146496896E-2</v>
      </c>
      <c r="D158" s="5">
        <f>Alpha+Beta*B158</f>
        <v>2.4036689499798192E-2</v>
      </c>
      <c r="E158" s="11">
        <f t="shared" si="12"/>
        <v>1.9505716466987032E-3</v>
      </c>
      <c r="F158" s="5">
        <f t="shared" si="13"/>
        <v>3.8047297489048905E-6</v>
      </c>
      <c r="G158" s="5">
        <f t="shared" si="14"/>
        <v>1.9505716466987032E-3</v>
      </c>
    </row>
    <row r="159" spans="1:7">
      <c r="A159" s="2">
        <v>34912</v>
      </c>
      <c r="B159" s="11">
        <v>-3.202505070632139E-4</v>
      </c>
      <c r="C159" s="11">
        <v>8.9974293059126333E-3</v>
      </c>
      <c r="D159" s="5">
        <f>Alpha+Beta*B159</f>
        <v>-3.2271594928607291E-3</v>
      </c>
      <c r="E159" s="11">
        <f t="shared" si="12"/>
        <v>1.2224588798773361E-2</v>
      </c>
      <c r="F159" s="5">
        <f t="shared" si="13"/>
        <v>1.4944057129909514E-4</v>
      </c>
      <c r="G159" s="5">
        <f t="shared" si="14"/>
        <v>1.2224588798773361E-2</v>
      </c>
    </row>
    <row r="160" spans="1:7">
      <c r="A160" s="2">
        <v>34883</v>
      </c>
      <c r="B160" s="11">
        <v>3.177604405690674E-2</v>
      </c>
      <c r="C160" s="11">
        <v>-4.9364613880742987E-2</v>
      </c>
      <c r="D160" s="5">
        <f>Alpha+Beta*B160</f>
        <v>1.842342406873592E-2</v>
      </c>
      <c r="E160" s="11">
        <f t="shared" si="12"/>
        <v>-6.7788037949478908E-2</v>
      </c>
      <c r="F160" s="5">
        <f t="shared" si="13"/>
        <v>4.5952180890399923E-3</v>
      </c>
      <c r="G160" s="5">
        <f t="shared" si="14"/>
        <v>6.7788037949478908E-2</v>
      </c>
    </row>
    <row r="161" spans="1:7">
      <c r="A161" s="2">
        <v>34851</v>
      </c>
      <c r="B161" s="11">
        <v>2.1278590176228015E-2</v>
      </c>
      <c r="C161" s="11">
        <v>4.1717791411043361E-3</v>
      </c>
      <c r="D161" s="5">
        <f>Alpha+Beta*B161</f>
        <v>1.1342357375050573E-2</v>
      </c>
      <c r="E161" s="11">
        <f t="shared" si="12"/>
        <v>-7.1705782339462369E-3</v>
      </c>
      <c r="F161" s="5">
        <f t="shared" si="13"/>
        <v>5.1417192209143532E-5</v>
      </c>
      <c r="G161" s="5">
        <f t="shared" si="14"/>
        <v>7.1705782339462369E-3</v>
      </c>
    </row>
    <row r="162" spans="1:7">
      <c r="A162" s="2">
        <v>34820</v>
      </c>
      <c r="B162" s="11">
        <v>3.6311709506323835E-2</v>
      </c>
      <c r="C162" s="11">
        <v>5.6794605809128568E-2</v>
      </c>
      <c r="D162" s="5">
        <f>Alpha+Beta*B162</f>
        <v>2.1482961163409989E-2</v>
      </c>
      <c r="E162" s="11">
        <f t="shared" si="12"/>
        <v>3.5311644645718579E-2</v>
      </c>
      <c r="F162" s="5">
        <f t="shared" si="13"/>
        <v>1.2469122475855057E-3</v>
      </c>
      <c r="G162" s="5">
        <f t="shared" si="14"/>
        <v>3.5311644645718579E-2</v>
      </c>
    </row>
    <row r="163" spans="1:7">
      <c r="A163" s="2">
        <v>34792</v>
      </c>
      <c r="B163" s="11">
        <v>2.7960296379141734E-2</v>
      </c>
      <c r="C163" s="11">
        <v>7.9809577149257946E-2</v>
      </c>
      <c r="D163" s="5">
        <f>Alpha+Beta*B163</f>
        <v>1.5849508136391573E-2</v>
      </c>
      <c r="E163" s="11">
        <f t="shared" si="12"/>
        <v>6.3960069012866369E-2</v>
      </c>
      <c r="F163" s="5">
        <f t="shared" si="13"/>
        <v>4.0908904281306288E-3</v>
      </c>
      <c r="G163" s="5">
        <f t="shared" si="14"/>
        <v>6.3960069012866369E-2</v>
      </c>
    </row>
    <row r="164" spans="1:7">
      <c r="A164" s="2">
        <v>34759</v>
      </c>
      <c r="B164" s="11">
        <v>2.7329243521615119E-2</v>
      </c>
      <c r="C164" s="11">
        <v>4.4152046783625672E-2</v>
      </c>
      <c r="D164" s="5">
        <f>Alpha+Beta*B164</f>
        <v>1.5423830879584443E-2</v>
      </c>
      <c r="E164" s="11">
        <f t="shared" si="12"/>
        <v>2.8728215904041229E-2</v>
      </c>
      <c r="F164" s="5">
        <f t="shared" si="13"/>
        <v>8.2531038902920739E-4</v>
      </c>
      <c r="G164" s="5">
        <f t="shared" si="14"/>
        <v>2.8728215904041229E-2</v>
      </c>
    </row>
    <row r="165" spans="1:7">
      <c r="A165" s="2">
        <v>34731</v>
      </c>
      <c r="B165" s="11">
        <v>3.6074146507376323E-2</v>
      </c>
      <c r="C165" s="11">
        <v>4.9079754601227037E-2</v>
      </c>
      <c r="D165" s="5">
        <f>Alpha+Beta*B165</f>
        <v>2.1322712834756175E-2</v>
      </c>
      <c r="E165" s="11">
        <f t="shared" si="12"/>
        <v>2.7757041766470862E-2</v>
      </c>
      <c r="F165" s="5">
        <f t="shared" si="13"/>
        <v>7.7045336762560784E-4</v>
      </c>
      <c r="G165" s="5">
        <f t="shared" si="14"/>
        <v>2.7757041766470862E-2</v>
      </c>
    </row>
    <row r="166" spans="1:7">
      <c r="A166" s="2">
        <v>34702</v>
      </c>
      <c r="B166" s="11">
        <v>2.4277658022514064E-2</v>
      </c>
      <c r="C166" s="11">
        <v>2.6125275417060178E-2</v>
      </c>
      <c r="D166" s="5">
        <f>Alpha+Beta*B166</f>
        <v>1.3365381213004859E-2</v>
      </c>
      <c r="E166" s="11">
        <f t="shared" si="12"/>
        <v>1.2759894204055319E-2</v>
      </c>
      <c r="F166" s="5">
        <f t="shared" si="13"/>
        <v>1.628149000986845E-4</v>
      </c>
      <c r="G166" s="5">
        <f t="shared" si="14"/>
        <v>1.2759894204055319E-2</v>
      </c>
    </row>
    <row r="167" spans="1:7">
      <c r="A167" s="2">
        <v>34669</v>
      </c>
      <c r="B167" s="11">
        <v>1.2299146994643885E-2</v>
      </c>
      <c r="C167" s="11">
        <v>4.9554013875123884E-2</v>
      </c>
      <c r="D167" s="5">
        <f>Alpha+Beta*B167</f>
        <v>5.2852661257157107E-3</v>
      </c>
      <c r="E167" s="11">
        <f t="shared" si="12"/>
        <v>4.4268747749408172E-2</v>
      </c>
      <c r="F167" s="5">
        <f t="shared" si="13"/>
        <v>1.9597220273007312E-3</v>
      </c>
      <c r="G167" s="5">
        <f t="shared" si="14"/>
        <v>4.4268747749408172E-2</v>
      </c>
    </row>
    <row r="168" spans="1:7">
      <c r="A168" s="2">
        <v>34639</v>
      </c>
      <c r="B168" s="11">
        <v>-3.9504604636392555E-2</v>
      </c>
      <c r="C168" s="11">
        <v>-4.631379962192813E-2</v>
      </c>
      <c r="D168" s="5">
        <f>Alpha+Beta*B168</f>
        <v>-2.9658999831732126E-2</v>
      </c>
      <c r="E168" s="11">
        <f t="shared" si="12"/>
        <v>-1.6654799790196004E-2</v>
      </c>
      <c r="F168" s="5">
        <f t="shared" si="13"/>
        <v>2.7738235605151283E-4</v>
      </c>
      <c r="G168" s="5">
        <f t="shared" si="14"/>
        <v>1.6654799790196004E-2</v>
      </c>
    </row>
    <row r="169" spans="1:7">
      <c r="A169" s="2">
        <v>34610</v>
      </c>
      <c r="B169" s="11">
        <v>2.0833783579347849E-2</v>
      </c>
      <c r="C169" s="11">
        <v>-7.002636976267225E-2</v>
      </c>
      <c r="D169" s="5">
        <f>Alpha+Beta*B169</f>
        <v>1.1042312696207361E-2</v>
      </c>
      <c r="E169" s="11">
        <f t="shared" si="12"/>
        <v>-8.1068682458879604E-2</v>
      </c>
      <c r="F169" s="5">
        <f t="shared" si="13"/>
        <v>6.5721312756186539E-3</v>
      </c>
      <c r="G169" s="5">
        <f t="shared" si="14"/>
        <v>8.1068682458879604E-2</v>
      </c>
    </row>
    <row r="170" spans="1:7">
      <c r="A170" s="2">
        <v>34578</v>
      </c>
      <c r="B170" s="11">
        <v>-2.6877536856716292E-2</v>
      </c>
      <c r="C170" s="11">
        <v>4.0231636696129232E-2</v>
      </c>
      <c r="D170" s="5">
        <f>Alpha+Beta*B170</f>
        <v>-2.1141400220445059E-2</v>
      </c>
      <c r="E170" s="11">
        <f t="shared" si="12"/>
        <v>6.1373036916574294E-2</v>
      </c>
      <c r="F170" s="5">
        <f t="shared" si="13"/>
        <v>3.7666496603631912E-3</v>
      </c>
      <c r="G170" s="5">
        <f t="shared" si="14"/>
        <v>6.1373036916574294E-2</v>
      </c>
    </row>
    <row r="171" spans="1:7">
      <c r="A171" s="2">
        <v>34547</v>
      </c>
      <c r="B171" s="11">
        <v>3.759874307161877E-2</v>
      </c>
      <c r="C171" s="11">
        <v>3.6650868878357147E-2</v>
      </c>
      <c r="D171" s="5">
        <f>Alpha+Beta*B171</f>
        <v>2.2351130780200516E-2</v>
      </c>
      <c r="E171" s="11">
        <f t="shared" ref="E171:E202" si="15">C171-D171</f>
        <v>1.4299738098156631E-2</v>
      </c>
      <c r="F171" s="5">
        <f t="shared" ref="F171:F202" si="16">E171^2</f>
        <v>2.0448250967587222E-4</v>
      </c>
      <c r="G171" s="5">
        <f t="shared" ref="G171:G202" si="17">ABS(E171)</f>
        <v>1.4299738098156631E-2</v>
      </c>
    </row>
    <row r="172" spans="1:7">
      <c r="A172" s="2">
        <v>34516</v>
      </c>
      <c r="B172" s="11">
        <v>3.148985976995973E-2</v>
      </c>
      <c r="C172" s="11">
        <v>5.0809780882819988E-3</v>
      </c>
      <c r="D172" s="5">
        <f>Alpha+Beta*B172</f>
        <v>1.8230378207749913E-2</v>
      </c>
      <c r="E172" s="11">
        <f t="shared" si="15"/>
        <v>-1.3149400119467913E-2</v>
      </c>
      <c r="F172" s="5">
        <f t="shared" si="16"/>
        <v>1.7290672350186276E-4</v>
      </c>
      <c r="G172" s="5">
        <f t="shared" si="17"/>
        <v>1.3149400119467913E-2</v>
      </c>
    </row>
    <row r="173" spans="1:7">
      <c r="A173" s="2">
        <v>34486</v>
      </c>
      <c r="B173" s="11">
        <v>-2.6790799561883939E-2</v>
      </c>
      <c r="C173" s="11">
        <v>2.6736224323442997E-2</v>
      </c>
      <c r="D173" s="5">
        <f>Alpha+Beta*B173</f>
        <v>-2.1082891502376938E-2</v>
      </c>
      <c r="E173" s="11">
        <f t="shared" si="15"/>
        <v>4.7819115825819936E-2</v>
      </c>
      <c r="F173" s="5">
        <f t="shared" si="16"/>
        <v>2.2866678383631827E-3</v>
      </c>
      <c r="G173" s="5">
        <f t="shared" si="17"/>
        <v>4.7819115825819936E-2</v>
      </c>
    </row>
    <row r="174" spans="1:7">
      <c r="A174" s="2">
        <v>34456</v>
      </c>
      <c r="B174" s="11">
        <v>1.2397152425095861E-2</v>
      </c>
      <c r="C174" s="11">
        <v>0.13930163447251115</v>
      </c>
      <c r="D174" s="5">
        <f>Alpha+Beta*B174</f>
        <v>5.3513757745183698E-3</v>
      </c>
      <c r="E174" s="11">
        <f t="shared" si="15"/>
        <v>0.13395025869799279</v>
      </c>
      <c r="F174" s="5">
        <f t="shared" si="16"/>
        <v>1.7942671805259193E-2</v>
      </c>
      <c r="G174" s="5">
        <f t="shared" si="17"/>
        <v>0.13395025869799279</v>
      </c>
    </row>
    <row r="175" spans="1:7">
      <c r="A175" s="2">
        <v>34428</v>
      </c>
      <c r="B175" s="11">
        <v>1.1530609955806903E-2</v>
      </c>
      <c r="C175" s="11">
        <v>-6.4953108718304883E-2</v>
      </c>
      <c r="D175" s="5">
        <f>Alpha+Beta*B175</f>
        <v>4.766848794196055E-3</v>
      </c>
      <c r="E175" s="11">
        <f t="shared" si="15"/>
        <v>-6.9719957512500944E-2</v>
      </c>
      <c r="F175" s="5">
        <f t="shared" si="16"/>
        <v>4.8608724755449364E-3</v>
      </c>
      <c r="G175" s="5">
        <f t="shared" si="17"/>
        <v>6.9719957512500944E-2</v>
      </c>
    </row>
    <row r="176" spans="1:7">
      <c r="A176" s="2">
        <v>34394</v>
      </c>
      <c r="B176" s="11">
        <v>-4.5746457164875638E-2</v>
      </c>
      <c r="C176" s="11">
        <v>3.2269630692004253E-2</v>
      </c>
      <c r="D176" s="5">
        <f>Alpha+Beta*B176</f>
        <v>-3.3869446912398841E-2</v>
      </c>
      <c r="E176" s="11">
        <f t="shared" si="15"/>
        <v>6.6139077604403101E-2</v>
      </c>
      <c r="F176" s="5">
        <f t="shared" si="16"/>
        <v>4.374377586361256E-3</v>
      </c>
      <c r="G176" s="5">
        <f t="shared" si="17"/>
        <v>6.6139077604403101E-2</v>
      </c>
    </row>
    <row r="177" spans="1:7">
      <c r="A177" s="2">
        <v>34366</v>
      </c>
      <c r="B177" s="11">
        <v>-3.0045057203961768E-2</v>
      </c>
      <c r="C177" s="11">
        <v>-1.622574955908292E-2</v>
      </c>
      <c r="D177" s="5">
        <f>Alpha+Beta*B177</f>
        <v>-2.3278053840208368E-2</v>
      </c>
      <c r="E177" s="11">
        <f t="shared" si="15"/>
        <v>7.0523042811254481E-3</v>
      </c>
      <c r="F177" s="5">
        <f t="shared" si="16"/>
        <v>4.9734995673580322E-5</v>
      </c>
      <c r="G177" s="5">
        <f t="shared" si="17"/>
        <v>7.0523042811254481E-3</v>
      </c>
    </row>
    <row r="178" spans="1:7">
      <c r="A178" s="2">
        <v>34337</v>
      </c>
      <c r="B178" s="11">
        <v>3.2500803944688662E-2</v>
      </c>
      <c r="C178" s="11">
        <v>-8.0475857242826056E-3</v>
      </c>
      <c r="D178" s="5">
        <f>Alpha+Beta*B178</f>
        <v>1.8912311484734733E-2</v>
      </c>
      <c r="E178" s="11">
        <f t="shared" si="15"/>
        <v>-2.6959897209017338E-2</v>
      </c>
      <c r="F178" s="5">
        <f t="shared" si="16"/>
        <v>7.2683605752078091E-4</v>
      </c>
      <c r="G178" s="5">
        <f t="shared" si="17"/>
        <v>2.6959897209017338E-2</v>
      </c>
    </row>
    <row r="179" spans="1:7">
      <c r="A179" s="2">
        <v>34304</v>
      </c>
      <c r="B179" s="11">
        <v>1.0091166980662137E-2</v>
      </c>
      <c r="C179" s="11">
        <v>-7.5978014872292318E-2</v>
      </c>
      <c r="D179" s="5">
        <f>Alpha+Beta*B179</f>
        <v>3.7958712767317995E-3</v>
      </c>
      <c r="E179" s="11">
        <f t="shared" si="15"/>
        <v>-7.9773886149024115E-2</v>
      </c>
      <c r="F179" s="5">
        <f t="shared" si="16"/>
        <v>6.3638729113174612E-3</v>
      </c>
      <c r="G179" s="5">
        <f t="shared" si="17"/>
        <v>7.9773886149024115E-2</v>
      </c>
    </row>
    <row r="180" spans="1:7">
      <c r="A180" s="2">
        <v>34274</v>
      </c>
      <c r="B180" s="11">
        <v>-1.2910672680247022E-2</v>
      </c>
      <c r="C180" s="11">
        <v>-2.3982328810350315E-2</v>
      </c>
      <c r="D180" s="5">
        <f>Alpha+Beta*B180</f>
        <v>-1.1720039778247137E-2</v>
      </c>
      <c r="E180" s="11">
        <f t="shared" si="15"/>
        <v>-1.2262289032103179E-2</v>
      </c>
      <c r="F180" s="5">
        <f t="shared" si="16"/>
        <v>1.503637323068379E-4</v>
      </c>
      <c r="G180" s="5">
        <f t="shared" si="17"/>
        <v>1.2262289032103179E-2</v>
      </c>
    </row>
    <row r="181" spans="1:7">
      <c r="A181" s="2">
        <v>34243</v>
      </c>
      <c r="B181" s="11">
        <v>1.9392935741834216E-2</v>
      </c>
      <c r="C181" s="11">
        <v>5.9157754010695167E-2</v>
      </c>
      <c r="D181" s="5">
        <f>Alpha+Beta*B181</f>
        <v>1.0070387527603841E-2</v>
      </c>
      <c r="E181" s="11">
        <f t="shared" si="15"/>
        <v>4.9087366483091324E-2</v>
      </c>
      <c r="F181" s="5">
        <f t="shared" si="16"/>
        <v>2.4095695482453175E-3</v>
      </c>
      <c r="G181" s="5">
        <f t="shared" si="17"/>
        <v>4.9087366483091324E-2</v>
      </c>
    </row>
    <row r="182" spans="1:7">
      <c r="A182" s="2">
        <v>34213</v>
      </c>
      <c r="B182" s="11">
        <v>-9.9879195789110264E-3</v>
      </c>
      <c r="C182" s="11">
        <v>-2.6675341574495665E-2</v>
      </c>
      <c r="D182" s="5">
        <f>Alpha+Beta*B182</f>
        <v>-9.7484941182248847E-3</v>
      </c>
      <c r="E182" s="11">
        <f t="shared" si="15"/>
        <v>-1.692684745627078E-2</v>
      </c>
      <c r="F182" s="5">
        <f t="shared" si="16"/>
        <v>2.8651816480786059E-4</v>
      </c>
      <c r="G182" s="5">
        <f t="shared" si="17"/>
        <v>1.692684745627078E-2</v>
      </c>
    </row>
    <row r="183" spans="1:7">
      <c r="A183" s="2">
        <v>34183</v>
      </c>
      <c r="B183" s="11">
        <v>3.4431972865016862E-2</v>
      </c>
      <c r="C183" s="11">
        <v>0.1465870943677732</v>
      </c>
      <c r="D183" s="5">
        <f>Alpha+Beta*B183</f>
        <v>2.021498316846421E-2</v>
      </c>
      <c r="E183" s="11">
        <f t="shared" si="15"/>
        <v>0.126372111199309</v>
      </c>
      <c r="F183" s="5">
        <f t="shared" si="16"/>
        <v>1.5969910488970517E-2</v>
      </c>
      <c r="G183" s="5">
        <f t="shared" si="17"/>
        <v>0.126372111199309</v>
      </c>
    </row>
    <row r="184" spans="1:7">
      <c r="A184" s="2">
        <v>34151</v>
      </c>
      <c r="B184" s="11">
        <v>-5.32705924133793E-3</v>
      </c>
      <c r="C184" s="11">
        <v>7.2829131652661083E-2</v>
      </c>
      <c r="D184" s="5">
        <f>Alpha+Beta*B184</f>
        <v>-6.6045067022807435E-3</v>
      </c>
      <c r="E184" s="11">
        <f t="shared" si="15"/>
        <v>7.9433638354941827E-2</v>
      </c>
      <c r="F184" s="5">
        <f t="shared" si="16"/>
        <v>6.3097029023036853E-3</v>
      </c>
      <c r="G184" s="5">
        <f t="shared" si="17"/>
        <v>7.9433638354941827E-2</v>
      </c>
    </row>
    <row r="185" spans="1:7">
      <c r="A185" s="2">
        <v>34121</v>
      </c>
      <c r="B185" s="11">
        <v>7.5523667784707562E-4</v>
      </c>
      <c r="C185" s="11">
        <v>-3.4016235021260242E-2</v>
      </c>
      <c r="D185" s="5">
        <f>Alpha+Beta*B185</f>
        <v>-2.5016886719247408E-3</v>
      </c>
      <c r="E185" s="11">
        <f t="shared" si="15"/>
        <v>-3.1514546349335502E-2</v>
      </c>
      <c r="F185" s="5">
        <f t="shared" si="16"/>
        <v>9.9316663160441566E-4</v>
      </c>
      <c r="G185" s="5">
        <f t="shared" si="17"/>
        <v>3.1514546349335502E-2</v>
      </c>
    </row>
    <row r="186" spans="1:7">
      <c r="A186" s="2">
        <v>34092</v>
      </c>
      <c r="B186" s="11">
        <v>2.2717462913741795E-2</v>
      </c>
      <c r="C186" s="11">
        <v>7.1665285832642936E-2</v>
      </c>
      <c r="D186" s="5">
        <f>Alpha+Beta*B186</f>
        <v>1.2312950238222259E-2</v>
      </c>
      <c r="E186" s="11">
        <f t="shared" si="15"/>
        <v>5.9352335594420678E-2</v>
      </c>
      <c r="F186" s="5">
        <f t="shared" si="16"/>
        <v>3.522699740512736E-3</v>
      </c>
      <c r="G186" s="5">
        <f t="shared" si="17"/>
        <v>5.9352335594420678E-2</v>
      </c>
    </row>
    <row r="187" spans="1:7">
      <c r="A187" s="2">
        <v>34060</v>
      </c>
      <c r="B187" s="11">
        <v>-2.5416786591980909E-2</v>
      </c>
      <c r="C187" s="11">
        <v>-0.10126582278481008</v>
      </c>
      <c r="D187" s="5">
        <f>Alpha+Beta*B187</f>
        <v>-2.0156049852157375E-2</v>
      </c>
      <c r="E187" s="11">
        <f t="shared" si="15"/>
        <v>-8.1109772932652702E-2</v>
      </c>
      <c r="F187" s="5">
        <f t="shared" si="16"/>
        <v>6.5787952651864805E-3</v>
      </c>
      <c r="G187" s="5">
        <f t="shared" si="17"/>
        <v>8.1109772932652702E-2</v>
      </c>
    </row>
    <row r="188" spans="1:7">
      <c r="A188" s="2">
        <v>34029</v>
      </c>
      <c r="B188" s="11">
        <v>1.8697279985565477E-2</v>
      </c>
      <c r="C188" s="11">
        <v>1.1676082862523493E-2</v>
      </c>
      <c r="D188" s="5">
        <f>Alpha+Beta*B188</f>
        <v>9.6011323289645154E-3</v>
      </c>
      <c r="E188" s="11">
        <f t="shared" si="15"/>
        <v>2.0749505335589773E-3</v>
      </c>
      <c r="F188" s="5">
        <f t="shared" si="16"/>
        <v>4.3054197167166842E-6</v>
      </c>
      <c r="G188" s="5">
        <f t="shared" si="17"/>
        <v>2.0749505335589773E-3</v>
      </c>
    </row>
    <row r="189" spans="1:7">
      <c r="A189" s="2">
        <v>34001</v>
      </c>
      <c r="B189" s="11">
        <v>1.0483613656046362E-2</v>
      </c>
      <c r="C189" s="11">
        <v>8.5445625511038417E-2</v>
      </c>
      <c r="D189" s="5">
        <f>Alpha+Beta*B189</f>
        <v>4.0605965247489037E-3</v>
      </c>
      <c r="E189" s="11">
        <f t="shared" si="15"/>
        <v>8.138502898628952E-2</v>
      </c>
      <c r="F189" s="5">
        <f t="shared" si="16"/>
        <v>6.6235229430991853E-3</v>
      </c>
      <c r="G189" s="5">
        <f t="shared" si="17"/>
        <v>8.138502898628952E-2</v>
      </c>
    </row>
    <row r="190" spans="1:7">
      <c r="A190" s="2">
        <v>33973</v>
      </c>
      <c r="B190" s="11">
        <v>7.0459709439764824E-3</v>
      </c>
      <c r="C190" s="11">
        <v>0.23162134944612295</v>
      </c>
      <c r="D190" s="5">
        <f>Alpha+Beta*B190</f>
        <v>1.7417316276111664E-3</v>
      </c>
      <c r="E190" s="11">
        <f t="shared" si="15"/>
        <v>0.22987961781851179</v>
      </c>
      <c r="F190" s="5">
        <f t="shared" si="16"/>
        <v>5.2844638688385043E-2</v>
      </c>
      <c r="G190" s="5">
        <f t="shared" si="17"/>
        <v>0.22987961781851179</v>
      </c>
    </row>
    <row r="191" spans="1:7">
      <c r="A191" s="2">
        <v>33939</v>
      </c>
      <c r="B191" s="11">
        <v>1.010780108960231E-2</v>
      </c>
      <c r="C191" s="11">
        <v>-3.3106134371957141E-2</v>
      </c>
      <c r="D191" s="5">
        <f>Alpha+Beta*B191</f>
        <v>3.8070918294614647E-3</v>
      </c>
      <c r="E191" s="11">
        <f t="shared" si="15"/>
        <v>-3.6913226201418604E-2</v>
      </c>
      <c r="F191" s="5">
        <f t="shared" si="16"/>
        <v>1.3625862685970969E-3</v>
      </c>
      <c r="G191" s="5">
        <f t="shared" si="17"/>
        <v>3.6913226201418604E-2</v>
      </c>
    </row>
    <row r="192" spans="1:7">
      <c r="A192" s="2">
        <v>33910</v>
      </c>
      <c r="B192" s="11">
        <v>3.0261775102703774E-2</v>
      </c>
      <c r="C192" s="11">
        <v>3.7373737373737295E-2</v>
      </c>
      <c r="D192" s="5">
        <f>Alpha+Beta*B192</f>
        <v>1.7401972621673686E-2</v>
      </c>
      <c r="E192" s="11">
        <f t="shared" si="15"/>
        <v>1.9971764752063609E-2</v>
      </c>
      <c r="F192" s="5">
        <f t="shared" si="16"/>
        <v>3.9887138731177041E-4</v>
      </c>
      <c r="G192" s="5">
        <f t="shared" si="17"/>
        <v>1.9971764752063609E-2</v>
      </c>
    </row>
    <row r="193" spans="1:7">
      <c r="A193" s="2">
        <v>33878</v>
      </c>
      <c r="B193" s="11">
        <v>2.1062709430349339E-3</v>
      </c>
      <c r="C193" s="11">
        <v>-8.16326530612244E-2</v>
      </c>
      <c r="D193" s="5">
        <f>Alpha+Beta*B193</f>
        <v>-1.5903473270622807E-3</v>
      </c>
      <c r="E193" s="11">
        <f t="shared" si="15"/>
        <v>-8.0042305734162114E-2</v>
      </c>
      <c r="F193" s="5">
        <f t="shared" si="16"/>
        <v>6.4067707072410817E-3</v>
      </c>
      <c r="G193" s="5">
        <f t="shared" si="17"/>
        <v>8.0042305734162114E-2</v>
      </c>
    </row>
    <row r="194" spans="1:7">
      <c r="A194" s="2">
        <v>33848</v>
      </c>
      <c r="B194" s="11">
        <v>9.1056203656740796E-3</v>
      </c>
      <c r="C194" s="11">
        <v>5.5970149253730143E-3</v>
      </c>
      <c r="D194" s="5">
        <f>Alpha+Beta*B194</f>
        <v>3.1310699458766016E-3</v>
      </c>
      <c r="E194" s="11">
        <f t="shared" si="15"/>
        <v>2.4659449794964127E-3</v>
      </c>
      <c r="F194" s="5">
        <f t="shared" si="16"/>
        <v>6.0808846419035633E-6</v>
      </c>
      <c r="G194" s="5">
        <f t="shared" si="17"/>
        <v>2.4659449794964127E-3</v>
      </c>
    </row>
    <row r="195" spans="1:7">
      <c r="A195" s="2">
        <v>33819</v>
      </c>
      <c r="B195" s="11">
        <v>-2.3997548384055083E-2</v>
      </c>
      <c r="C195" s="11">
        <v>2.9284685549688095E-2</v>
      </c>
      <c r="D195" s="5">
        <f>Alpha+Beta*B195</f>
        <v>-1.9198701478086739E-2</v>
      </c>
      <c r="E195" s="11">
        <f t="shared" si="15"/>
        <v>4.8483387027774834E-2</v>
      </c>
      <c r="F195" s="5">
        <f t="shared" si="16"/>
        <v>2.3506388176850052E-3</v>
      </c>
      <c r="G195" s="5">
        <f t="shared" si="17"/>
        <v>4.8483387027774834E-2</v>
      </c>
    </row>
    <row r="196" spans="1:7">
      <c r="A196" s="2">
        <v>33786</v>
      </c>
      <c r="B196" s="11">
        <v>3.937374430342528E-2</v>
      </c>
      <c r="C196" s="11">
        <v>8.3766909469302792E-2</v>
      </c>
      <c r="D196" s="5">
        <f>Alpha+Beta*B196</f>
        <v>2.3548459413092103E-2</v>
      </c>
      <c r="E196" s="11">
        <f t="shared" si="15"/>
        <v>6.0218450056210689E-2</v>
      </c>
      <c r="F196" s="5">
        <f t="shared" si="16"/>
        <v>3.626261727172341E-3</v>
      </c>
      <c r="G196" s="5">
        <f t="shared" si="17"/>
        <v>6.0218450056210689E-2</v>
      </c>
    </row>
    <row r="197" spans="1:7">
      <c r="A197" s="2">
        <v>33756</v>
      </c>
      <c r="B197" s="11">
        <v>-1.7358853978572376E-2</v>
      </c>
      <c r="C197" s="11">
        <v>6.282722513088871E-3</v>
      </c>
      <c r="D197" s="5">
        <f>Alpha+Beta*B197</f>
        <v>-1.4720564362310297E-2</v>
      </c>
      <c r="E197" s="11">
        <f t="shared" si="15"/>
        <v>2.1003286875399166E-2</v>
      </c>
      <c r="F197" s="5">
        <f t="shared" si="16"/>
        <v>4.4113805957031487E-4</v>
      </c>
      <c r="G197" s="5">
        <f t="shared" si="17"/>
        <v>2.1003286875399166E-2</v>
      </c>
    </row>
    <row r="198" spans="1:7">
      <c r="A198" s="2">
        <v>33725</v>
      </c>
      <c r="B198" s="11">
        <v>9.6397156283897843E-4</v>
      </c>
      <c r="C198" s="11">
        <v>1.9210245464247759E-2</v>
      </c>
      <c r="D198" s="5">
        <f>Alpha+Beta*B198</f>
        <v>-2.3608863727456147E-3</v>
      </c>
      <c r="E198" s="11">
        <f t="shared" si="15"/>
        <v>2.1571131836993374E-2</v>
      </c>
      <c r="F198" s="5">
        <f t="shared" si="16"/>
        <v>4.6531372872894917E-4</v>
      </c>
      <c r="G198" s="5">
        <f t="shared" si="17"/>
        <v>2.1571131836993374E-2</v>
      </c>
    </row>
    <row r="199" spans="1:7">
      <c r="A199" s="2">
        <v>33695</v>
      </c>
      <c r="B199" s="11">
        <v>2.7892689935346406E-2</v>
      </c>
      <c r="C199" s="11">
        <v>-2.4973985431841855E-2</v>
      </c>
      <c r="D199" s="5">
        <f>Alpha+Beta*B199</f>
        <v>1.5803904150617581E-2</v>
      </c>
      <c r="E199" s="11">
        <f t="shared" si="15"/>
        <v>-4.077788958245944E-2</v>
      </c>
      <c r="F199" s="5">
        <f t="shared" si="16"/>
        <v>1.6628362787992541E-3</v>
      </c>
      <c r="G199" s="5">
        <f t="shared" si="17"/>
        <v>4.077788958245944E-2</v>
      </c>
    </row>
    <row r="200" spans="1:7">
      <c r="A200" s="2">
        <v>33665</v>
      </c>
      <c r="B200" s="11">
        <v>-2.1831839108311102E-2</v>
      </c>
      <c r="C200" s="11">
        <v>-8.9531027948839437E-2</v>
      </c>
      <c r="D200" s="5">
        <f>Alpha+Beta*B200</f>
        <v>-1.7737820392540633E-2</v>
      </c>
      <c r="E200" s="11">
        <f t="shared" si="15"/>
        <v>-7.179320755629881E-2</v>
      </c>
      <c r="F200" s="5">
        <f t="shared" si="16"/>
        <v>5.1542646512218009E-3</v>
      </c>
      <c r="G200" s="5">
        <f t="shared" si="17"/>
        <v>7.179320755629881E-2</v>
      </c>
    </row>
    <row r="201" spans="1:7">
      <c r="A201" s="2">
        <v>33637</v>
      </c>
      <c r="B201" s="11">
        <v>9.5895102500122703E-3</v>
      </c>
      <c r="C201" s="11">
        <v>-0.10664409648751585</v>
      </c>
      <c r="D201" s="5">
        <f>Alpha+Beta*B201</f>
        <v>3.4574782904471884E-3</v>
      </c>
      <c r="E201" s="11">
        <f t="shared" si="15"/>
        <v>-0.11010157477796305</v>
      </c>
      <c r="F201" s="5">
        <f t="shared" si="16"/>
        <v>1.2122356768587389E-2</v>
      </c>
      <c r="G201" s="5">
        <f t="shared" si="17"/>
        <v>0.11010157477796305</v>
      </c>
    </row>
    <row r="202" spans="1:7">
      <c r="A202" s="2">
        <v>33605</v>
      </c>
      <c r="B202" s="11">
        <v>-1.9923757462418191E-2</v>
      </c>
      <c r="C202" s="11">
        <v>4.6964997784669858E-2</v>
      </c>
      <c r="D202" s="5">
        <f>Alpha+Beta*B202</f>
        <v>-1.6450722249967888E-2</v>
      </c>
      <c r="E202" s="11">
        <f t="shared" si="15"/>
        <v>6.3415720034637746E-2</v>
      </c>
      <c r="F202" s="5">
        <f t="shared" si="16"/>
        <v>4.021553547511555E-3</v>
      </c>
      <c r="G202" s="5">
        <f t="shared" si="17"/>
        <v>6.3415720034637746E-2</v>
      </c>
    </row>
  </sheetData>
  <sortState ref="AA2:AB19">
    <sortCondition ref="AA1"/>
  </sortState>
  <phoneticPr fontId="0" type="noConversion"/>
  <printOptions headings="1" gridLines="1"/>
  <pageMargins left="0.75" right="0.75" top="1" bottom="1" header="0.5" footer="0.5"/>
  <pageSetup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9</vt:i4>
      </vt:variant>
    </vt:vector>
  </HeadingPairs>
  <TitlesOfParts>
    <vt:vector size="12" baseType="lpstr">
      <vt:lpstr>Explanation</vt:lpstr>
      <vt:lpstr>Model</vt:lpstr>
      <vt:lpstr>TSChart</vt:lpstr>
      <vt:lpstr>AbsErrs</vt:lpstr>
      <vt:lpstr>Alpha</vt:lpstr>
      <vt:lpstr>AlphaBeta</vt:lpstr>
      <vt:lpstr>Beta</vt:lpstr>
      <vt:lpstr>Companies</vt:lpstr>
      <vt:lpstr>Model!Print_Area</vt:lpstr>
      <vt:lpstr>SqErrs</vt:lpstr>
      <vt:lpstr>Target</vt:lpstr>
      <vt:lpstr>Weight</vt:lpstr>
    </vt:vector>
  </TitlesOfParts>
  <Company>Kelley School of Business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2009-05-08T18:30:53Z</cp:lastPrinted>
  <dcterms:created xsi:type="dcterms:W3CDTF">1999-07-23T20:13:40Z</dcterms:created>
  <dcterms:modified xsi:type="dcterms:W3CDTF">2009-05-18T00:04:23Z</dcterms:modified>
</cp:coreProperties>
</file>