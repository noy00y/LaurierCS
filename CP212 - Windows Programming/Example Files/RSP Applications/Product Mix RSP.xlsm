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360" yWindow="120" windowWidth="11340" windowHeight="5775" activeTab="3"/>
  </bookViews>
  <sheets>
    <sheet name="Explanation" sheetId="2" r:id="rId1"/>
    <sheet name="Data" sheetId="1" r:id="rId2"/>
    <sheet name="Model" sheetId="3" state="hidden" r:id="rId3"/>
    <sheet name="Report" sheetId="4" r:id="rId4"/>
  </sheets>
  <definedNames>
    <definedName name="Available">Model!$D$17:$D$21</definedName>
    <definedName name="coin_cuttype" localSheetId="2" hidden="1">1</definedName>
    <definedName name="coin_dualtol" localSheetId="2" hidden="1">0.0000001</definedName>
    <definedName name="coin_heurs" localSheetId="2" hidden="1">1</definedName>
    <definedName name="coin_integerpresolve" localSheetId="2" hidden="1">1</definedName>
    <definedName name="coin_presolve1" localSheetId="2" hidden="1">1</definedName>
    <definedName name="coin_primaltol" localSheetId="2" hidden="1">0.0000001</definedName>
    <definedName name="MaxProd">Model!$B$9:$I$9</definedName>
    <definedName name="MaxVal">Model!$B$9:$F$9</definedName>
    <definedName name="MinProd">Model!$B$5:$I$5</definedName>
    <definedName name="MonSummAnchor">Model!$F$15</definedName>
    <definedName name="_xlnm.Print_Area" localSheetId="1">Data!$M$3:$O$9</definedName>
    <definedName name="_xlnm.Print_Area" localSheetId="0">Explanation!$A$1:$K$21</definedName>
    <definedName name="_xlnm.Print_Area" localSheetId="2">Model!$A$1:$K$19</definedName>
    <definedName name="_xlnm.Print_Area" localSheetId="3">Report!$A$1:$K$10</definedName>
    <definedName name="ProdAnchor">Data!$A$4</definedName>
    <definedName name="ProdMixAnchor">Model!$A$3</definedName>
    <definedName name="ProdRepAnchor">Report!$A$9</definedName>
    <definedName name="Produced">Model!$B$7:$I$7</definedName>
    <definedName name="ResAnchor">Data!$M$4</definedName>
    <definedName name="ResRepAnchor">Report!$H$9</definedName>
    <definedName name="ResUseAnchor">Model!$A$16</definedName>
    <definedName name="solver_adj" localSheetId="0" hidden="1">Explanation!$B$7:$H$7</definedName>
    <definedName name="solver_adj" localSheetId="2" hidden="1">Model!$B$7:$I$7</definedName>
    <definedName name="solver_adj_ob" localSheetId="2" hidden="1">0</definedName>
    <definedName name="solver_cha" localSheetId="2" hidden="1">0</definedName>
    <definedName name="solver_chc1" localSheetId="2" hidden="1">0</definedName>
    <definedName name="solver_chc2" localSheetId="2"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p1" localSheetId="2" hidden="1">0</definedName>
    <definedName name="solver_chp2" localSheetId="2"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ir1" localSheetId="2" hidden="1">1</definedName>
    <definedName name="solver_cir2" localSheetId="2"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1" localSheetId="2" hidden="1">" "</definedName>
    <definedName name="solver_con2" localSheetId="2" hidden="1">" "</definedName>
    <definedName name="solver_con3" localSheetId="2" hidden="1">" "</definedName>
    <definedName name="solver_con4" localSheetId="2" hidden="1">" "</definedName>
    <definedName name="solver_con5" localSheetId="2" hidden="1">" "</definedName>
    <definedName name="solver_cvg" localSheetId="0" hidden="1">0.0001</definedName>
    <definedName name="solver_cvg" localSheetId="2" hidden="1">0.0001</definedName>
    <definedName name="solver_cvg" localSheetId="3" hidden="1">0.0001</definedName>
    <definedName name="solver_dia" localSheetId="2" hidden="1">5</definedName>
    <definedName name="solver_drv" localSheetId="0" hidden="1">1</definedName>
    <definedName name="solver_drv" localSheetId="2" hidden="1">1</definedName>
    <definedName name="solver_drv" localSheetId="3" hidden="1">1</definedName>
    <definedName name="solver_eng" localSheetId="0" hidden="1">2</definedName>
    <definedName name="solver_eng" localSheetId="2" hidden="1">2</definedName>
    <definedName name="solver_est" localSheetId="0" hidden="1">1</definedName>
    <definedName name="solver_est" localSheetId="2" hidden="1">1</definedName>
    <definedName name="solver_est" localSheetId="3" hidden="1">1</definedName>
    <definedName name="solver_iao" localSheetId="2" hidden="1">0</definedName>
    <definedName name="solver_ibd" localSheetId="0" hidden="1">2</definedName>
    <definedName name="solver_ibd" localSheetId="2" hidden="1">2</definedName>
    <definedName name="solver_int" localSheetId="2" hidden="1">0</definedName>
    <definedName name="solver_irs" localSheetId="2" hidden="1">0</definedName>
    <definedName name="solver_ism" localSheetId="2" hidden="1">0</definedName>
    <definedName name="solver_itr" localSheetId="0" hidden="1">100</definedName>
    <definedName name="solver_itr" localSheetId="2" hidden="1">100</definedName>
    <definedName name="solver_itr" localSheetId="3" hidden="1">100</definedName>
    <definedName name="solver_kiv" localSheetId="2" hidden="1">2E+30</definedName>
    <definedName name="solver_lhs_ob1" localSheetId="2" hidden="1">0</definedName>
    <definedName name="solver_lhs_ob2" localSheetId="2" hidden="1">0</definedName>
    <definedName name="solver_lhs_ob3" localSheetId="2" hidden="1">0</definedName>
    <definedName name="solver_lhs_ob4" localSheetId="2" hidden="1">0</definedName>
    <definedName name="solver_lhs_ob5" localSheetId="2" hidden="1">0</definedName>
    <definedName name="solver_lhs1" localSheetId="0" hidden="1">Explanation!$B$7:$H$7</definedName>
    <definedName name="solver_lhs1" localSheetId="2" hidden="1">Model!$B$17:$B$21</definedName>
    <definedName name="solver_lhs2" localSheetId="0" hidden="1">Explanation!$B$7:$H$7</definedName>
    <definedName name="solver_lhs2" localSheetId="2" hidden="1">Model!$B$7:$I$7</definedName>
    <definedName name="solver_lhs3" localSheetId="0" hidden="1">Explanation!$B$17:$B$21</definedName>
    <definedName name="solver_lhs3" localSheetId="2" hidden="1">Model!$B$7:$I$7</definedName>
    <definedName name="solver_lhs4" localSheetId="2" hidden="1">Model!$B$7:$I$7</definedName>
    <definedName name="solver_lhs5" localSheetId="2" hidden="1">Model!$B$7:$I$7</definedName>
    <definedName name="solver_lin" localSheetId="0" hidden="1">1</definedName>
    <definedName name="solver_lin" localSheetId="2" hidden="1">1</definedName>
    <definedName name="solver_lin" localSheetId="3" hidden="1">2</definedName>
    <definedName name="solver_lva" localSheetId="0" hidden="1">2</definedName>
    <definedName name="solver_lva" localSheetId="2" hidden="1">2</definedName>
    <definedName name="solver_mda" localSheetId="2" hidden="1">4</definedName>
    <definedName name="solver_mip" localSheetId="0" hidden="1">5000</definedName>
    <definedName name="solver_mip" localSheetId="2" hidden="1">1000</definedName>
    <definedName name="solver_mni" localSheetId="0" hidden="1">30</definedName>
    <definedName name="solver_mni" localSheetId="2" hidden="1">30</definedName>
    <definedName name="solver_mod" localSheetId="2" hidden="1">3</definedName>
    <definedName name="solver_mrt" localSheetId="0" hidden="1">0.075</definedName>
    <definedName name="solver_mrt" localSheetId="2" hidden="1">0.075</definedName>
    <definedName name="solver_neg" localSheetId="0" hidden="1">1</definedName>
    <definedName name="solver_neg" localSheetId="2" hidden="1">1</definedName>
    <definedName name="solver_neg" localSheetId="3" hidden="1">2</definedName>
    <definedName name="solver_nod" localSheetId="0" hidden="1">5000</definedName>
    <definedName name="solver_nod" localSheetId="2" hidden="1">1000</definedName>
    <definedName name="solver_ntr" localSheetId="2" hidden="1">2</definedName>
    <definedName name="solver_ntri" hidden="1">1000</definedName>
    <definedName name="solver_num" localSheetId="0" hidden="1">3</definedName>
    <definedName name="solver_num" localSheetId="2" hidden="1">5</definedName>
    <definedName name="solver_num" localSheetId="3" hidden="1">0</definedName>
    <definedName name="solver_nwt" localSheetId="0" hidden="1">1</definedName>
    <definedName name="solver_nwt" localSheetId="2" hidden="1">1</definedName>
    <definedName name="solver_nwt" localSheetId="3" hidden="1">1</definedName>
    <definedName name="solver_obc" localSheetId="2" hidden="1">0</definedName>
    <definedName name="solver_obp" localSheetId="2" hidden="1">0</definedName>
    <definedName name="solver_ofx" localSheetId="0" hidden="1">2</definedName>
    <definedName name="solver_ofx" localSheetId="2" hidden="1">2</definedName>
    <definedName name="solver_opt" localSheetId="0" hidden="1">Explanation!$G$18</definedName>
    <definedName name="solver_opt" localSheetId="2" hidden="1">Model!$G$18</definedName>
    <definedName name="solver_opt" localSheetId="3" hidden="1">Report!$A$1</definedName>
    <definedName name="solver_opt_ob" localSheetId="2" hidden="1">1</definedName>
    <definedName name="solver_piv" localSheetId="0" hidden="1">0.000001</definedName>
    <definedName name="solver_piv" localSheetId="2" hidden="1">0.000001</definedName>
    <definedName name="solver_pre" localSheetId="0" hidden="1">0.000001</definedName>
    <definedName name="solver_pre" localSheetId="2" hidden="1">0.000001</definedName>
    <definedName name="solver_pre" localSheetId="3" hidden="1">0.000001</definedName>
    <definedName name="solver_pro" localSheetId="0" hidden="1">2</definedName>
    <definedName name="solver_pro" localSheetId="2" hidden="1">2</definedName>
    <definedName name="solver_psi" localSheetId="2" hidden="1">0</definedName>
    <definedName name="solver_rbv" localSheetId="0" hidden="1">1</definedName>
    <definedName name="solver_rbv" localSheetId="2" hidden="1">1</definedName>
    <definedName name="solver_rdp" localSheetId="2" hidden="1">0</definedName>
    <definedName name="solver_red" localSheetId="0" hidden="1">0.000001</definedName>
    <definedName name="solver_red" localSheetId="2" hidden="1">0.000001</definedName>
    <definedName name="solver_rel1" localSheetId="0" hidden="1">3</definedName>
    <definedName name="solver_rel1" localSheetId="2" hidden="1">1</definedName>
    <definedName name="solver_rel2" localSheetId="0" hidden="1">1</definedName>
    <definedName name="solver_rel2" localSheetId="2" hidden="1">1</definedName>
    <definedName name="solver_rel3" localSheetId="0" hidden="1">1</definedName>
    <definedName name="solver_rel3" localSheetId="2" hidden="1">3</definedName>
    <definedName name="solver_rel4" localSheetId="2" hidden="1">3</definedName>
    <definedName name="solver_rel5" localSheetId="2" hidden="1">4</definedName>
    <definedName name="solver_reo" localSheetId="0" hidden="1">2</definedName>
    <definedName name="solver_reo" localSheetId="2" hidden="1">2</definedName>
    <definedName name="solver_rep" localSheetId="0" hidden="1">2</definedName>
    <definedName name="solver_rep" localSheetId="2" hidden="1">2</definedName>
    <definedName name="solver_rhs1" localSheetId="0" hidden="1">Explanation!$B$5:$H$5</definedName>
    <definedName name="solver_rhs1" localSheetId="2" hidden="1">Model!$D$17:$D$21</definedName>
    <definedName name="solver_rhs2" localSheetId="0" hidden="1">Explanation!$B$9:$H$9</definedName>
    <definedName name="solver_rhs2" localSheetId="2" hidden="1">Model!$B$9:$I$9</definedName>
    <definedName name="solver_rhs3" localSheetId="0" hidden="1">Explanation!$D$17:$D$21</definedName>
    <definedName name="solver_rhs3" localSheetId="2" hidden="1">Model!$B$5:$I$5</definedName>
    <definedName name="solver_rhs4" localSheetId="2" hidden="1">0</definedName>
    <definedName name="solver_rlx" localSheetId="0" hidden="1">2</definedName>
    <definedName name="solver_rlx" localSheetId="2" hidden="1">0</definedName>
    <definedName name="solver_rsmp" hidden="1">1</definedName>
    <definedName name="solver_rtr" localSheetId="2" hidden="1">0</definedName>
    <definedName name="solver_rxc1" localSheetId="2" hidden="1">1</definedName>
    <definedName name="solver_rxc2" localSheetId="2" hidden="1">1</definedName>
    <definedName name="solver_rxc3" localSheetId="2" hidden="1">1</definedName>
    <definedName name="solver_rxc4" localSheetId="2" hidden="1">1</definedName>
    <definedName name="solver_rxc5" localSheetId="2" hidden="1">1</definedName>
    <definedName name="solver_rxv" localSheetId="2" hidden="1">1</definedName>
    <definedName name="solver_scl" localSheetId="0" hidden="1">2</definedName>
    <definedName name="solver_scl" localSheetId="2" hidden="1">2</definedName>
    <definedName name="solver_scl" localSheetId="3" hidden="1">2</definedName>
    <definedName name="solver_seed" hidden="1">0</definedName>
    <definedName name="solver_sel" localSheetId="2" hidden="1">1</definedName>
    <definedName name="solver_sho" localSheetId="0" hidden="1">2</definedName>
    <definedName name="solver_sho" localSheetId="2" hidden="1">2</definedName>
    <definedName name="solver_sho" localSheetId="3" hidden="1">2</definedName>
    <definedName name="solver_slv" localSheetId="2" hidden="1">0</definedName>
    <definedName name="solver_slvu" localSheetId="2" hidden="1">0</definedName>
    <definedName name="solver_ssz" localSheetId="0" hidden="1">100</definedName>
    <definedName name="solver_ssz" localSheetId="2" hidden="1">100</definedName>
    <definedName name="solver_std" localSheetId="0" hidden="1">1</definedName>
    <definedName name="solver_std" localSheetId="2" hidden="1">0</definedName>
    <definedName name="solver_tim" localSheetId="0" hidden="1">100</definedName>
    <definedName name="solver_tim" localSheetId="2" hidden="1">100</definedName>
    <definedName name="solver_tim" localSheetId="3" hidden="1">100</definedName>
    <definedName name="solver_tol" localSheetId="0" hidden="1">0.0005</definedName>
    <definedName name="solver_tol" localSheetId="2" hidden="1">0.05</definedName>
    <definedName name="solver_tol" localSheetId="3" hidden="1">0.05</definedName>
    <definedName name="solver_typ" localSheetId="0" hidden="1">1</definedName>
    <definedName name="solver_typ" localSheetId="2" hidden="1">1</definedName>
    <definedName name="solver_typ" localSheetId="3" hidden="1">1</definedName>
    <definedName name="solver_umod" localSheetId="2" hidden="1">1</definedName>
    <definedName name="solver_urs" localSheetId="2" hidden="1">0</definedName>
    <definedName name="solver_val" localSheetId="0" hidden="1">0</definedName>
    <definedName name="solver_val" localSheetId="2" hidden="1">0</definedName>
    <definedName name="solver_val" localSheetId="3" hidden="1">0</definedName>
    <definedName name="solver_var" localSheetId="2" hidden="1">" "</definedName>
    <definedName name="solver_ver" localSheetId="0" hidden="1">2</definedName>
    <definedName name="solver_ver" localSheetId="2" hidden="1">9</definedName>
    <definedName name="solver_vir" localSheetId="2" hidden="1">1</definedName>
    <definedName name="solver_vol" localSheetId="2" hidden="1">0</definedName>
    <definedName name="solver_vst" localSheetId="2" hidden="1">0</definedName>
    <definedName name="TotCost">Model!$G$17</definedName>
    <definedName name="TotProfit">Model!$G$18</definedName>
    <definedName name="TotRev">Model!$G$16</definedName>
    <definedName name="UnitCost">Model!$B$12:$I$12</definedName>
    <definedName name="UnitProfit">Model!$B$13:$I$13</definedName>
    <definedName name="UnitRev">Model!$B$11:$I$11</definedName>
    <definedName name="UnitUseAnchor">Model!$I$16</definedName>
    <definedName name="Used">Model!$B$17:$B$21</definedName>
  </definedNames>
  <calcPr calcId="125725"/>
</workbook>
</file>

<file path=xl/calcChain.xml><?xml version="1.0" encoding="utf-8"?>
<calcChain xmlns="http://schemas.openxmlformats.org/spreadsheetml/2006/main">
  <c r="K14" i="4"/>
  <c r="K13"/>
  <c r="K12"/>
  <c r="K11"/>
  <c r="K10"/>
  <c r="G18" i="3"/>
  <c r="G17"/>
  <c r="G16"/>
  <c r="B21"/>
  <c r="B20"/>
  <c r="B19"/>
  <c r="B18"/>
  <c r="B17"/>
  <c r="I13"/>
  <c r="H13"/>
  <c r="G13"/>
  <c r="F13"/>
  <c r="E13"/>
  <c r="D13"/>
  <c r="C13"/>
  <c r="B13"/>
  <c r="D6" i="1" l="1"/>
  <c r="D7"/>
  <c r="D8"/>
  <c r="D9"/>
  <c r="D10"/>
  <c r="D11"/>
  <c r="D12"/>
  <c r="D13"/>
  <c r="D14"/>
  <c r="D15"/>
  <c r="D16"/>
  <c r="D5"/>
</calcChain>
</file>

<file path=xl/sharedStrings.xml><?xml version="1.0" encoding="utf-8"?>
<sst xmlns="http://schemas.openxmlformats.org/spreadsheetml/2006/main" count="115" uniqueCount="53">
  <si>
    <t>MachineHrs</t>
  </si>
  <si>
    <t>OakFt</t>
  </si>
  <si>
    <t>CherryFt</t>
  </si>
  <si>
    <t>MinUnits</t>
  </si>
  <si>
    <t>MaxUnits</t>
  </si>
  <si>
    <t>Data for Woodworks</t>
  </si>
  <si>
    <t>Data on products: unit price, resources required per unit, minimum and maximum units</t>
  </si>
  <si>
    <t>Data on resources</t>
  </si>
  <si>
    <t>Resource</t>
  </si>
  <si>
    <t>Availability</t>
  </si>
  <si>
    <t>UnitCost</t>
  </si>
  <si>
    <t>SrLaborHrs</t>
  </si>
  <si>
    <t>JrLaborHrs</t>
  </si>
  <si>
    <t>Product code</t>
  </si>
  <si>
    <t>Description</t>
  </si>
  <si>
    <t>UnitPrice</t>
  </si>
  <si>
    <t>Oak end table</t>
  </si>
  <si>
    <t>Cherry rocking chair</t>
  </si>
  <si>
    <t>Oak coffee table</t>
  </si>
  <si>
    <t>Cherry dining table</t>
  </si>
  <si>
    <t>Cherry desk</t>
  </si>
  <si>
    <t>Oak bookshelves</t>
  </si>
  <si>
    <t>Product Mix Application</t>
  </si>
  <si>
    <t>Model formulation</t>
  </si>
  <si>
    <t>Product mix</t>
  </si>
  <si>
    <t>Min</t>
  </si>
  <si>
    <t>Produced</t>
  </si>
  <si>
    <t>Max</t>
  </si>
  <si>
    <t>Resource usage</t>
  </si>
  <si>
    <t>Used</t>
  </si>
  <si>
    <t>Available</t>
  </si>
  <si>
    <t>UnitProfit</t>
  </si>
  <si>
    <t>Monetary summary</t>
  </si>
  <si>
    <t>Total revenue</t>
  </si>
  <si>
    <t>Total cost</t>
  </si>
  <si>
    <t>Total profit</t>
  </si>
  <si>
    <t>Resources used per unit of products</t>
  </si>
  <si>
    <t>Resource/Product code</t>
  </si>
  <si>
    <t>&lt;=</t>
  </si>
  <si>
    <t>Optimal product mix</t>
  </si>
  <si>
    <t>Product data</t>
  </si>
  <si>
    <t>Units produced</t>
  </si>
  <si>
    <t>Revenue</t>
  </si>
  <si>
    <t>Cost</t>
  </si>
  <si>
    <t>Profit</t>
  </si>
  <si>
    <t>Resource data</t>
  </si>
  <si>
    <t>Left over</t>
  </si>
  <si>
    <t>Cherry end table</t>
  </si>
  <si>
    <t>Oak rocking chair</t>
  </si>
  <si>
    <t>Cherry coffee table</t>
  </si>
  <si>
    <t>Oak dining table</t>
  </si>
  <si>
    <t>Oak desk</t>
  </si>
  <si>
    <t>Cherry bookshelves</t>
  </si>
</sst>
</file>

<file path=xl/styles.xml><?xml version="1.0" encoding="utf-8"?>
<styleSheet xmlns="http://schemas.openxmlformats.org/spreadsheetml/2006/main">
  <numFmts count="3">
    <numFmt numFmtId="164" formatCode="&quot;$&quot;#,##0;\-&quot;$&quot;#,##0"/>
    <numFmt numFmtId="165" formatCode="&quot;$&quot;#,##0.00;\-&quot;$&quot;#,##0.00"/>
    <numFmt numFmtId="166" formatCode="0.0"/>
  </numFmts>
  <fonts count="6">
    <font>
      <sz val="10"/>
      <name val="Arial"/>
    </font>
    <font>
      <sz val="11"/>
      <name val="Calibri"/>
      <family val="2"/>
      <scheme val="minor"/>
    </font>
    <font>
      <b/>
      <sz val="11"/>
      <name val="Calibri"/>
      <family val="2"/>
      <scheme val="minor"/>
    </font>
    <font>
      <i/>
      <sz val="11"/>
      <name val="Calibri"/>
      <family val="2"/>
      <scheme val="minor"/>
    </font>
    <font>
      <sz val="11"/>
      <name val="Calibri"/>
      <family val="2"/>
    </font>
    <font>
      <b/>
      <sz val="14"/>
      <name val="Calibri"/>
      <family val="2"/>
      <scheme val="minor"/>
    </font>
  </fonts>
  <fills count="5">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s>
  <borders count="1">
    <border>
      <left/>
      <right/>
      <top/>
      <bottom/>
      <diagonal/>
    </border>
  </borders>
  <cellStyleXfs count="1">
    <xf numFmtId="0" fontId="0" fillId="0" borderId="0"/>
  </cellStyleXfs>
  <cellXfs count="21">
    <xf numFmtId="0" fontId="0" fillId="0" borderId="0" xfId="0"/>
    <xf numFmtId="0" fontId="2" fillId="0" borderId="0" xfId="0" applyFont="1"/>
    <xf numFmtId="0" fontId="1" fillId="0" borderId="0" xfId="0" applyFont="1"/>
    <xf numFmtId="0" fontId="1" fillId="0" borderId="0" xfId="0" applyFont="1" applyAlignment="1">
      <alignment horizontal="left"/>
    </xf>
    <xf numFmtId="0" fontId="1" fillId="0" borderId="0" xfId="0" applyFont="1" applyAlignment="1">
      <alignment horizontal="right"/>
    </xf>
    <xf numFmtId="164" fontId="1" fillId="2" borderId="0" xfId="0" applyNumberFormat="1" applyFont="1" applyFill="1"/>
    <xf numFmtId="0" fontId="1" fillId="3" borderId="0" xfId="0" applyFont="1" applyFill="1"/>
    <xf numFmtId="0" fontId="1" fillId="4" borderId="0" xfId="0" applyFont="1" applyFill="1"/>
    <xf numFmtId="0" fontId="1" fillId="0" borderId="0" xfId="0" applyFont="1" applyFill="1"/>
    <xf numFmtId="0" fontId="2" fillId="0" borderId="0" xfId="0" applyFont="1" applyFill="1"/>
    <xf numFmtId="164" fontId="1" fillId="0" borderId="0" xfId="0" applyNumberFormat="1" applyFont="1" applyFill="1"/>
    <xf numFmtId="0" fontId="3" fillId="0" borderId="0" xfId="0" applyFont="1" applyFill="1"/>
    <xf numFmtId="0" fontId="1" fillId="0" borderId="0" xfId="0" applyFont="1" applyFill="1" applyAlignment="1">
      <alignment horizontal="left"/>
    </xf>
    <xf numFmtId="166" fontId="1" fillId="0" borderId="0" xfId="0" applyNumberFormat="1" applyFont="1" applyFill="1"/>
    <xf numFmtId="1" fontId="1" fillId="0" borderId="0" xfId="0" applyNumberFormat="1" applyFont="1"/>
    <xf numFmtId="165" fontId="1" fillId="0" borderId="0" xfId="0" applyNumberFormat="1" applyFont="1"/>
    <xf numFmtId="164" fontId="1" fillId="0" borderId="0" xfId="0" applyNumberFormat="1" applyFont="1"/>
    <xf numFmtId="166" fontId="1" fillId="0" borderId="0" xfId="0" applyNumberFormat="1" applyFont="1"/>
    <xf numFmtId="0" fontId="1" fillId="0" borderId="0" xfId="0" applyFont="1" applyAlignment="1">
      <alignment horizontal="center"/>
    </xf>
    <xf numFmtId="0" fontId="1" fillId="0" borderId="0" xfId="0" applyFont="1" applyFill="1" applyAlignment="1">
      <alignment horizontal="right"/>
    </xf>
    <xf numFmtId="0" fontId="5" fillId="0" borderId="0" xfId="0" applyFont="1" applyFill="1" applyAlignment="1">
      <alignment horizontal="center"/>
    </xf>
  </cellXfs>
  <cellStyles count="1">
    <cellStyle name="Normal" xfId="0" builtinId="0"/>
  </cellStyles>
  <dxfs count="0"/>
  <tableStyles count="0" defaultTableStyle="TableStyleMedium9" defaultPivotStyle="PivotStyleLight16"/>
  <colors>
    <mruColors>
      <color rgb="FFCCFF99"/>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114300</xdr:colOff>
      <xdr:row>5</xdr:row>
      <xdr:rowOff>66675</xdr:rowOff>
    </xdr:from>
    <xdr:to>
      <xdr:col>10</xdr:col>
      <xdr:colOff>0</xdr:colOff>
      <xdr:row>19</xdr:row>
      <xdr:rowOff>95250</xdr:rowOff>
    </xdr:to>
    <xdr:sp macro="" textlink="">
      <xdr:nvSpPr>
        <xdr:cNvPr id="3" name="TextBox 2"/>
        <xdr:cNvSpPr txBox="1"/>
      </xdr:nvSpPr>
      <xdr:spPr>
        <a:xfrm>
          <a:off x="723900" y="1066800"/>
          <a:ext cx="5372100" cy="2695575"/>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rtl="0"/>
          <a:r>
            <a:rPr lang="en-US" sz="1100" b="0" i="0">
              <a:solidFill>
                <a:schemeClr val="dk1"/>
              </a:solidFill>
              <a:latin typeface="+mn-lt"/>
              <a:ea typeface="+mn-ea"/>
              <a:cs typeface="+mn-cs"/>
            </a:rPr>
            <a:t>The Woodworks Company manufactures and sells custom-made furniture.  The products, their unit prices, their unit resource usages, and their minimum and maximum production quantities for the next month appear on the data sheet.  This sheet also lists the resources, their availabilities for the next month, and their unit costs.  The problem is to find the mix of products that maximizes profit.</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This application allows the user to choose which of the potential products to include in the product mix.  (If a product is not chosen, it won't even be considered for the optimal product mix.)  The product mix model is then formulated on a Model sheet, it is solved with Solver, and a report describing the optimal product mix is presented on a Report sheet.</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The application searches the Data sheet for all product and resource data.  Therefore, the user can add products and/or resources to this sheet, along with the corresponding data, and the application will include these new entries when it runs.</a:t>
          </a:r>
          <a:endParaRPr lang="en-US"/>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1</xdr:row>
      <xdr:rowOff>123825</xdr:rowOff>
    </xdr:from>
    <xdr:to>
      <xdr:col>12</xdr:col>
      <xdr:colOff>238125</xdr:colOff>
      <xdr:row>1</xdr:row>
      <xdr:rowOff>1171575</xdr:rowOff>
    </xdr:to>
    <xdr:sp macro="" textlink="">
      <xdr:nvSpPr>
        <xdr:cNvPr id="3" name="TextBox 2"/>
        <xdr:cNvSpPr txBox="1"/>
      </xdr:nvSpPr>
      <xdr:spPr>
        <a:xfrm>
          <a:off x="171450" y="314325"/>
          <a:ext cx="8439150" cy="104775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0" i="0">
              <a:solidFill>
                <a:schemeClr val="dk1"/>
              </a:solidFill>
              <a:latin typeface="+mn-lt"/>
              <a:ea typeface="+mn-ea"/>
              <a:cs typeface="+mn-cs"/>
            </a:rPr>
            <a:t>You can add more products, or even more resources, to this sheet.  Just make sure that the resources starting in cell G4 match up with the resources in the Resoures table (now starting in column M).  If more resources are added, unit usage data for them should be placed in newly inserted columns to the right of column K.  Note the </a:t>
          </a:r>
          <a:r>
            <a:rPr lang="en-US" sz="1100" b="0" i="1">
              <a:solidFill>
                <a:schemeClr val="dk1"/>
              </a:solidFill>
              <a:latin typeface="+mn-lt"/>
              <a:ea typeface="+mn-ea"/>
              <a:cs typeface="+mn-cs"/>
            </a:rPr>
            <a:t>formulas</a:t>
          </a:r>
          <a:r>
            <a:rPr lang="en-US" sz="1100" b="0" i="0">
              <a:solidFill>
                <a:schemeClr val="dk1"/>
              </a:solidFill>
              <a:latin typeface="+mn-lt"/>
              <a:ea typeface="+mn-ea"/>
              <a:cs typeface="+mn-cs"/>
            </a:rPr>
            <a:t> for unit costs in column D.  The MMult function, rather than the Sumproduct function, is required because the unit usages are in a row, whereas the unit resource costs are in a column. Also, note that the MinUnits and MaxUnits cells can be left blank.  If a MinUnits cell is blank, 0 will be used.  If a MaxUnits cell is blank, a suitably large value will be used. </a:t>
          </a:r>
          <a:endParaRPr lang="en-US"/>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pageSetUpPr fitToPage="1"/>
  </sheetPr>
  <dimension ref="B2:J2"/>
  <sheetViews>
    <sheetView showGridLines="0" workbookViewId="0">
      <selection activeCell="F4" sqref="F4"/>
    </sheetView>
  </sheetViews>
  <sheetFormatPr defaultRowHeight="15"/>
  <cols>
    <col min="1" max="16384" width="9.140625" style="8"/>
  </cols>
  <sheetData>
    <row r="2" spans="2:10" ht="18.75">
      <c r="B2" s="20" t="s">
        <v>22</v>
      </c>
      <c r="C2" s="20"/>
      <c r="D2" s="20"/>
      <c r="E2" s="20"/>
      <c r="F2" s="20"/>
      <c r="G2" s="20"/>
      <c r="H2" s="20"/>
      <c r="I2" s="20"/>
      <c r="J2" s="20"/>
    </row>
  </sheetData>
  <mergeCells count="1">
    <mergeCell ref="B2:J2"/>
  </mergeCells>
  <phoneticPr fontId="0" type="noConversion"/>
  <pageMargins left="0.75" right="0.75" top="1" bottom="1" header="0.5" footer="0.5"/>
  <pageSetup paperSize="5" scale="89"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1">
    <pageSetUpPr fitToPage="1"/>
  </sheetPr>
  <dimension ref="A1:O16"/>
  <sheetViews>
    <sheetView workbookViewId="0">
      <selection activeCell="M4" sqref="M4"/>
    </sheetView>
  </sheetViews>
  <sheetFormatPr defaultRowHeight="15"/>
  <cols>
    <col min="1" max="1" width="12.7109375" style="2" customWidth="1"/>
    <col min="2" max="2" width="17.85546875" style="2" bestFit="1" customWidth="1"/>
    <col min="3" max="6" width="9.140625" style="2"/>
    <col min="7" max="7" width="10.28515625" style="2" bestFit="1" customWidth="1"/>
    <col min="8" max="8" width="10.140625" style="2" bestFit="1" customWidth="1"/>
    <col min="9" max="9" width="10.85546875" style="2" bestFit="1" customWidth="1"/>
    <col min="10" max="12" width="9.140625" style="2"/>
    <col min="13" max="13" width="11.42578125" style="2" customWidth="1"/>
    <col min="14" max="14" width="10.140625" style="2" customWidth="1"/>
    <col min="15" max="15" width="11" style="2" bestFit="1" customWidth="1"/>
    <col min="16" max="16384" width="9.140625" style="2"/>
  </cols>
  <sheetData>
    <row r="1" spans="1:15">
      <c r="A1" s="1" t="s">
        <v>5</v>
      </c>
      <c r="B1" s="1"/>
    </row>
    <row r="2" spans="1:15" s="8" customFormat="1" ht="105" customHeight="1"/>
    <row r="3" spans="1:15">
      <c r="A3" s="1" t="s">
        <v>6</v>
      </c>
      <c r="B3" s="1"/>
      <c r="M3" s="1" t="s">
        <v>7</v>
      </c>
    </row>
    <row r="4" spans="1:15" s="4" customFormat="1">
      <c r="A4" s="3" t="s">
        <v>13</v>
      </c>
      <c r="B4" s="3" t="s">
        <v>14</v>
      </c>
      <c r="C4" s="4" t="s">
        <v>15</v>
      </c>
      <c r="D4" s="4" t="s">
        <v>10</v>
      </c>
      <c r="E4" s="4" t="s">
        <v>3</v>
      </c>
      <c r="F4" s="4" t="s">
        <v>4</v>
      </c>
      <c r="G4" s="4" t="s">
        <v>11</v>
      </c>
      <c r="H4" s="4" t="s">
        <v>12</v>
      </c>
      <c r="I4" s="4" t="s">
        <v>0</v>
      </c>
      <c r="J4" s="4" t="s">
        <v>1</v>
      </c>
      <c r="K4" s="4" t="s">
        <v>2</v>
      </c>
      <c r="M4" s="3" t="s">
        <v>8</v>
      </c>
      <c r="N4" s="4" t="s">
        <v>10</v>
      </c>
      <c r="O4" s="4" t="s">
        <v>9</v>
      </c>
    </row>
    <row r="5" spans="1:15">
      <c r="A5" s="3">
        <v>1243</v>
      </c>
      <c r="B5" s="2" t="s">
        <v>16</v>
      </c>
      <c r="C5" s="5">
        <v>190</v>
      </c>
      <c r="D5" s="5">
        <f t="shared" ref="D5:D16" si="0">MMULT(G5:K5,$N$5:$N$9)</f>
        <v>129.6</v>
      </c>
      <c r="E5" s="6">
        <v>20</v>
      </c>
      <c r="F5" s="6">
        <v>40</v>
      </c>
      <c r="G5" s="7">
        <v>0.5</v>
      </c>
      <c r="H5" s="7">
        <v>1.3</v>
      </c>
      <c r="I5" s="7">
        <v>0.4</v>
      </c>
      <c r="J5" s="7">
        <v>2.8</v>
      </c>
      <c r="K5" s="7">
        <v>0</v>
      </c>
      <c r="M5" s="2" t="s">
        <v>11</v>
      </c>
      <c r="N5" s="5">
        <v>20</v>
      </c>
      <c r="O5" s="7">
        <v>263</v>
      </c>
    </row>
    <row r="6" spans="1:15">
      <c r="A6" s="3">
        <v>2243</v>
      </c>
      <c r="B6" s="2" t="s">
        <v>47</v>
      </c>
      <c r="C6" s="5">
        <v>203</v>
      </c>
      <c r="D6" s="5">
        <f t="shared" si="0"/>
        <v>146.4</v>
      </c>
      <c r="E6" s="6"/>
      <c r="F6" s="6">
        <v>30</v>
      </c>
      <c r="G6" s="7">
        <v>0.7</v>
      </c>
      <c r="H6" s="7">
        <v>1.2</v>
      </c>
      <c r="I6" s="7">
        <v>0.4</v>
      </c>
      <c r="J6" s="7">
        <v>0</v>
      </c>
      <c r="K6" s="7">
        <v>2.8</v>
      </c>
      <c r="M6" s="2" t="s">
        <v>12</v>
      </c>
      <c r="N6" s="5">
        <v>12</v>
      </c>
      <c r="O6" s="7">
        <v>450</v>
      </c>
    </row>
    <row r="7" spans="1:15">
      <c r="A7" s="3">
        <v>1456</v>
      </c>
      <c r="B7" s="2" t="s">
        <v>48</v>
      </c>
      <c r="C7" s="5">
        <v>371</v>
      </c>
      <c r="D7" s="5">
        <f t="shared" si="0"/>
        <v>276.8</v>
      </c>
      <c r="E7" s="6">
        <v>5</v>
      </c>
      <c r="F7" s="6">
        <v>20</v>
      </c>
      <c r="G7" s="7">
        <v>2.1</v>
      </c>
      <c r="H7" s="7">
        <v>2.9</v>
      </c>
      <c r="I7" s="7">
        <v>1.2</v>
      </c>
      <c r="J7" s="7">
        <v>5.2</v>
      </c>
      <c r="K7" s="7">
        <v>0</v>
      </c>
      <c r="M7" s="2" t="s">
        <v>0</v>
      </c>
      <c r="N7" s="5">
        <v>15</v>
      </c>
      <c r="O7" s="7">
        <v>225</v>
      </c>
    </row>
    <row r="8" spans="1:15">
      <c r="A8" s="3">
        <v>2456</v>
      </c>
      <c r="B8" s="2" t="s">
        <v>17</v>
      </c>
      <c r="C8" s="5">
        <v>407</v>
      </c>
      <c r="D8" s="5">
        <f t="shared" si="0"/>
        <v>308.39999999999998</v>
      </c>
      <c r="E8" s="6">
        <v>5</v>
      </c>
      <c r="F8" s="6">
        <v>15</v>
      </c>
      <c r="G8" s="7">
        <v>2.5</v>
      </c>
      <c r="H8" s="7">
        <v>2.7</v>
      </c>
      <c r="I8" s="7">
        <v>1.2</v>
      </c>
      <c r="J8" s="7">
        <v>0</v>
      </c>
      <c r="K8" s="7">
        <v>5.2</v>
      </c>
      <c r="M8" s="2" t="s">
        <v>1</v>
      </c>
      <c r="N8" s="5">
        <v>35</v>
      </c>
      <c r="O8" s="7">
        <v>488</v>
      </c>
    </row>
    <row r="9" spans="1:15">
      <c r="A9" s="3">
        <v>1372</v>
      </c>
      <c r="B9" s="2" t="s">
        <v>18</v>
      </c>
      <c r="C9" s="5">
        <v>238</v>
      </c>
      <c r="D9" s="5">
        <f t="shared" si="0"/>
        <v>167.4</v>
      </c>
      <c r="E9" s="6">
        <v>10</v>
      </c>
      <c r="F9" s="6">
        <v>30</v>
      </c>
      <c r="G9" s="7">
        <v>1.3</v>
      </c>
      <c r="H9" s="7">
        <v>1.7</v>
      </c>
      <c r="I9" s="7">
        <v>0.6</v>
      </c>
      <c r="J9" s="7">
        <v>3.2</v>
      </c>
      <c r="K9" s="7">
        <v>0</v>
      </c>
      <c r="M9" s="2" t="s">
        <v>2</v>
      </c>
      <c r="N9" s="5">
        <v>40</v>
      </c>
      <c r="O9" s="7">
        <v>638</v>
      </c>
    </row>
    <row r="10" spans="1:15">
      <c r="A10" s="3">
        <v>2372</v>
      </c>
      <c r="B10" s="2" t="s">
        <v>49</v>
      </c>
      <c r="C10" s="5">
        <v>259</v>
      </c>
      <c r="D10" s="5">
        <f t="shared" si="0"/>
        <v>185</v>
      </c>
      <c r="E10" s="6"/>
      <c r="F10" s="6">
        <v>10</v>
      </c>
      <c r="G10" s="7">
        <v>1.5</v>
      </c>
      <c r="H10" s="7">
        <v>1.5</v>
      </c>
      <c r="I10" s="7">
        <v>0.6</v>
      </c>
      <c r="J10" s="7">
        <v>0</v>
      </c>
      <c r="K10" s="7">
        <v>3.2</v>
      </c>
    </row>
    <row r="11" spans="1:15">
      <c r="A11" s="3">
        <v>1531</v>
      </c>
      <c r="B11" s="2" t="s">
        <v>50</v>
      </c>
      <c r="C11" s="5">
        <v>837</v>
      </c>
      <c r="D11" s="5">
        <f t="shared" si="0"/>
        <v>647.9</v>
      </c>
      <c r="E11" s="6"/>
      <c r="F11" s="6"/>
      <c r="G11" s="7">
        <v>1.9</v>
      </c>
      <c r="H11" s="7">
        <v>3.2</v>
      </c>
      <c r="I11" s="7">
        <v>1.7</v>
      </c>
      <c r="J11" s="7">
        <v>15.6</v>
      </c>
      <c r="K11" s="7">
        <v>0</v>
      </c>
    </row>
    <row r="12" spans="1:15">
      <c r="A12" s="3">
        <v>2531</v>
      </c>
      <c r="B12" s="2" t="s">
        <v>19</v>
      </c>
      <c r="C12" s="5">
        <v>964</v>
      </c>
      <c r="D12" s="5">
        <f t="shared" si="0"/>
        <v>723.6</v>
      </c>
      <c r="E12" s="6"/>
      <c r="F12" s="6">
        <v>10</v>
      </c>
      <c r="G12" s="7">
        <v>2.1</v>
      </c>
      <c r="H12" s="7">
        <v>2.8</v>
      </c>
      <c r="I12" s="7">
        <v>1.6</v>
      </c>
      <c r="J12" s="7">
        <v>0</v>
      </c>
      <c r="K12" s="7">
        <v>15.6</v>
      </c>
    </row>
    <row r="13" spans="1:15">
      <c r="A13" s="3">
        <v>1635</v>
      </c>
      <c r="B13" s="2" t="s">
        <v>51</v>
      </c>
      <c r="C13" s="5">
        <v>1084</v>
      </c>
      <c r="D13" s="5">
        <f t="shared" si="0"/>
        <v>840.6</v>
      </c>
      <c r="E13" s="6">
        <v>5</v>
      </c>
      <c r="F13" s="6"/>
      <c r="G13" s="7">
        <v>4.3</v>
      </c>
      <c r="H13" s="7">
        <v>5.8</v>
      </c>
      <c r="I13" s="7">
        <v>3.2</v>
      </c>
      <c r="J13" s="7">
        <v>18.2</v>
      </c>
      <c r="K13" s="7">
        <v>0</v>
      </c>
    </row>
    <row r="14" spans="1:15">
      <c r="A14" s="3">
        <v>2635</v>
      </c>
      <c r="B14" s="2" t="s">
        <v>20</v>
      </c>
      <c r="C14" s="5">
        <v>1214</v>
      </c>
      <c r="D14" s="5">
        <f t="shared" si="0"/>
        <v>937.7</v>
      </c>
      <c r="E14" s="6">
        <v>5</v>
      </c>
      <c r="F14" s="6"/>
      <c r="G14" s="7">
        <v>4.5</v>
      </c>
      <c r="H14" s="7">
        <v>5.6</v>
      </c>
      <c r="I14" s="7">
        <v>3.5</v>
      </c>
      <c r="J14" s="7">
        <v>0</v>
      </c>
      <c r="K14" s="7">
        <v>18.2</v>
      </c>
    </row>
    <row r="15" spans="1:15">
      <c r="A15" s="3">
        <v>1367</v>
      </c>
      <c r="B15" s="2" t="s">
        <v>21</v>
      </c>
      <c r="C15" s="5">
        <v>401</v>
      </c>
      <c r="D15" s="5">
        <f t="shared" si="0"/>
        <v>314.5</v>
      </c>
      <c r="E15" s="6">
        <v>15</v>
      </c>
      <c r="F15" s="6">
        <v>30</v>
      </c>
      <c r="G15" s="7">
        <v>1.8</v>
      </c>
      <c r="H15" s="7">
        <v>2.5</v>
      </c>
      <c r="I15" s="7">
        <v>2.1</v>
      </c>
      <c r="J15" s="7">
        <v>6.2</v>
      </c>
      <c r="K15" s="7">
        <v>0</v>
      </c>
    </row>
    <row r="16" spans="1:15">
      <c r="A16" s="3">
        <v>2367</v>
      </c>
      <c r="B16" s="2" t="s">
        <v>52</v>
      </c>
      <c r="C16" s="5">
        <v>455</v>
      </c>
      <c r="D16" s="5">
        <f t="shared" si="0"/>
        <v>349</v>
      </c>
      <c r="E16" s="6"/>
      <c r="F16" s="6">
        <v>40</v>
      </c>
      <c r="G16" s="7">
        <v>1.9</v>
      </c>
      <c r="H16" s="7">
        <v>2.5</v>
      </c>
      <c r="I16" s="7">
        <v>2.2000000000000002</v>
      </c>
      <c r="J16" s="7">
        <v>0</v>
      </c>
      <c r="K16" s="7">
        <v>6.2</v>
      </c>
    </row>
  </sheetData>
  <phoneticPr fontId="0" type="noConversion"/>
  <printOptions headings="1" gridLines="1"/>
  <pageMargins left="0.75" right="0.75" top="1" bottom="1" header="0.5" footer="0.5"/>
  <pageSetup orientation="portrait" r:id="rId1"/>
  <headerFooter alignWithMargins="0"/>
  <ignoredErrors>
    <ignoredError sqref="D5:D16" formulaRange="1"/>
  </ignoredErrors>
  <drawing r:id="rId2"/>
</worksheet>
</file>

<file path=xl/worksheets/sheet3.xml><?xml version="1.0" encoding="utf-8"?>
<worksheet xmlns="http://schemas.openxmlformats.org/spreadsheetml/2006/main" xmlns:r="http://schemas.openxmlformats.org/officeDocument/2006/relationships">
  <sheetPr codeName="Sheet3">
    <pageSetUpPr fitToPage="1"/>
  </sheetPr>
  <dimension ref="A1:Q21"/>
  <sheetViews>
    <sheetView workbookViewId="0">
      <selection activeCell="G18" sqref="G18"/>
    </sheetView>
  </sheetViews>
  <sheetFormatPr defaultRowHeight="15"/>
  <cols>
    <col min="1" max="1" width="16.28515625" style="3" customWidth="1"/>
    <col min="2" max="2" width="9.140625" style="17"/>
    <col min="3" max="3" width="9.140625" style="18"/>
    <col min="4" max="4" width="9.140625" style="17"/>
    <col min="5" max="5" width="9.140625" style="2"/>
    <col min="6" max="6" width="13.5703125" style="2" customWidth="1"/>
    <col min="7" max="7" width="9.140625" style="2"/>
    <col min="8" max="8" width="10.42578125" style="2" customWidth="1"/>
    <col min="9" max="9" width="22" style="2" customWidth="1"/>
    <col min="10" max="14" width="8.140625" style="2" customWidth="1"/>
    <col min="15" max="16384" width="9.140625" style="2"/>
  </cols>
  <sheetData>
    <row r="1" spans="1:17">
      <c r="A1" s="1" t="s">
        <v>23</v>
      </c>
      <c r="B1" s="2"/>
      <c r="C1" s="2"/>
      <c r="D1" s="2"/>
    </row>
    <row r="2" spans="1:17">
      <c r="A2" s="2"/>
      <c r="B2" s="2"/>
      <c r="C2" s="2"/>
      <c r="D2" s="2"/>
    </row>
    <row r="3" spans="1:17">
      <c r="A3" s="1" t="s">
        <v>24</v>
      </c>
      <c r="B3" s="2"/>
      <c r="C3" s="2"/>
      <c r="D3" s="2"/>
    </row>
    <row r="4" spans="1:17">
      <c r="A4" s="2" t="s">
        <v>13</v>
      </c>
      <c r="B4" s="2">
        <v>1243</v>
      </c>
      <c r="C4" s="2">
        <v>2243</v>
      </c>
      <c r="D4" s="2">
        <v>1456</v>
      </c>
      <c r="E4" s="2">
        <v>2456</v>
      </c>
      <c r="F4" s="2">
        <v>1372</v>
      </c>
      <c r="G4" s="2">
        <v>2372</v>
      </c>
      <c r="H4" s="2">
        <v>1531</v>
      </c>
      <c r="I4" s="2">
        <v>2531</v>
      </c>
    </row>
    <row r="5" spans="1:17" s="14" customFormat="1">
      <c r="A5" s="14" t="s">
        <v>25</v>
      </c>
      <c r="B5" s="14">
        <v>20</v>
      </c>
      <c r="C5" s="14">
        <v>0</v>
      </c>
      <c r="D5" s="14">
        <v>5</v>
      </c>
      <c r="E5" s="14">
        <v>5</v>
      </c>
      <c r="F5" s="14">
        <v>10</v>
      </c>
      <c r="G5" s="14">
        <v>0</v>
      </c>
      <c r="H5" s="14">
        <v>0</v>
      </c>
      <c r="I5" s="14">
        <v>0</v>
      </c>
    </row>
    <row r="6" spans="1:17" s="4" customFormat="1">
      <c r="B6" s="4" t="s">
        <v>38</v>
      </c>
      <c r="C6" s="4" t="s">
        <v>38</v>
      </c>
      <c r="D6" s="4" t="s">
        <v>38</v>
      </c>
      <c r="E6" s="4" t="s">
        <v>38</v>
      </c>
      <c r="F6" s="4" t="s">
        <v>38</v>
      </c>
      <c r="G6" s="4" t="s">
        <v>38</v>
      </c>
      <c r="H6" s="4" t="s">
        <v>38</v>
      </c>
      <c r="I6" s="4" t="s">
        <v>38</v>
      </c>
    </row>
    <row r="7" spans="1:17" s="14" customFormat="1">
      <c r="A7" s="14" t="s">
        <v>26</v>
      </c>
      <c r="B7" s="14">
        <v>40</v>
      </c>
      <c r="C7" s="14">
        <v>30</v>
      </c>
      <c r="D7" s="14">
        <v>20</v>
      </c>
      <c r="E7" s="14">
        <v>15</v>
      </c>
      <c r="F7" s="14">
        <v>30</v>
      </c>
      <c r="G7" s="14">
        <v>10</v>
      </c>
      <c r="H7" s="14">
        <v>11</v>
      </c>
      <c r="I7" s="14">
        <v>10</v>
      </c>
    </row>
    <row r="8" spans="1:17" s="4" customFormat="1">
      <c r="B8" s="4" t="s">
        <v>38</v>
      </c>
      <c r="C8" s="4" t="s">
        <v>38</v>
      </c>
      <c r="D8" s="4" t="s">
        <v>38</v>
      </c>
      <c r="E8" s="4" t="s">
        <v>38</v>
      </c>
      <c r="F8" s="4" t="s">
        <v>38</v>
      </c>
      <c r="G8" s="4" t="s">
        <v>38</v>
      </c>
      <c r="H8" s="4" t="s">
        <v>38</v>
      </c>
      <c r="I8" s="4" t="s">
        <v>38</v>
      </c>
    </row>
    <row r="9" spans="1:17" s="14" customFormat="1">
      <c r="A9" s="14" t="s">
        <v>27</v>
      </c>
      <c r="B9" s="14">
        <v>40</v>
      </c>
      <c r="C9" s="14">
        <v>30</v>
      </c>
      <c r="D9" s="14">
        <v>20</v>
      </c>
      <c r="E9" s="14">
        <v>15</v>
      </c>
      <c r="F9" s="14">
        <v>30</v>
      </c>
      <c r="G9" s="14">
        <v>10</v>
      </c>
      <c r="H9" s="14">
        <v>31</v>
      </c>
      <c r="I9" s="14">
        <v>10</v>
      </c>
    </row>
    <row r="10" spans="1:17">
      <c r="A10" s="2"/>
      <c r="B10" s="2"/>
      <c r="C10" s="2"/>
      <c r="D10" s="2"/>
    </row>
    <row r="11" spans="1:17" s="15" customFormat="1">
      <c r="A11" s="15" t="s">
        <v>15</v>
      </c>
      <c r="B11" s="15">
        <v>190</v>
      </c>
      <c r="C11" s="15">
        <v>203</v>
      </c>
      <c r="D11" s="15">
        <v>371</v>
      </c>
      <c r="E11" s="15">
        <v>407</v>
      </c>
      <c r="F11" s="15">
        <v>238</v>
      </c>
      <c r="G11" s="15">
        <v>259</v>
      </c>
      <c r="H11" s="15">
        <v>837</v>
      </c>
      <c r="I11" s="15">
        <v>964</v>
      </c>
    </row>
    <row r="12" spans="1:17" s="15" customFormat="1">
      <c r="A12" s="15" t="s">
        <v>10</v>
      </c>
      <c r="B12" s="15">
        <v>129.6</v>
      </c>
      <c r="C12" s="15">
        <v>146.4</v>
      </c>
      <c r="D12" s="15">
        <v>276.8</v>
      </c>
      <c r="E12" s="15">
        <v>308.39999999999998</v>
      </c>
      <c r="F12" s="15">
        <v>167.4</v>
      </c>
      <c r="G12" s="15">
        <v>185</v>
      </c>
      <c r="H12" s="15">
        <v>647.9</v>
      </c>
      <c r="I12" s="15">
        <v>723.6</v>
      </c>
    </row>
    <row r="13" spans="1:17" s="15" customFormat="1">
      <c r="A13" s="15" t="s">
        <v>31</v>
      </c>
      <c r="B13" s="15">
        <f>B11-B12</f>
        <v>60.400000000000006</v>
      </c>
      <c r="C13" s="15">
        <f>C11-C12</f>
        <v>56.599999999999994</v>
      </c>
      <c r="D13" s="15">
        <f>D11-D12</f>
        <v>94.199999999999989</v>
      </c>
      <c r="E13" s="15">
        <f>E11-E12</f>
        <v>98.600000000000023</v>
      </c>
      <c r="F13" s="15">
        <f>F11-F12</f>
        <v>70.599999999999994</v>
      </c>
      <c r="G13" s="15">
        <f>G11-G12</f>
        <v>74</v>
      </c>
      <c r="H13" s="15">
        <f>H11-H12</f>
        <v>189.10000000000002</v>
      </c>
      <c r="I13" s="15">
        <f>I11-I12</f>
        <v>240.39999999999998</v>
      </c>
    </row>
    <row r="14" spans="1:17">
      <c r="A14" s="2"/>
      <c r="B14" s="2"/>
      <c r="C14" s="2"/>
      <c r="D14" s="2"/>
    </row>
    <row r="15" spans="1:17">
      <c r="A15" s="1" t="s">
        <v>28</v>
      </c>
      <c r="B15" s="2"/>
      <c r="C15" s="2"/>
      <c r="D15" s="2"/>
      <c r="F15" s="1" t="s">
        <v>32</v>
      </c>
      <c r="I15" s="1" t="s">
        <v>36</v>
      </c>
    </row>
    <row r="16" spans="1:17">
      <c r="A16" s="2" t="s">
        <v>8</v>
      </c>
      <c r="B16" s="4" t="s">
        <v>29</v>
      </c>
      <c r="C16" s="4"/>
      <c r="D16" s="4" t="s">
        <v>30</v>
      </c>
      <c r="F16" s="3" t="s">
        <v>33</v>
      </c>
      <c r="G16" s="16">
        <f>SUMPRODUCT(Produced,UnitRev)</f>
        <v>55792</v>
      </c>
      <c r="I16" s="2" t="s">
        <v>37</v>
      </c>
      <c r="J16" s="2">
        <v>1243</v>
      </c>
      <c r="K16" s="2">
        <v>2243</v>
      </c>
      <c r="L16" s="2">
        <v>1456</v>
      </c>
      <c r="M16" s="2">
        <v>2456</v>
      </c>
      <c r="N16" s="2">
        <v>1372</v>
      </c>
      <c r="O16" s="2">
        <v>2372</v>
      </c>
      <c r="P16" s="2">
        <v>1531</v>
      </c>
      <c r="Q16" s="2">
        <v>2531</v>
      </c>
    </row>
    <row r="17" spans="1:17">
      <c r="A17" s="3" t="s">
        <v>11</v>
      </c>
      <c r="B17" s="17">
        <f>SUMPRODUCT(Produced,$J$17:$Q$17)</f>
        <v>216.4</v>
      </c>
      <c r="C17" s="18" t="s">
        <v>38</v>
      </c>
      <c r="D17" s="17">
        <v>263</v>
      </c>
      <c r="F17" s="3" t="s">
        <v>34</v>
      </c>
      <c r="G17" s="16">
        <f>SUMPRODUCT(Produced,UnitCost)</f>
        <v>40972.9</v>
      </c>
      <c r="I17" s="2" t="s">
        <v>11</v>
      </c>
      <c r="J17" s="2">
        <v>0.5</v>
      </c>
      <c r="K17" s="2">
        <v>0.7</v>
      </c>
      <c r="L17" s="2">
        <v>2.1</v>
      </c>
      <c r="M17" s="2">
        <v>2.5</v>
      </c>
      <c r="N17" s="2">
        <v>1.3</v>
      </c>
      <c r="O17" s="2">
        <v>1.5</v>
      </c>
      <c r="P17" s="2">
        <v>1.9</v>
      </c>
      <c r="Q17" s="2">
        <v>2.1</v>
      </c>
    </row>
    <row r="18" spans="1:17">
      <c r="A18" s="3" t="s">
        <v>12</v>
      </c>
      <c r="B18" s="17">
        <f>SUMPRODUCT(Produced,$J$18:$Q$18)</f>
        <v>315.7</v>
      </c>
      <c r="C18" s="18" t="s">
        <v>38</v>
      </c>
      <c r="D18" s="17">
        <v>450</v>
      </c>
      <c r="F18" s="3" t="s">
        <v>35</v>
      </c>
      <c r="G18" s="16">
        <f>SUMPRODUCT(Produced,UnitProfit)</f>
        <v>14819.1</v>
      </c>
      <c r="I18" s="2" t="s">
        <v>12</v>
      </c>
      <c r="J18" s="2">
        <v>1.3</v>
      </c>
      <c r="K18" s="2">
        <v>1.2</v>
      </c>
      <c r="L18" s="2">
        <v>2.9</v>
      </c>
      <c r="M18" s="2">
        <v>2.7</v>
      </c>
      <c r="N18" s="2">
        <v>1.7</v>
      </c>
      <c r="O18" s="2">
        <v>1.5</v>
      </c>
      <c r="P18" s="2">
        <v>3.2</v>
      </c>
      <c r="Q18" s="2">
        <v>2.8</v>
      </c>
    </row>
    <row r="19" spans="1:17">
      <c r="A19" s="3" t="s">
        <v>0</v>
      </c>
      <c r="B19" s="17">
        <f>SUMPRODUCT(Produced,$J$19:$Q$19)</f>
        <v>128.69999999999999</v>
      </c>
      <c r="C19" s="18" t="s">
        <v>38</v>
      </c>
      <c r="D19" s="17">
        <v>225</v>
      </c>
      <c r="I19" s="2" t="s">
        <v>0</v>
      </c>
      <c r="J19" s="2">
        <v>0.4</v>
      </c>
      <c r="K19" s="2">
        <v>0.4</v>
      </c>
      <c r="L19" s="2">
        <v>1.2</v>
      </c>
      <c r="M19" s="2">
        <v>1.2</v>
      </c>
      <c r="N19" s="2">
        <v>0.6</v>
      </c>
      <c r="O19" s="2">
        <v>0.6</v>
      </c>
      <c r="P19" s="2">
        <v>1.7</v>
      </c>
      <c r="Q19" s="2">
        <v>1.6</v>
      </c>
    </row>
    <row r="20" spans="1:17">
      <c r="A20" s="3" t="s">
        <v>1</v>
      </c>
      <c r="B20" s="17">
        <f>SUMPRODUCT(Produced,$J$20:$Q$20)</f>
        <v>483.6</v>
      </c>
      <c r="C20" s="18" t="s">
        <v>38</v>
      </c>
      <c r="D20" s="17">
        <v>488</v>
      </c>
      <c r="I20" s="2" t="s">
        <v>1</v>
      </c>
      <c r="J20" s="2">
        <v>2.8</v>
      </c>
      <c r="K20" s="2">
        <v>0</v>
      </c>
      <c r="L20" s="2">
        <v>5.2</v>
      </c>
      <c r="M20" s="2">
        <v>0</v>
      </c>
      <c r="N20" s="2">
        <v>3.2</v>
      </c>
      <c r="O20" s="2">
        <v>0</v>
      </c>
      <c r="P20" s="2">
        <v>15.6</v>
      </c>
      <c r="Q20" s="2">
        <v>0</v>
      </c>
    </row>
    <row r="21" spans="1:17">
      <c r="A21" s="3" t="s">
        <v>2</v>
      </c>
      <c r="B21" s="17">
        <f>SUMPRODUCT(Produced,$J$21:$Q$21)</f>
        <v>350</v>
      </c>
      <c r="C21" s="18" t="s">
        <v>38</v>
      </c>
      <c r="D21" s="17">
        <v>638</v>
      </c>
      <c r="I21" s="2" t="s">
        <v>2</v>
      </c>
      <c r="J21" s="2">
        <v>0</v>
      </c>
      <c r="K21" s="2">
        <v>2.8</v>
      </c>
      <c r="L21" s="2">
        <v>0</v>
      </c>
      <c r="M21" s="2">
        <v>5.2</v>
      </c>
      <c r="N21" s="2">
        <v>0</v>
      </c>
      <c r="O21" s="2">
        <v>3.2</v>
      </c>
      <c r="P21" s="2">
        <v>0</v>
      </c>
      <c r="Q21" s="2">
        <v>15.6</v>
      </c>
    </row>
  </sheetData>
  <phoneticPr fontId="0" type="noConversion"/>
  <printOptions headings="1" gridLines="1"/>
  <pageMargins left="0.75" right="0.75" top="1" bottom="1" header="0.5" footer="0.5"/>
  <pageSetup scale="70"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sheetPr codeName="Sheet4">
    <pageSetUpPr fitToPage="1"/>
  </sheetPr>
  <dimension ref="A1:K17"/>
  <sheetViews>
    <sheetView tabSelected="1" workbookViewId="0">
      <selection activeCell="A2" sqref="A2"/>
    </sheetView>
  </sheetViews>
  <sheetFormatPr defaultRowHeight="15"/>
  <cols>
    <col min="1" max="1" width="13.28515625" style="12" customWidth="1"/>
    <col min="2" max="2" width="18.7109375" style="12" bestFit="1" customWidth="1"/>
    <col min="3" max="3" width="15" style="8" bestFit="1" customWidth="1"/>
    <col min="4" max="6" width="9.140625" style="10"/>
    <col min="7" max="7" width="9.140625" style="8"/>
    <col min="8" max="8" width="13.5703125" style="8" bestFit="1" customWidth="1"/>
    <col min="9" max="16384" width="9.140625" style="8"/>
  </cols>
  <sheetData>
    <row r="1" spans="1:11">
      <c r="A1" s="9" t="s">
        <v>39</v>
      </c>
      <c r="B1" s="8"/>
      <c r="D1" s="8"/>
      <c r="E1" s="8"/>
      <c r="F1" s="8"/>
    </row>
    <row r="2" spans="1:11">
      <c r="A2" s="8"/>
      <c r="B2" s="8"/>
      <c r="D2" s="8"/>
      <c r="E2" s="8"/>
      <c r="F2" s="8"/>
    </row>
    <row r="3" spans="1:11">
      <c r="A3" s="9" t="s">
        <v>32</v>
      </c>
      <c r="B3" s="8"/>
      <c r="D3" s="8"/>
      <c r="E3" s="8"/>
      <c r="F3" s="8"/>
    </row>
    <row r="4" spans="1:11">
      <c r="A4" s="8" t="s">
        <v>33</v>
      </c>
      <c r="B4" s="10">
        <v>55792</v>
      </c>
      <c r="D4" s="8"/>
      <c r="E4" s="8"/>
      <c r="F4" s="8"/>
    </row>
    <row r="5" spans="1:11">
      <c r="A5" s="8" t="s">
        <v>34</v>
      </c>
      <c r="B5" s="10">
        <v>40972.9</v>
      </c>
      <c r="D5" s="8"/>
      <c r="E5" s="8"/>
      <c r="F5" s="8"/>
    </row>
    <row r="6" spans="1:11">
      <c r="A6" s="8" t="s">
        <v>35</v>
      </c>
      <c r="B6" s="10">
        <v>14819.1</v>
      </c>
      <c r="D6" s="8"/>
      <c r="E6" s="8"/>
      <c r="F6" s="8"/>
    </row>
    <row r="7" spans="1:11">
      <c r="A7" s="8"/>
      <c r="D7" s="8"/>
      <c r="E7" s="8"/>
      <c r="F7" s="8"/>
    </row>
    <row r="8" spans="1:11">
      <c r="A8" s="9" t="s">
        <v>40</v>
      </c>
      <c r="B8" s="8"/>
      <c r="D8" s="8"/>
      <c r="E8" s="8"/>
      <c r="F8" s="8"/>
      <c r="H8" s="9" t="s">
        <v>45</v>
      </c>
    </row>
    <row r="9" spans="1:11" s="11" customFormat="1">
      <c r="A9" s="8" t="s">
        <v>13</v>
      </c>
      <c r="B9" s="8" t="s">
        <v>14</v>
      </c>
      <c r="C9" s="19" t="s">
        <v>41</v>
      </c>
      <c r="D9" s="19" t="s">
        <v>42</v>
      </c>
      <c r="E9" s="19" t="s">
        <v>43</v>
      </c>
      <c r="F9" s="19" t="s">
        <v>44</v>
      </c>
      <c r="G9" s="8"/>
      <c r="H9" s="8" t="s">
        <v>8</v>
      </c>
      <c r="I9" s="19" t="s">
        <v>29</v>
      </c>
      <c r="J9" s="19" t="s">
        <v>30</v>
      </c>
      <c r="K9" s="19" t="s">
        <v>46</v>
      </c>
    </row>
    <row r="10" spans="1:11">
      <c r="A10" s="12">
        <v>1243</v>
      </c>
      <c r="B10" s="12" t="s">
        <v>16</v>
      </c>
      <c r="C10" s="8">
        <v>40</v>
      </c>
      <c r="D10" s="10">
        <v>7600</v>
      </c>
      <c r="E10" s="10">
        <v>5184</v>
      </c>
      <c r="F10" s="10">
        <v>2416</v>
      </c>
      <c r="H10" s="8" t="s">
        <v>11</v>
      </c>
      <c r="I10" s="13">
        <v>216.4</v>
      </c>
      <c r="J10" s="13">
        <v>263</v>
      </c>
      <c r="K10" s="13">
        <f>J10-I10</f>
        <v>46.599999999999994</v>
      </c>
    </row>
    <row r="11" spans="1:11">
      <c r="A11" s="12">
        <v>2243</v>
      </c>
      <c r="B11" s="12" t="s">
        <v>47</v>
      </c>
      <c r="C11" s="8">
        <v>30</v>
      </c>
      <c r="D11" s="10">
        <v>6090</v>
      </c>
      <c r="E11" s="10">
        <v>4392</v>
      </c>
      <c r="F11" s="10">
        <v>1698</v>
      </c>
      <c r="H11" s="8" t="s">
        <v>12</v>
      </c>
      <c r="I11" s="13">
        <v>315.7</v>
      </c>
      <c r="J11" s="13">
        <v>450</v>
      </c>
      <c r="K11" s="13">
        <f>J11-I11</f>
        <v>134.30000000000001</v>
      </c>
    </row>
    <row r="12" spans="1:11">
      <c r="A12" s="12">
        <v>1456</v>
      </c>
      <c r="B12" s="12" t="s">
        <v>48</v>
      </c>
      <c r="C12" s="8">
        <v>20</v>
      </c>
      <c r="D12" s="10">
        <v>7420</v>
      </c>
      <c r="E12" s="10">
        <v>5536</v>
      </c>
      <c r="F12" s="10">
        <v>1884</v>
      </c>
      <c r="H12" s="8" t="s">
        <v>0</v>
      </c>
      <c r="I12" s="13">
        <v>128.69999999999999</v>
      </c>
      <c r="J12" s="13">
        <v>225</v>
      </c>
      <c r="K12" s="13">
        <f>J12-I12</f>
        <v>96.300000000000011</v>
      </c>
    </row>
    <row r="13" spans="1:11">
      <c r="A13" s="12">
        <v>2456</v>
      </c>
      <c r="B13" s="12" t="s">
        <v>17</v>
      </c>
      <c r="C13" s="8">
        <v>15</v>
      </c>
      <c r="D13" s="10">
        <v>6105</v>
      </c>
      <c r="E13" s="10">
        <v>4626</v>
      </c>
      <c r="F13" s="10">
        <v>1479</v>
      </c>
      <c r="H13" s="8" t="s">
        <v>1</v>
      </c>
      <c r="I13" s="13">
        <v>483.6</v>
      </c>
      <c r="J13" s="13">
        <v>488</v>
      </c>
      <c r="K13" s="13">
        <f>J13-I13</f>
        <v>4.3999999999999773</v>
      </c>
    </row>
    <row r="14" spans="1:11">
      <c r="A14" s="12">
        <v>1372</v>
      </c>
      <c r="B14" s="12" t="s">
        <v>18</v>
      </c>
      <c r="C14" s="8">
        <v>30</v>
      </c>
      <c r="D14" s="10">
        <v>7140</v>
      </c>
      <c r="E14" s="10">
        <v>5022</v>
      </c>
      <c r="F14" s="10">
        <v>2118</v>
      </c>
      <c r="H14" s="8" t="s">
        <v>2</v>
      </c>
      <c r="I14" s="13">
        <v>350</v>
      </c>
      <c r="J14" s="13">
        <v>638</v>
      </c>
      <c r="K14" s="13">
        <f>J14-I14</f>
        <v>288</v>
      </c>
    </row>
    <row r="15" spans="1:11">
      <c r="A15" s="12">
        <v>2372</v>
      </c>
      <c r="B15" s="12" t="s">
        <v>49</v>
      </c>
      <c r="C15" s="8">
        <v>10</v>
      </c>
      <c r="D15" s="10">
        <v>2590</v>
      </c>
      <c r="E15" s="10">
        <v>1850</v>
      </c>
      <c r="F15" s="10">
        <v>740</v>
      </c>
    </row>
    <row r="16" spans="1:11">
      <c r="A16" s="12">
        <v>1531</v>
      </c>
      <c r="B16" s="12" t="s">
        <v>50</v>
      </c>
      <c r="C16" s="8">
        <v>11</v>
      </c>
      <c r="D16" s="10">
        <v>9207</v>
      </c>
      <c r="E16" s="10">
        <v>7126.9</v>
      </c>
      <c r="F16" s="10">
        <v>2080.1</v>
      </c>
    </row>
    <row r="17" spans="1:6">
      <c r="A17" s="12">
        <v>2531</v>
      </c>
      <c r="B17" s="12" t="s">
        <v>19</v>
      </c>
      <c r="C17" s="8">
        <v>10</v>
      </c>
      <c r="D17" s="10">
        <v>9640</v>
      </c>
      <c r="E17" s="10">
        <v>7236</v>
      </c>
      <c r="F17" s="10">
        <v>2404</v>
      </c>
    </row>
  </sheetData>
  <phoneticPr fontId="0" type="noConversion"/>
  <printOptions headings="1" gridLines="1"/>
  <pageMargins left="0.75" right="0.75" top="1" bottom="1" header="0.5" footer="0.5"/>
  <pageSetup scale="68"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24</vt:i4>
      </vt:variant>
    </vt:vector>
  </HeadingPairs>
  <TitlesOfParts>
    <vt:vector size="28" baseType="lpstr">
      <vt:lpstr>Explanation</vt:lpstr>
      <vt:lpstr>Data</vt:lpstr>
      <vt:lpstr>Model</vt:lpstr>
      <vt:lpstr>Report</vt:lpstr>
      <vt:lpstr>Available</vt:lpstr>
      <vt:lpstr>MaxProd</vt:lpstr>
      <vt:lpstr>MaxVal</vt:lpstr>
      <vt:lpstr>MinProd</vt:lpstr>
      <vt:lpstr>MonSummAnchor</vt:lpstr>
      <vt:lpstr>Data!Print_Area</vt:lpstr>
      <vt:lpstr>Explanation!Print_Area</vt:lpstr>
      <vt:lpstr>Model!Print_Area</vt:lpstr>
      <vt:lpstr>Report!Print_Area</vt:lpstr>
      <vt:lpstr>ProdAnchor</vt:lpstr>
      <vt:lpstr>ProdMixAnchor</vt:lpstr>
      <vt:lpstr>ProdRepAnchor</vt:lpstr>
      <vt:lpstr>Produced</vt:lpstr>
      <vt:lpstr>ResAnchor</vt:lpstr>
      <vt:lpstr>ResRepAnchor</vt:lpstr>
      <vt:lpstr>ResUseAnchor</vt:lpstr>
      <vt:lpstr>TotCost</vt:lpstr>
      <vt:lpstr>TotProfit</vt:lpstr>
      <vt:lpstr>TotRev</vt:lpstr>
      <vt:lpstr>UnitCost</vt:lpstr>
      <vt:lpstr>UnitProfit</vt:lpstr>
      <vt:lpstr>UnitRev</vt:lpstr>
      <vt:lpstr>UnitUseAnchor</vt:lpstr>
      <vt:lpstr>Used</vt:lpstr>
    </vt:vector>
  </TitlesOfParts>
  <Company>Indiana University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2008-10-29T18:46:14Z</cp:lastPrinted>
  <dcterms:created xsi:type="dcterms:W3CDTF">1999-11-24T16:27:07Z</dcterms:created>
  <dcterms:modified xsi:type="dcterms:W3CDTF">2009-05-20T17:05:52Z</dcterms:modified>
</cp:coreProperties>
</file>