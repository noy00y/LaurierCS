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360" yWindow="120" windowWidth="11340" windowHeight="5520"/>
  </bookViews>
  <sheets>
    <sheet name="Explanation" sheetId="13" r:id="rId1"/>
    <sheet name="Data" sheetId="1" r:id="rId2"/>
    <sheet name="Model" sheetId="12" state="hidden" r:id="rId3"/>
    <sheet name="Report" sheetId="15" r:id="rId4"/>
    <sheet name="Demand_Forecast" sheetId="10" r:id="rId5"/>
    <sheet name="Cost_Forecast" sheetId="11" r:id="rId6"/>
  </sheets>
  <definedNames>
    <definedName name="_APE1">Data!$K$4:$K$65</definedName>
    <definedName name="_APE2">Data!$L$4:$L$65</definedName>
    <definedName name="Alpha1">Data!$AB$6</definedName>
    <definedName name="Alpha2">Data!$AE$6</definedName>
    <definedName name="AvgInv">Model!$B$26:$G$26</definedName>
    <definedName name="Beta1">Data!$AB$7</definedName>
    <definedName name="Beta2">Data!$AE$7</definedName>
    <definedName name="coin_cuttype" localSheetId="2" hidden="1">1</definedName>
    <definedName name="coin_dualtol" localSheetId="2" hidden="1">0.0000001</definedName>
    <definedName name="coin_heurs" localSheetId="2" hidden="1">1</definedName>
    <definedName name="coin_integerpresolve" localSheetId="2" hidden="1">1</definedName>
    <definedName name="coin_presolve1" localSheetId="2" hidden="1">1</definedName>
    <definedName name="coin_primaltol" localSheetId="2" hidden="1">0.0000001</definedName>
    <definedName name="CostFCasts">Data!$J$3:$J$65</definedName>
    <definedName name="DataAnchor">Data!$A$3</definedName>
    <definedName name="Demands">Data!$B$3:$B$65</definedName>
    <definedName name="DemFCasts">Data!$G$3:$G$65</definedName>
    <definedName name="EndInv">Model!$B$23:$G$23</definedName>
    <definedName name="FCosts">Model!$B$30:$G$30</definedName>
    <definedName name="FDemands">Model!$B$21:$G$21</definedName>
    <definedName name="Gamma1">Data!$AB$8</definedName>
    <definedName name="HoldOpt">Model!$B$8</definedName>
    <definedName name="HoldPct">Model!$B$7</definedName>
    <definedName name="InitInv">Model!$B$5</definedName>
    <definedName name="InvCap">Model!$B$10</definedName>
    <definedName name="InvCaps">Model!$B$25:$G$25</definedName>
    <definedName name="MAPE1">Data!$O$4</definedName>
    <definedName name="MAPE2">Data!$O$5</definedName>
    <definedName name="Month">Data!$A$4:$A$65</definedName>
    <definedName name="Months">Model!$B$13:$G$13</definedName>
    <definedName name="NewData">#REF!</definedName>
    <definedName name="NewDataAnchor">#REF!</definedName>
    <definedName name="NMonths">Model!$B$4</definedName>
    <definedName name="Onhand">Model!$B$19:$G$19</definedName>
    <definedName name="_xlnm.Print_Area" localSheetId="1">Data!$AA$3:$AG$26</definedName>
    <definedName name="_xlnm.Print_Area" localSheetId="0">Explanation!$A$1:$L$35</definedName>
    <definedName name="_xlnm.Print_Area" localSheetId="2">Model!$A$1:$G$34</definedName>
    <definedName name="_xlnm.Print_Area" localSheetId="3">Report!$A$1:$K$22</definedName>
    <definedName name="ProdCap">Model!$B$9</definedName>
    <definedName name="ProdCaps">Model!$B$17:$G$17</definedName>
    <definedName name="ProdPct">Model!$B$6</definedName>
    <definedName name="Production">Model!$B$15:$G$15</definedName>
    <definedName name="RepEndInv">Report!$A$5:$G$5</definedName>
    <definedName name="RepMonths">Report!$B$3:$G$3</definedName>
    <definedName name="RepProd">Report!$A$4:$G$4</definedName>
    <definedName name="solver_adj" localSheetId="2" hidden="1">Model!$B$15:$G$15</definedName>
    <definedName name="solver_adj_ob" localSheetId="2" hidden="1">0</definedName>
    <definedName name="solver_cct" localSheetId="2" hidden="1">20</definedName>
    <definedName name="solver_cgt" localSheetId="2" hidden="1">1</definedName>
    <definedName name="solver_cha" localSheetId="2" hidden="1">0</definedName>
    <definedName name="solver_chc1" localSheetId="2" hidden="1">0</definedName>
    <definedName name="solver_chc2" localSheetId="2" hidden="1">0</definedName>
    <definedName name="solver_chc3" localSheetId="2" hidden="1">0</definedName>
    <definedName name="solver_chc4" localSheetId="2" hidden="1">0</definedName>
    <definedName name="solver_chn" localSheetId="2" hidden="1">4</definedName>
    <definedName name="solver_chp1" localSheetId="2" hidden="1">0</definedName>
    <definedName name="solver_chp2" localSheetId="2" hidden="1">0</definedName>
    <definedName name="solver_chp3" localSheetId="2" hidden="1">0</definedName>
    <definedName name="solver_chp4" localSheetId="2" hidden="1">0</definedName>
    <definedName name="solver_cht" localSheetId="2" hidden="1">0</definedName>
    <definedName name="solver_cir1" localSheetId="2" hidden="1">1</definedName>
    <definedName name="solver_cir2" localSheetId="2" hidden="1">1</definedName>
    <definedName name="solver_cir3" localSheetId="2" hidden="1">1</definedName>
    <definedName name="solver_cir4" localSheetId="2" hidden="1">1</definedName>
    <definedName name="solver_con1" localSheetId="2" hidden="1">" "</definedName>
    <definedName name="solver_con2" localSheetId="2" hidden="1">" "</definedName>
    <definedName name="solver_con3" localSheetId="2" hidden="1">" "</definedName>
    <definedName name="solver_con4" localSheetId="2" hidden="1">" "</definedName>
    <definedName name="solver_cvg" localSheetId="2" hidden="1">0.0001</definedName>
    <definedName name="solver_dia" localSheetId="2" hidden="1">5</definedName>
    <definedName name="solver_drv" localSheetId="2" hidden="1">1</definedName>
    <definedName name="solver_dua" localSheetId="2" hidden="1">1</definedName>
    <definedName name="solver_eng" localSheetId="2" hidden="1">2</definedName>
    <definedName name="solver_est" localSheetId="2" hidden="1">1</definedName>
    <definedName name="solver_fns" localSheetId="2" hidden="1">0</definedName>
    <definedName name="solver_gct" localSheetId="2" hidden="1">20</definedName>
    <definedName name="solver_gop" localSheetId="2" hidden="1">1</definedName>
    <definedName name="solver_iao" localSheetId="2" hidden="1">0</definedName>
    <definedName name="solver_ibd" localSheetId="2" hidden="1">0</definedName>
    <definedName name="solver_int" localSheetId="2" hidden="1">0</definedName>
    <definedName name="solver_irs" localSheetId="2" hidden="1">0</definedName>
    <definedName name="solver_ism" localSheetId="2" hidden="1">0</definedName>
    <definedName name="solver_itr" localSheetId="2" hidden="1">100</definedName>
    <definedName name="solver_kiv" localSheetId="2" hidden="1">2E+30</definedName>
    <definedName name="solver_lhs_ob1" localSheetId="2" hidden="1">0</definedName>
    <definedName name="solver_lhs_ob2" localSheetId="2" hidden="1">0</definedName>
    <definedName name="solver_lhs_ob3" localSheetId="2" hidden="1">0</definedName>
    <definedName name="solver_lhs_ob4" localSheetId="2" hidden="1">0</definedName>
    <definedName name="solver_lhs1" localSheetId="2" hidden="1">Production</definedName>
    <definedName name="solver_lhs2" localSheetId="2" hidden="1">Production</definedName>
    <definedName name="solver_lhs3" localSheetId="2" hidden="1">Onhand</definedName>
    <definedName name="solver_lhs4" localSheetId="2" hidden="1">EndInv</definedName>
    <definedName name="solver_lin" localSheetId="2" hidden="1">1</definedName>
    <definedName name="solver_loc" localSheetId="2" hidden="1">4</definedName>
    <definedName name="solver_lva" localSheetId="2" hidden="1">0</definedName>
    <definedName name="solver_mda" localSheetId="2" hidden="1">4</definedName>
    <definedName name="solver_mip" localSheetId="2" hidden="1">5000</definedName>
    <definedName name="solver_mni" localSheetId="2" hidden="1">30</definedName>
    <definedName name="solver_mod" localSheetId="2" hidden="1">3</definedName>
    <definedName name="solver_mrt" localSheetId="2" hidden="1">0.075</definedName>
    <definedName name="solver_msl" localSheetId="2" hidden="1">0</definedName>
    <definedName name="solver_neg" localSheetId="2" hidden="1">1</definedName>
    <definedName name="solver_nod" localSheetId="2" hidden="1">5000</definedName>
    <definedName name="solver_ntr" localSheetId="2" hidden="1">0</definedName>
    <definedName name="solver_ntri" hidden="1">1000</definedName>
    <definedName name="solver_num" localSheetId="2" hidden="1">4</definedName>
    <definedName name="solver_nwt" localSheetId="2" hidden="1">1</definedName>
    <definedName name="solver_ofx" localSheetId="2" hidden="1">0</definedName>
    <definedName name="solver_phr" localSheetId="2" hidden="1">0</definedName>
    <definedName name="solver_piv" localSheetId="2" hidden="1">0.000001</definedName>
    <definedName name="solver_pre" localSheetId="2" hidden="1">0.000001</definedName>
    <definedName name="solver_pro" localSheetId="2" hidden="1">0</definedName>
    <definedName name="solver_psi" localSheetId="2" hidden="1">0</definedName>
    <definedName name="solver_rbv" localSheetId="2" hidden="1">1</definedName>
    <definedName name="solver_rdp" localSheetId="2" hidden="1">0</definedName>
    <definedName name="solver_red" localSheetId="2" hidden="1">0.000001</definedName>
    <definedName name="solver_rel1" localSheetId="2" hidden="1">1</definedName>
    <definedName name="solver_rel2" localSheetId="2" hidden="1">3</definedName>
    <definedName name="solver_rel3" localSheetId="2" hidden="1">3</definedName>
    <definedName name="solver_rel4" localSheetId="2" hidden="1">1</definedName>
    <definedName name="solver_reo" localSheetId="2" hidden="1">2</definedName>
    <definedName name="solver_rep" localSheetId="2" hidden="1">0</definedName>
    <definedName name="solver_rhs1" localSheetId="2" hidden="1">ProdCaps</definedName>
    <definedName name="solver_rhs2" localSheetId="2" hidden="1">0</definedName>
    <definedName name="solver_rhs3" localSheetId="2" hidden="1">FDemands</definedName>
    <definedName name="solver_rhs4" localSheetId="2" hidden="1">InvCaps</definedName>
    <definedName name="solver_rlx" localSheetId="2" hidden="1">0</definedName>
    <definedName name="solver_rsmp" hidden="1">1</definedName>
    <definedName name="solver_rtr" localSheetId="2" hidden="1">0</definedName>
    <definedName name="solver_rxc1" localSheetId="2" hidden="1">1</definedName>
    <definedName name="solver_rxc2" localSheetId="2" hidden="1">1</definedName>
    <definedName name="solver_rxc3" localSheetId="2" hidden="1">1</definedName>
    <definedName name="solver_rxc4" localSheetId="2" hidden="1">1</definedName>
    <definedName name="solver_rxv" localSheetId="2" hidden="1">1</definedName>
    <definedName name="solver_scl" localSheetId="2" hidden="1">2</definedName>
    <definedName name="solver_seed" hidden="1">0</definedName>
    <definedName name="solver_sel" localSheetId="2" hidden="1">1</definedName>
    <definedName name="solver_sho" localSheetId="2" hidden="1">2</definedName>
    <definedName name="solver_slv" localSheetId="2" hidden="1">0</definedName>
    <definedName name="solver_slvu" localSheetId="2" hidden="1">0</definedName>
    <definedName name="solver_ssz" localSheetId="2" hidden="1">0</definedName>
    <definedName name="solver_std" localSheetId="2" hidden="1">0</definedName>
    <definedName name="solver_tim" localSheetId="2" hidden="1">100</definedName>
    <definedName name="solver_tms" localSheetId="2" hidden="1">0</definedName>
    <definedName name="solver_tol" localSheetId="2" hidden="1">0.05</definedName>
    <definedName name="solver_umod" localSheetId="2" hidden="1">1</definedName>
    <definedName name="solver_urs" localSheetId="2" hidden="1">0</definedName>
    <definedName name="solver_var" localSheetId="2" hidden="1">" "</definedName>
    <definedName name="solver_ver" localSheetId="2" hidden="1">9</definedName>
    <definedName name="solver_vir" localSheetId="2" hidden="1">1</definedName>
    <definedName name="solver_vol" localSheetId="2" hidden="1">0</definedName>
    <definedName name="solver_vst" localSheetId="2" hidden="1">0</definedName>
    <definedName name="TotalCost">Model!$B$34</definedName>
    <definedName name="UnitCosts">Data!$C$3:$C$65</definedName>
  </definedNames>
  <calcPr calcId="125725"/>
</workbook>
</file>

<file path=xl/calcChain.xml><?xml version="1.0" encoding="utf-8"?>
<calcChain xmlns="http://schemas.openxmlformats.org/spreadsheetml/2006/main">
  <c r="B32" i="12"/>
  <c r="B7" i="15" s="1"/>
  <c r="G25" i="12"/>
  <c r="G17"/>
  <c r="F25"/>
  <c r="F17"/>
  <c r="E25"/>
  <c r="E17"/>
  <c r="D25"/>
  <c r="D17"/>
  <c r="C25"/>
  <c r="C17"/>
  <c r="B25"/>
  <c r="B19"/>
  <c r="B23" s="1"/>
  <c r="B17"/>
  <c r="B14"/>
  <c r="H4" i="1"/>
  <c r="I4" s="1"/>
  <c r="D4"/>
  <c r="E4" s="1"/>
  <c r="J4"/>
  <c r="L4" s="1"/>
  <c r="G4"/>
  <c r="K4" s="1"/>
  <c r="C14" i="12" l="1"/>
  <c r="B26"/>
  <c r="F4" i="1"/>
  <c r="H5"/>
  <c r="J5"/>
  <c r="L5" s="1"/>
  <c r="G5"/>
  <c r="K5" s="1"/>
  <c r="D5"/>
  <c r="C19" i="12" l="1"/>
  <c r="C23" s="1"/>
  <c r="C26" s="1"/>
  <c r="I5" i="1"/>
  <c r="H6" s="1"/>
  <c r="E5"/>
  <c r="D6" s="1"/>
  <c r="F5"/>
  <c r="G6"/>
  <c r="K6" s="1"/>
  <c r="D14" i="12" l="1"/>
  <c r="J6" i="1"/>
  <c r="L6" s="1"/>
  <c r="I6"/>
  <c r="H7" s="1"/>
  <c r="E6"/>
  <c r="G7" s="1"/>
  <c r="K7" s="1"/>
  <c r="F6"/>
  <c r="D19" i="12" l="1"/>
  <c r="D23" s="1"/>
  <c r="D7" i="1"/>
  <c r="E7" s="1"/>
  <c r="J7"/>
  <c r="L7" s="1"/>
  <c r="I7"/>
  <c r="H8"/>
  <c r="J8"/>
  <c r="L8" s="1"/>
  <c r="F7"/>
  <c r="E14" i="12" l="1"/>
  <c r="D26"/>
  <c r="D8" i="1"/>
  <c r="G8"/>
  <c r="K8" s="1"/>
  <c r="E8"/>
  <c r="G9" s="1"/>
  <c r="K9" s="1"/>
  <c r="F8"/>
  <c r="I8"/>
  <c r="H9" s="1"/>
  <c r="E19" i="12" l="1"/>
  <c r="E23" s="1"/>
  <c r="J9" i="1"/>
  <c r="L9" s="1"/>
  <c r="D9"/>
  <c r="E9" s="1"/>
  <c r="D10" s="1"/>
  <c r="I9"/>
  <c r="H10" s="1"/>
  <c r="F14" i="12" l="1"/>
  <c r="E26"/>
  <c r="F9" i="1"/>
  <c r="J10"/>
  <c r="L10" s="1"/>
  <c r="G10"/>
  <c r="K10" s="1"/>
  <c r="I10"/>
  <c r="H11" s="1"/>
  <c r="E10"/>
  <c r="G11" s="1"/>
  <c r="K11" s="1"/>
  <c r="F10"/>
  <c r="F19" i="12" l="1"/>
  <c r="F23" s="1"/>
  <c r="F26" s="1"/>
  <c r="D11" i="1"/>
  <c r="E11" s="1"/>
  <c r="J11"/>
  <c r="L11" s="1"/>
  <c r="I11"/>
  <c r="H12" s="1"/>
  <c r="G14" i="12" l="1"/>
  <c r="F11" i="1"/>
  <c r="G12"/>
  <c r="K12" s="1"/>
  <c r="D12"/>
  <c r="J12"/>
  <c r="L12" s="1"/>
  <c r="E12"/>
  <c r="G13" s="1"/>
  <c r="K13" s="1"/>
  <c r="F12"/>
  <c r="I12"/>
  <c r="H13" s="1"/>
  <c r="G19" i="12" l="1"/>
  <c r="G23" s="1"/>
  <c r="B33" s="1"/>
  <c r="J13" i="1"/>
  <c r="L13" s="1"/>
  <c r="D13"/>
  <c r="E13" s="1"/>
  <c r="D14" s="1"/>
  <c r="I13"/>
  <c r="H14" s="1"/>
  <c r="G26" i="12" l="1"/>
  <c r="F13" i="1"/>
  <c r="G14"/>
  <c r="K14" s="1"/>
  <c r="J14"/>
  <c r="L14" s="1"/>
  <c r="I14"/>
  <c r="H15" s="1"/>
  <c r="E14"/>
  <c r="G15" s="1"/>
  <c r="K15" s="1"/>
  <c r="F14"/>
  <c r="D15" l="1"/>
  <c r="E15" s="1"/>
  <c r="G16" s="1"/>
  <c r="K16" s="1"/>
  <c r="J15"/>
  <c r="L15" s="1"/>
  <c r="I15"/>
  <c r="H16" s="1"/>
  <c r="B8" i="15" l="1"/>
  <c r="B34" i="12"/>
  <c r="B9" i="15" s="1"/>
  <c r="F15" i="1"/>
  <c r="D16"/>
  <c r="I16"/>
  <c r="H17" s="1"/>
  <c r="E16"/>
  <c r="G17" s="1"/>
  <c r="K17" s="1"/>
  <c r="F16"/>
  <c r="D17"/>
  <c r="J16"/>
  <c r="L16" s="1"/>
  <c r="J17" l="1"/>
  <c r="L17" s="1"/>
  <c r="I17"/>
  <c r="H18" s="1"/>
  <c r="E17"/>
  <c r="D18" s="1"/>
  <c r="F17"/>
  <c r="G18"/>
  <c r="K18" s="1"/>
  <c r="J18" l="1"/>
  <c r="L18" s="1"/>
  <c r="I18"/>
  <c r="H19" s="1"/>
  <c r="E18"/>
  <c r="G19" s="1"/>
  <c r="K19" s="1"/>
  <c r="F18"/>
  <c r="D19" l="1"/>
  <c r="E19" s="1"/>
  <c r="J19"/>
  <c r="L19" s="1"/>
  <c r="I19"/>
  <c r="H20" s="1"/>
  <c r="F19" l="1"/>
  <c r="D20"/>
  <c r="G20"/>
  <c r="K20" s="1"/>
  <c r="J20"/>
  <c r="L20" s="1"/>
  <c r="E20"/>
  <c r="G21" s="1"/>
  <c r="K21" s="1"/>
  <c r="F20"/>
  <c r="D21"/>
  <c r="I20"/>
  <c r="H21" s="1"/>
  <c r="J21" l="1"/>
  <c r="L21" s="1"/>
  <c r="I21"/>
  <c r="H22" s="1"/>
  <c r="E21"/>
  <c r="D22" s="1"/>
  <c r="F21"/>
  <c r="G22" l="1"/>
  <c r="K22" s="1"/>
  <c r="J22"/>
  <c r="L22" s="1"/>
  <c r="E22"/>
  <c r="G23" s="1"/>
  <c r="K23" s="1"/>
  <c r="F22"/>
  <c r="I22"/>
  <c r="H23" s="1"/>
  <c r="D23" l="1"/>
  <c r="E23" s="1"/>
  <c r="D24" s="1"/>
  <c r="J23"/>
  <c r="L23" s="1"/>
  <c r="I23"/>
  <c r="H24" s="1"/>
  <c r="F23" l="1"/>
  <c r="G24"/>
  <c r="K24" s="1"/>
  <c r="J24"/>
  <c r="L24" s="1"/>
  <c r="E24"/>
  <c r="G25" s="1"/>
  <c r="K25" s="1"/>
  <c r="F24"/>
  <c r="I24"/>
  <c r="H25" s="1"/>
  <c r="D25" l="1"/>
  <c r="E25" s="1"/>
  <c r="D26" s="1"/>
  <c r="J25"/>
  <c r="L25" s="1"/>
  <c r="I25"/>
  <c r="H26" s="1"/>
  <c r="F25" l="1"/>
  <c r="G26"/>
  <c r="K26" s="1"/>
  <c r="J26"/>
  <c r="L26" s="1"/>
  <c r="E26"/>
  <c r="G27" s="1"/>
  <c r="K27" s="1"/>
  <c r="F26"/>
  <c r="D27"/>
  <c r="I26"/>
  <c r="H27" s="1"/>
  <c r="J27" l="1"/>
  <c r="L27" s="1"/>
  <c r="I27"/>
  <c r="H28" s="1"/>
  <c r="F27"/>
  <c r="E27"/>
  <c r="G28" s="1"/>
  <c r="K28" s="1"/>
  <c r="D28" l="1"/>
  <c r="E28" s="1"/>
  <c r="G29" s="1"/>
  <c r="K29" s="1"/>
  <c r="J28"/>
  <c r="L28" s="1"/>
  <c r="I28"/>
  <c r="H29" s="1"/>
  <c r="F28" l="1"/>
  <c r="J29"/>
  <c r="L29" s="1"/>
  <c r="D29"/>
  <c r="E29" s="1"/>
  <c r="D30" s="1"/>
  <c r="I29"/>
  <c r="J30" s="1"/>
  <c r="L30" s="1"/>
  <c r="F29" l="1"/>
  <c r="H30"/>
  <c r="G30"/>
  <c r="K30" s="1"/>
  <c r="I30"/>
  <c r="J31" s="1"/>
  <c r="L31" s="1"/>
  <c r="E30"/>
  <c r="G31" s="1"/>
  <c r="K31" s="1"/>
  <c r="F30"/>
  <c r="H31" l="1"/>
  <c r="D31"/>
  <c r="E31" s="1"/>
  <c r="D32" s="1"/>
  <c r="I31"/>
  <c r="H32" s="1"/>
  <c r="F31" l="1"/>
  <c r="J32"/>
  <c r="L32" s="1"/>
  <c r="G32"/>
  <c r="K32" s="1"/>
  <c r="I32"/>
  <c r="H33" s="1"/>
  <c r="E32"/>
  <c r="G33" s="1"/>
  <c r="K33" s="1"/>
  <c r="F32"/>
  <c r="D33" l="1"/>
  <c r="F33" s="1"/>
  <c r="J33"/>
  <c r="L33" s="1"/>
  <c r="I33"/>
  <c r="H34" s="1"/>
  <c r="E33"/>
  <c r="D34" s="1"/>
  <c r="J34" l="1"/>
  <c r="L34" s="1"/>
  <c r="G34"/>
  <c r="K34" s="1"/>
  <c r="E34"/>
  <c r="G35" s="1"/>
  <c r="K35" s="1"/>
  <c r="F34"/>
  <c r="D35"/>
  <c r="I34"/>
  <c r="H35" s="1"/>
  <c r="J35" l="1"/>
  <c r="L35" s="1"/>
  <c r="I35"/>
  <c r="H36" s="1"/>
  <c r="J36"/>
  <c r="L36" s="1"/>
  <c r="E35"/>
  <c r="D36" s="1"/>
  <c r="F35"/>
  <c r="G36" l="1"/>
  <c r="K36" s="1"/>
  <c r="E36"/>
  <c r="G37" s="1"/>
  <c r="K37" s="1"/>
  <c r="F36"/>
  <c r="D37"/>
  <c r="I36"/>
  <c r="H37" s="1"/>
  <c r="J37" l="1"/>
  <c r="L37" s="1"/>
  <c r="I37"/>
  <c r="H38" s="1"/>
  <c r="E37"/>
  <c r="D38" s="1"/>
  <c r="F37"/>
  <c r="G38" l="1"/>
  <c r="K38" s="1"/>
  <c r="J38"/>
  <c r="L38" s="1"/>
  <c r="E38"/>
  <c r="D39" s="1"/>
  <c r="F38"/>
  <c r="I38"/>
  <c r="H39" s="1"/>
  <c r="G39" l="1"/>
  <c r="K39" s="1"/>
  <c r="J39"/>
  <c r="L39" s="1"/>
  <c r="I39"/>
  <c r="H40" s="1"/>
  <c r="F39"/>
  <c r="E39"/>
  <c r="G40" s="1"/>
  <c r="K40" s="1"/>
  <c r="D40" l="1"/>
  <c r="E40" s="1"/>
  <c r="J40"/>
  <c r="L40" s="1"/>
  <c r="I40"/>
  <c r="H41" s="1"/>
  <c r="F40" l="1"/>
  <c r="D41"/>
  <c r="G41"/>
  <c r="K41" s="1"/>
  <c r="J41"/>
  <c r="L41" s="1"/>
  <c r="I41"/>
  <c r="H42" s="1"/>
  <c r="J42"/>
  <c r="L42" s="1"/>
  <c r="E41"/>
  <c r="D42" s="1"/>
  <c r="F41"/>
  <c r="G42" l="1"/>
  <c r="K42" s="1"/>
  <c r="E42"/>
  <c r="F42"/>
  <c r="G43"/>
  <c r="K43" s="1"/>
  <c r="D43"/>
  <c r="I42"/>
  <c r="H43" s="1"/>
  <c r="J43" l="1"/>
  <c r="L43" s="1"/>
  <c r="I43"/>
  <c r="H44" s="1"/>
  <c r="J44"/>
  <c r="L44" s="1"/>
  <c r="E43"/>
  <c r="D44" s="1"/>
  <c r="F43"/>
  <c r="G44"/>
  <c r="K44" s="1"/>
  <c r="E44" l="1"/>
  <c r="F44"/>
  <c r="G45"/>
  <c r="K45" s="1"/>
  <c r="D45"/>
  <c r="I44"/>
  <c r="H45" s="1"/>
  <c r="J45" l="1"/>
  <c r="L45" s="1"/>
  <c r="I45"/>
  <c r="H46" s="1"/>
  <c r="J46"/>
  <c r="L46" s="1"/>
  <c r="E45"/>
  <c r="D46" s="1"/>
  <c r="F45"/>
  <c r="G46"/>
  <c r="K46" s="1"/>
  <c r="E46" l="1"/>
  <c r="F46"/>
  <c r="G47"/>
  <c r="K47" s="1"/>
  <c r="D47"/>
  <c r="I46"/>
  <c r="H47" s="1"/>
  <c r="J47" l="1"/>
  <c r="L47" s="1"/>
  <c r="I47"/>
  <c r="H48" s="1"/>
  <c r="E47"/>
  <c r="D48" s="1"/>
  <c r="F47"/>
  <c r="G48" l="1"/>
  <c r="K48" s="1"/>
  <c r="J48"/>
  <c r="L48" s="1"/>
  <c r="E48"/>
  <c r="D49" s="1"/>
  <c r="F48"/>
  <c r="I48"/>
  <c r="H49" s="1"/>
  <c r="G49" l="1"/>
  <c r="K49" s="1"/>
  <c r="J49"/>
  <c r="L49" s="1"/>
  <c r="I49"/>
  <c r="H50" s="1"/>
  <c r="E49"/>
  <c r="D50" s="1"/>
  <c r="F49"/>
  <c r="J50" l="1"/>
  <c r="L50" s="1"/>
  <c r="G50"/>
  <c r="K50" s="1"/>
  <c r="E50"/>
  <c r="F50"/>
  <c r="G51"/>
  <c r="K51" s="1"/>
  <c r="D51"/>
  <c r="I50"/>
  <c r="H51" s="1"/>
  <c r="J51" l="1"/>
  <c r="L51" s="1"/>
  <c r="I51"/>
  <c r="H52" s="1"/>
  <c r="F51"/>
  <c r="E51"/>
  <c r="G52" s="1"/>
  <c r="K52" s="1"/>
  <c r="D52" l="1"/>
  <c r="E52" s="1"/>
  <c r="G53" s="1"/>
  <c r="K53" s="1"/>
  <c r="J52"/>
  <c r="L52" s="1"/>
  <c r="I52"/>
  <c r="H53" s="1"/>
  <c r="F52" l="1"/>
  <c r="D53"/>
  <c r="F53" s="1"/>
  <c r="J53"/>
  <c r="L53" s="1"/>
  <c r="E53"/>
  <c r="G54" s="1"/>
  <c r="K54" s="1"/>
  <c r="I53"/>
  <c r="H54" s="1"/>
  <c r="D54" l="1"/>
  <c r="E54" s="1"/>
  <c r="J54"/>
  <c r="L54" s="1"/>
  <c r="I54"/>
  <c r="H55" s="1"/>
  <c r="F54"/>
  <c r="D55" l="1"/>
  <c r="G55"/>
  <c r="K55" s="1"/>
  <c r="J55"/>
  <c r="L55" s="1"/>
  <c r="I55"/>
  <c r="H56" s="1"/>
  <c r="E55"/>
  <c r="D56" s="1"/>
  <c r="F55"/>
  <c r="G56" l="1"/>
  <c r="K56" s="1"/>
  <c r="J56"/>
  <c r="L56" s="1"/>
  <c r="I56"/>
  <c r="H57" s="1"/>
  <c r="E56"/>
  <c r="D57" s="1"/>
  <c r="F56"/>
  <c r="G57" l="1"/>
  <c r="K57" s="1"/>
  <c r="J57"/>
  <c r="L57" s="1"/>
  <c r="E57"/>
  <c r="G58" s="1"/>
  <c r="K58" s="1"/>
  <c r="F57"/>
  <c r="D58"/>
  <c r="I57"/>
  <c r="H58" s="1"/>
  <c r="J58" l="1"/>
  <c r="L58" s="1"/>
  <c r="I58"/>
  <c r="H59" s="1"/>
  <c r="E58"/>
  <c r="D59" s="1"/>
  <c r="F58"/>
  <c r="G59" l="1"/>
  <c r="K59" s="1"/>
  <c r="J59"/>
  <c r="L59" s="1"/>
  <c r="E59"/>
  <c r="G60" s="1"/>
  <c r="K60" s="1"/>
  <c r="F59"/>
  <c r="D60"/>
  <c r="I59"/>
  <c r="H60" s="1"/>
  <c r="J60" l="1"/>
  <c r="L60" s="1"/>
  <c r="I60"/>
  <c r="H61" s="1"/>
  <c r="E60"/>
  <c r="D61" s="1"/>
  <c r="F60"/>
  <c r="G61" l="1"/>
  <c r="K61" s="1"/>
  <c r="J61"/>
  <c r="L61" s="1"/>
  <c r="I61"/>
  <c r="H62" s="1"/>
  <c r="E61"/>
  <c r="G62" s="1"/>
  <c r="K62" s="1"/>
  <c r="F61"/>
  <c r="D62" l="1"/>
  <c r="E62" s="1"/>
  <c r="J62"/>
  <c r="L62" s="1"/>
  <c r="I62"/>
  <c r="H63" s="1"/>
  <c r="F62" l="1"/>
  <c r="D63"/>
  <c r="G63"/>
  <c r="K63" s="1"/>
  <c r="J63"/>
  <c r="L63" s="1"/>
  <c r="I63"/>
  <c r="H64" s="1"/>
  <c r="E63"/>
  <c r="G64" s="1"/>
  <c r="K64" s="1"/>
  <c r="F63"/>
  <c r="D64"/>
  <c r="I64" l="1"/>
  <c r="J65" s="1"/>
  <c r="L65" s="1"/>
  <c r="E64"/>
  <c r="G65" s="1"/>
  <c r="K65" s="1"/>
  <c r="O4" s="1"/>
  <c r="F64"/>
  <c r="J64"/>
  <c r="L64" s="1"/>
  <c r="H65" l="1"/>
  <c r="I65" s="1"/>
  <c r="O5"/>
  <c r="D65"/>
  <c r="E65" s="1"/>
  <c r="F65" l="1"/>
</calcChain>
</file>

<file path=xl/sharedStrings.xml><?xml version="1.0" encoding="utf-8"?>
<sst xmlns="http://schemas.openxmlformats.org/spreadsheetml/2006/main" count="88" uniqueCount="60">
  <si>
    <t>Historical data on demands and unit production costs</t>
  </si>
  <si>
    <t>Month</t>
  </si>
  <si>
    <t>Demand</t>
  </si>
  <si>
    <t>UnitCost</t>
  </si>
  <si>
    <t>Level</t>
  </si>
  <si>
    <t>Trend</t>
  </si>
  <si>
    <t>Seasonal factors</t>
  </si>
  <si>
    <t>Jan</t>
  </si>
  <si>
    <t>Feb</t>
  </si>
  <si>
    <t>Mar</t>
  </si>
  <si>
    <t>Apr</t>
  </si>
  <si>
    <t>May</t>
  </si>
  <si>
    <t>Jun</t>
  </si>
  <si>
    <t>Jul</t>
  </si>
  <si>
    <t>Aug</t>
  </si>
  <si>
    <t>Sep</t>
  </si>
  <si>
    <t>Oct</t>
  </si>
  <si>
    <t>Nov</t>
  </si>
  <si>
    <t>Dec</t>
  </si>
  <si>
    <t>Seasonality</t>
  </si>
  <si>
    <t>Smoothing parameters for exponential smoothing</t>
  </si>
  <si>
    <t>Winters' method (for demand)</t>
  </si>
  <si>
    <t>Holt's method (for unit cost)</t>
  </si>
  <si>
    <t>FCastDemand</t>
  </si>
  <si>
    <t>FCastUnitCost</t>
  </si>
  <si>
    <t>SmTrend2</t>
  </si>
  <si>
    <t>SmLevel2</t>
  </si>
  <si>
    <t>SmLevel1</t>
  </si>
  <si>
    <t>SmTrend1</t>
  </si>
  <si>
    <t>SmSeas1</t>
  </si>
  <si>
    <t>AbsPctErr1</t>
  </si>
  <si>
    <t>AbsPctErr2</t>
  </si>
  <si>
    <t>Production planning model</t>
  </si>
  <si>
    <t>Inputs</t>
  </si>
  <si>
    <t>Planning horizon</t>
  </si>
  <si>
    <t>Holding cost pct</t>
  </si>
  <si>
    <t>Production capacity</t>
  </si>
  <si>
    <t>Storage capacity</t>
  </si>
  <si>
    <t>Holding cost option</t>
  </si>
  <si>
    <t>Beginning inventory</t>
  </si>
  <si>
    <t>Production pct</t>
  </si>
  <si>
    <t>Production</t>
  </si>
  <si>
    <t>Available to meet demand</t>
  </si>
  <si>
    <t>Ending inventory</t>
  </si>
  <si>
    <t>Cost summary</t>
  </si>
  <si>
    <t>Total cost</t>
  </si>
  <si>
    <t>Production plan</t>
  </si>
  <si>
    <t>Forecasted unit production costs</t>
  </si>
  <si>
    <t>Total production cost</t>
  </si>
  <si>
    <t>Total holding cost</t>
  </si>
  <si>
    <t>Average inventory</t>
  </si>
  <si>
    <t>&lt;=</t>
  </si>
  <si>
    <t>&gt;=</t>
  </si>
  <si>
    <t>Summary of optimal production plan</t>
  </si>
  <si>
    <t>Production planning, using exponential smoothing for demand and cost forecasts</t>
  </si>
  <si>
    <t>MAPE for historical data</t>
  </si>
  <si>
    <t>Demands</t>
  </si>
  <si>
    <t>Unit costs</t>
  </si>
  <si>
    <t>Initialization values for Winters'method</t>
  </si>
  <si>
    <t>Initialization values for Holt's method</t>
  </si>
</sst>
</file>

<file path=xl/styles.xml><?xml version="1.0" encoding="utf-8"?>
<styleSheet xmlns="http://schemas.openxmlformats.org/spreadsheetml/2006/main">
  <numFmts count="4">
    <numFmt numFmtId="164" formatCode="0.0"/>
    <numFmt numFmtId="165" formatCode="0.0%"/>
    <numFmt numFmtId="166" formatCode="&quot;$&quot;#,##0.00"/>
    <numFmt numFmtId="167" formatCode="&quot;$&quot;#,##0;\-&quot;$&quot;#,##0"/>
  </numFmts>
  <fonts count="7">
    <font>
      <sz val="10"/>
      <name val="Arial"/>
    </font>
    <font>
      <sz val="11"/>
      <name val="Calibri"/>
      <family val="2"/>
    </font>
    <font>
      <sz val="10"/>
      <name val="Arial"/>
      <family val="2"/>
    </font>
    <font>
      <sz val="8"/>
      <name val="Arial"/>
      <family val="2"/>
    </font>
    <font>
      <sz val="11"/>
      <name val="Calibri"/>
      <family val="2"/>
      <scheme val="minor"/>
    </font>
    <font>
      <b/>
      <sz val="11"/>
      <name val="Calibri"/>
      <family val="2"/>
      <scheme val="minor"/>
    </font>
    <font>
      <b/>
      <sz val="14"/>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4" fillId="0" borderId="0" xfId="0" applyFont="1" applyFill="1"/>
    <xf numFmtId="0" fontId="5" fillId="0" borderId="0" xfId="0" applyFont="1"/>
    <xf numFmtId="0" fontId="4" fillId="0" borderId="0" xfId="0" applyFont="1"/>
    <xf numFmtId="0" fontId="4" fillId="0" borderId="0" xfId="0" applyFont="1" applyAlignment="1">
      <alignment horizontal="right"/>
    </xf>
    <xf numFmtId="0" fontId="4" fillId="0" borderId="0" xfId="0" applyFont="1" applyAlignment="1">
      <alignment horizontal="left"/>
    </xf>
    <xf numFmtId="17" fontId="4" fillId="0" borderId="0" xfId="0" applyNumberFormat="1" applyFont="1"/>
    <xf numFmtId="2" fontId="4" fillId="0" borderId="0" xfId="0" applyNumberFormat="1" applyFont="1"/>
    <xf numFmtId="165" fontId="4" fillId="0" borderId="0" xfId="1" applyNumberFormat="1" applyFont="1"/>
    <xf numFmtId="164" fontId="4" fillId="0" borderId="0" xfId="0" applyNumberFormat="1" applyFont="1"/>
    <xf numFmtId="166" fontId="4" fillId="0" borderId="0" xfId="0" applyNumberFormat="1" applyFont="1"/>
    <xf numFmtId="167" fontId="4" fillId="0" borderId="0" xfId="0" applyNumberFormat="1" applyFont="1"/>
    <xf numFmtId="0" fontId="5" fillId="0" borderId="0" xfId="0" applyFont="1" applyFill="1"/>
    <xf numFmtId="17" fontId="4" fillId="0" borderId="0" xfId="0" applyNumberFormat="1" applyFont="1" applyFill="1"/>
    <xf numFmtId="164" fontId="4" fillId="0" borderId="0" xfId="0" applyNumberFormat="1" applyFont="1" applyFill="1"/>
    <xf numFmtId="167" fontId="4" fillId="0" borderId="0" xfId="0" applyNumberFormat="1" applyFont="1" applyFill="1"/>
    <xf numFmtId="0" fontId="6"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microsoft.com/office/2006/relationships/vbaProject" Target="vbaProject.bin"/><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tx>
            <c:strRef>
              <c:f>Report!$A$4</c:f>
              <c:strCache>
                <c:ptCount val="1"/>
                <c:pt idx="0">
                  <c:v>Production</c:v>
                </c:pt>
              </c:strCache>
            </c:strRef>
          </c:tx>
          <c:cat>
            <c:numRef>
              <c:f>Report!$B$3:$G$3</c:f>
              <c:numCache>
                <c:formatCode>mmm\-yy</c:formatCode>
                <c:ptCount val="6"/>
                <c:pt idx="0">
                  <c:v>39873</c:v>
                </c:pt>
                <c:pt idx="1">
                  <c:v>39904</c:v>
                </c:pt>
                <c:pt idx="2">
                  <c:v>39934</c:v>
                </c:pt>
                <c:pt idx="3">
                  <c:v>39965</c:v>
                </c:pt>
                <c:pt idx="4">
                  <c:v>39995</c:v>
                </c:pt>
                <c:pt idx="5">
                  <c:v>40026</c:v>
                </c:pt>
              </c:numCache>
            </c:numRef>
          </c:cat>
          <c:val>
            <c:numRef>
              <c:f>Report!$B$4:$G$4</c:f>
              <c:numCache>
                <c:formatCode>0.0</c:formatCode>
                <c:ptCount val="6"/>
                <c:pt idx="0">
                  <c:v>945.63079833984375</c:v>
                </c:pt>
                <c:pt idx="1">
                  <c:v>568.98451910936058</c:v>
                </c:pt>
                <c:pt idx="2">
                  <c:v>1512.754616632827</c:v>
                </c:pt>
                <c:pt idx="3">
                  <c:v>1409.5799560546875</c:v>
                </c:pt>
                <c:pt idx="4">
                  <c:v>2000</c:v>
                </c:pt>
                <c:pt idx="5">
                  <c:v>1828.9291109304256</c:v>
                </c:pt>
              </c:numCache>
            </c:numRef>
          </c:val>
        </c:ser>
        <c:ser>
          <c:idx val="1"/>
          <c:order val="1"/>
          <c:tx>
            <c:strRef>
              <c:f>Report!$A$5</c:f>
              <c:strCache>
                <c:ptCount val="1"/>
                <c:pt idx="0">
                  <c:v>Ending inventory</c:v>
                </c:pt>
              </c:strCache>
            </c:strRef>
          </c:tx>
          <c:val>
            <c:numRef>
              <c:f>Report!$B$5:$G$5</c:f>
              <c:numCache>
                <c:formatCode>0.0</c:formatCode>
                <c:ptCount val="6"/>
                <c:pt idx="0">
                  <c:v>500</c:v>
                </c:pt>
                <c:pt idx="1">
                  <c:v>113.79689703904809</c:v>
                </c:pt>
                <c:pt idx="2">
                  <c:v>500.00000000000011</c:v>
                </c:pt>
                <c:pt idx="3">
                  <c:v>485.702880859375</c:v>
                </c:pt>
                <c:pt idx="4">
                  <c:v>500</c:v>
                </c:pt>
                <c:pt idx="5">
                  <c:v>365.78580038355068</c:v>
                </c:pt>
              </c:numCache>
            </c:numRef>
          </c:val>
        </c:ser>
        <c:axId val="221602944"/>
        <c:axId val="221604864"/>
      </c:barChart>
      <c:dateAx>
        <c:axId val="221602944"/>
        <c:scaling>
          <c:orientation val="minMax"/>
        </c:scaling>
        <c:axPos val="b"/>
        <c:numFmt formatCode="mmm\-yy" sourceLinked="1"/>
        <c:tickLblPos val="nextTo"/>
        <c:crossAx val="221604864"/>
        <c:crosses val="autoZero"/>
        <c:auto val="1"/>
        <c:lblOffset val="100"/>
      </c:dateAx>
      <c:valAx>
        <c:axId val="221604864"/>
        <c:scaling>
          <c:orientation val="minMax"/>
        </c:scaling>
        <c:axPos val="l"/>
        <c:majorGridlines/>
        <c:numFmt formatCode="0.0" sourceLinked="1"/>
        <c:tickLblPos val="nextTo"/>
        <c:crossAx val="221602944"/>
        <c:crosses val="autoZero"/>
        <c:crossBetween val="between"/>
      </c:valAx>
    </c:plotArea>
    <c:legend>
      <c:legendPos val="r"/>
      <c:layout/>
    </c:legend>
    <c:plotVisOnly val="1"/>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Time series plot of Demand and Forecasted Demand</a:t>
            </a:r>
          </a:p>
        </c:rich>
      </c:tx>
      <c:layout>
        <c:manualLayout>
          <c:xMode val="edge"/>
          <c:yMode val="edge"/>
          <c:x val="0.30077691453940103"/>
          <c:y val="1.9575856443719432E-2"/>
        </c:manualLayout>
      </c:layout>
      <c:spPr>
        <a:noFill/>
        <a:ln w="25400">
          <a:noFill/>
        </a:ln>
      </c:spPr>
    </c:title>
    <c:plotArea>
      <c:layout>
        <c:manualLayout>
          <c:layoutTarget val="inner"/>
          <c:xMode val="edge"/>
          <c:yMode val="edge"/>
          <c:x val="5.9933407325194317E-2"/>
          <c:y val="0.1223491027732464"/>
          <c:w val="0.79023307436182022"/>
          <c:h val="0.73735725938009844"/>
        </c:manualLayout>
      </c:layout>
      <c:lineChart>
        <c:grouping val="standard"/>
        <c:ser>
          <c:idx val="0"/>
          <c:order val="0"/>
          <c:tx>
            <c:strRef>
              <c:f>Data!$B$3</c:f>
              <c:strCache>
                <c:ptCount val="1"/>
                <c:pt idx="0">
                  <c:v>Demand</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Data!$A$4:$A$64</c:f>
              <c:numCache>
                <c:formatCode>mmm\-yy</c:formatCode>
                <c:ptCount val="61"/>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numCache>
            </c:numRef>
          </c:cat>
          <c:val>
            <c:numRef>
              <c:f>Data!$B$4:$B$64</c:f>
              <c:numCache>
                <c:formatCode>General</c:formatCode>
                <c:ptCount val="61"/>
                <c:pt idx="0">
                  <c:v>376</c:v>
                </c:pt>
                <c:pt idx="1">
                  <c:v>394</c:v>
                </c:pt>
                <c:pt idx="2">
                  <c:v>416</c:v>
                </c:pt>
                <c:pt idx="3">
                  <c:v>437</c:v>
                </c:pt>
                <c:pt idx="4">
                  <c:v>524</c:v>
                </c:pt>
                <c:pt idx="5">
                  <c:v>672</c:v>
                </c:pt>
                <c:pt idx="6">
                  <c:v>930</c:v>
                </c:pt>
                <c:pt idx="7">
                  <c:v>945</c:v>
                </c:pt>
                <c:pt idx="8">
                  <c:v>719</c:v>
                </c:pt>
                <c:pt idx="9">
                  <c:v>444</c:v>
                </c:pt>
                <c:pt idx="10">
                  <c:v>402</c:v>
                </c:pt>
                <c:pt idx="11">
                  <c:v>870</c:v>
                </c:pt>
                <c:pt idx="12">
                  <c:v>416</c:v>
                </c:pt>
                <c:pt idx="13">
                  <c:v>485</c:v>
                </c:pt>
                <c:pt idx="14">
                  <c:v>509</c:v>
                </c:pt>
                <c:pt idx="15">
                  <c:v>592</c:v>
                </c:pt>
                <c:pt idx="16">
                  <c:v>592</c:v>
                </c:pt>
                <c:pt idx="17">
                  <c:v>814</c:v>
                </c:pt>
                <c:pt idx="18">
                  <c:v>1037</c:v>
                </c:pt>
                <c:pt idx="19">
                  <c:v>1068</c:v>
                </c:pt>
                <c:pt idx="20">
                  <c:v>937</c:v>
                </c:pt>
                <c:pt idx="21">
                  <c:v>501</c:v>
                </c:pt>
                <c:pt idx="22">
                  <c:v>479</c:v>
                </c:pt>
                <c:pt idx="23">
                  <c:v>1105</c:v>
                </c:pt>
                <c:pt idx="24">
                  <c:v>529</c:v>
                </c:pt>
                <c:pt idx="25">
                  <c:v>528</c:v>
                </c:pt>
                <c:pt idx="26">
                  <c:v>700</c:v>
                </c:pt>
                <c:pt idx="27">
                  <c:v>568</c:v>
                </c:pt>
                <c:pt idx="28">
                  <c:v>618</c:v>
                </c:pt>
                <c:pt idx="29">
                  <c:v>929</c:v>
                </c:pt>
                <c:pt idx="30">
                  <c:v>1394</c:v>
                </c:pt>
                <c:pt idx="31">
                  <c:v>1324</c:v>
                </c:pt>
                <c:pt idx="32">
                  <c:v>972</c:v>
                </c:pt>
                <c:pt idx="33">
                  <c:v>498</c:v>
                </c:pt>
                <c:pt idx="34">
                  <c:v>767</c:v>
                </c:pt>
                <c:pt idx="35">
                  <c:v>934</c:v>
                </c:pt>
                <c:pt idx="36">
                  <c:v>736</c:v>
                </c:pt>
                <c:pt idx="37">
                  <c:v>690</c:v>
                </c:pt>
                <c:pt idx="38">
                  <c:v>820</c:v>
                </c:pt>
                <c:pt idx="39">
                  <c:v>822</c:v>
                </c:pt>
                <c:pt idx="40">
                  <c:v>938</c:v>
                </c:pt>
                <c:pt idx="41">
                  <c:v>1135</c:v>
                </c:pt>
                <c:pt idx="42">
                  <c:v>1567</c:v>
                </c:pt>
                <c:pt idx="43">
                  <c:v>1446</c:v>
                </c:pt>
                <c:pt idx="44">
                  <c:v>1040</c:v>
                </c:pt>
                <c:pt idx="45">
                  <c:v>678</c:v>
                </c:pt>
                <c:pt idx="46">
                  <c:v>892</c:v>
                </c:pt>
                <c:pt idx="47">
                  <c:v>1547</c:v>
                </c:pt>
                <c:pt idx="48">
                  <c:v>891</c:v>
                </c:pt>
                <c:pt idx="49">
                  <c:v>695</c:v>
                </c:pt>
                <c:pt idx="50">
                  <c:v>735</c:v>
                </c:pt>
                <c:pt idx="51">
                  <c:v>767</c:v>
                </c:pt>
                <c:pt idx="52">
                  <c:v>1003</c:v>
                </c:pt>
                <c:pt idx="53">
                  <c:v>1149</c:v>
                </c:pt>
                <c:pt idx="54">
                  <c:v>1624</c:v>
                </c:pt>
                <c:pt idx="55">
                  <c:v>1661</c:v>
                </c:pt>
                <c:pt idx="56">
                  <c:v>1208</c:v>
                </c:pt>
                <c:pt idx="57">
                  <c:v>667</c:v>
                </c:pt>
                <c:pt idx="58">
                  <c:v>760</c:v>
                </c:pt>
                <c:pt idx="59">
                  <c:v>1885</c:v>
                </c:pt>
                <c:pt idx="60">
                  <c:v>920</c:v>
                </c:pt>
              </c:numCache>
            </c:numRef>
          </c:val>
        </c:ser>
        <c:ser>
          <c:idx val="1"/>
          <c:order val="1"/>
          <c:tx>
            <c:strRef>
              <c:f>Data!$G$3</c:f>
              <c:strCache>
                <c:ptCount val="1"/>
                <c:pt idx="0">
                  <c:v>FCastDemand</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Data!$G$4:$G$64</c:f>
              <c:numCache>
                <c:formatCode>0.00</c:formatCode>
                <c:ptCount val="61"/>
                <c:pt idx="0">
                  <c:v>366.09999999999997</c:v>
                </c:pt>
                <c:pt idx="1">
                  <c:v>375.97799999999995</c:v>
                </c:pt>
                <c:pt idx="2">
                  <c:v>443.24667428571433</c:v>
                </c:pt>
                <c:pt idx="3">
                  <c:v>446.69062308571432</c:v>
                </c:pt>
                <c:pt idx="4">
                  <c:v>510.1334658720001</c:v>
                </c:pt>
                <c:pt idx="5">
                  <c:v>697.29467796668962</c:v>
                </c:pt>
                <c:pt idx="6">
                  <c:v>881.43603731321787</c:v>
                </c:pt>
                <c:pt idx="7">
                  <c:v>908.26146845083804</c:v>
                </c:pt>
                <c:pt idx="8">
                  <c:v>684.53482826073946</c:v>
                </c:pt>
                <c:pt idx="9">
                  <c:v>448.76698754763987</c:v>
                </c:pt>
                <c:pt idx="10">
                  <c:v>456.48568890205888</c:v>
                </c:pt>
                <c:pt idx="11">
                  <c:v>906.34187241510597</c:v>
                </c:pt>
                <c:pt idx="12">
                  <c:v>460.68693165619993</c:v>
                </c:pt>
                <c:pt idx="13">
                  <c:v>461.12858044967385</c:v>
                </c:pt>
                <c:pt idx="14">
                  <c:v>521.66642813732039</c:v>
                </c:pt>
                <c:pt idx="15">
                  <c:v>533.45297029838309</c:v>
                </c:pt>
                <c:pt idx="16">
                  <c:v>632.82436987254448</c:v>
                </c:pt>
                <c:pt idx="17">
                  <c:v>827.90470415919117</c:v>
                </c:pt>
                <c:pt idx="18">
                  <c:v>1076.664967595613</c:v>
                </c:pt>
                <c:pt idx="19">
                  <c:v>1077.9027021276381</c:v>
                </c:pt>
                <c:pt idx="20">
                  <c:v>801.58654671069337</c:v>
                </c:pt>
                <c:pt idx="21">
                  <c:v>525.31630697265678</c:v>
                </c:pt>
                <c:pt idx="22">
                  <c:v>509.0697234460917</c:v>
                </c:pt>
                <c:pt idx="23">
                  <c:v>1047.2441411118125</c:v>
                </c:pt>
                <c:pt idx="24">
                  <c:v>531.17976930078487</c:v>
                </c:pt>
                <c:pt idx="25">
                  <c:v>568.43866999915747</c:v>
                </c:pt>
                <c:pt idx="26">
                  <c:v>610.97644661848926</c:v>
                </c:pt>
                <c:pt idx="27">
                  <c:v>673.90918929796942</c:v>
                </c:pt>
                <c:pt idx="28">
                  <c:v>714.25907666251408</c:v>
                </c:pt>
                <c:pt idx="29">
                  <c:v>930.77200159187578</c:v>
                </c:pt>
                <c:pt idx="30">
                  <c:v>1200.1826099211119</c:v>
                </c:pt>
                <c:pt idx="31">
                  <c:v>1259.1196927064011</c:v>
                </c:pt>
                <c:pt idx="32">
                  <c:v>999.93715336102809</c:v>
                </c:pt>
                <c:pt idx="33">
                  <c:v>587.94490775983013</c:v>
                </c:pt>
                <c:pt idx="34">
                  <c:v>552.09065371052168</c:v>
                </c:pt>
                <c:pt idx="35">
                  <c:v>1287.7793639796078</c:v>
                </c:pt>
                <c:pt idx="36">
                  <c:v>597.07979402693991</c:v>
                </c:pt>
                <c:pt idx="37">
                  <c:v>654.90892950617092</c:v>
                </c:pt>
                <c:pt idx="38">
                  <c:v>774.20879357483136</c:v>
                </c:pt>
                <c:pt idx="39">
                  <c:v>762.2425117469686</c:v>
                </c:pt>
                <c:pt idx="40">
                  <c:v>858.22865835165237</c:v>
                </c:pt>
                <c:pt idx="41">
                  <c:v>1235.0500622313082</c:v>
                </c:pt>
                <c:pt idx="42">
                  <c:v>1658.7461584708615</c:v>
                </c:pt>
                <c:pt idx="43">
                  <c:v>1618.889501712865</c:v>
                </c:pt>
                <c:pt idx="44">
                  <c:v>1214.9464672819895</c:v>
                </c:pt>
                <c:pt idx="45">
                  <c:v>667.41275517846429</c:v>
                </c:pt>
                <c:pt idx="46">
                  <c:v>763.11078019676233</c:v>
                </c:pt>
                <c:pt idx="47">
                  <c:v>1385.0226729786539</c:v>
                </c:pt>
                <c:pt idx="48">
                  <c:v>825.16471465646987</c:v>
                </c:pt>
                <c:pt idx="49">
                  <c:v>835.86490712348336</c:v>
                </c:pt>
                <c:pt idx="50">
                  <c:v>944.56432836967849</c:v>
                </c:pt>
                <c:pt idx="51">
                  <c:v>877.50023933905004</c:v>
                </c:pt>
                <c:pt idx="52">
                  <c:v>942.69890608432718</c:v>
                </c:pt>
                <c:pt idx="53">
                  <c:v>1262.9483468021588</c:v>
                </c:pt>
                <c:pt idx="54">
                  <c:v>1689.9888443595694</c:v>
                </c:pt>
                <c:pt idx="55">
                  <c:v>1609.8874066801761</c:v>
                </c:pt>
                <c:pt idx="56">
                  <c:v>1217.2235671647252</c:v>
                </c:pt>
                <c:pt idx="57">
                  <c:v>721.82226460842719</c:v>
                </c:pt>
                <c:pt idx="58">
                  <c:v>842.76756600973158</c:v>
                </c:pt>
                <c:pt idx="59">
                  <c:v>1412.9140138546602</c:v>
                </c:pt>
                <c:pt idx="60">
                  <c:v>861.83685225385602</c:v>
                </c:pt>
              </c:numCache>
            </c:numRef>
          </c:val>
        </c:ser>
        <c:marker val="1"/>
        <c:axId val="219693824"/>
        <c:axId val="219696128"/>
      </c:lineChart>
      <c:dateAx>
        <c:axId val="219693824"/>
        <c:scaling>
          <c:orientation val="minMax"/>
        </c:scaling>
        <c:axPos val="b"/>
        <c:title>
          <c:tx>
            <c:rich>
              <a:bodyPr/>
              <a:lstStyle/>
              <a:p>
                <a:pPr>
                  <a:defRPr sz="1000" b="1" i="0" u="none" strike="noStrike" baseline="0">
                    <a:solidFill>
                      <a:srgbClr val="000000"/>
                    </a:solidFill>
                    <a:latin typeface="Arial"/>
                    <a:ea typeface="Arial"/>
                    <a:cs typeface="Arial"/>
                  </a:defRPr>
                </a:pPr>
                <a:r>
                  <a:rPr lang="en-US"/>
                  <a:t>Month</a:t>
                </a:r>
              </a:p>
            </c:rich>
          </c:tx>
          <c:layout>
            <c:manualLayout>
              <c:xMode val="edge"/>
              <c:yMode val="edge"/>
              <c:x val="0.43174250832408462"/>
              <c:y val="0.94453507340946163"/>
            </c:manualLayout>
          </c:layout>
          <c:spPr>
            <a:noFill/>
            <a:ln w="25400">
              <a:noFill/>
            </a:ln>
          </c:spPr>
        </c:title>
        <c:numFmt formatCode="mmm\-yy" sourceLinked="0"/>
        <c:majorTickMark val="cross"/>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219696128"/>
        <c:crosses val="autoZero"/>
        <c:auto val="1"/>
        <c:lblOffset val="100"/>
        <c:baseTimeUnit val="months"/>
        <c:majorUnit val="2"/>
        <c:majorTimeUnit val="months"/>
        <c:minorUnit val="1"/>
        <c:minorTimeUnit val="months"/>
      </c:dateAx>
      <c:valAx>
        <c:axId val="219696128"/>
        <c:scaling>
          <c:orientation val="minMax"/>
        </c:scaling>
        <c:axPos val="l"/>
        <c:numFmt formatCode="0" sourceLinked="0"/>
        <c:majorTickMark val="cross"/>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219693824"/>
        <c:crosses val="autoZero"/>
        <c:crossBetween val="midCat"/>
      </c:valAx>
      <c:spPr>
        <a:noFill/>
        <a:ln w="25400">
          <a:noFill/>
        </a:ln>
      </c:spPr>
    </c:plotArea>
    <c:legend>
      <c:legendPos val="r"/>
      <c:layout>
        <c:manualLayout>
          <c:xMode val="edge"/>
          <c:yMode val="edge"/>
          <c:x val="0.86237513873473914"/>
          <c:y val="0.45840130505709631"/>
          <c:w val="0.13318534961154269"/>
          <c:h val="6.6884176182707977E-2"/>
        </c:manualLayout>
      </c:layou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Time series plot of UnitCost and Forecasted</a:t>
            </a:r>
            <a:r>
              <a:rPr lang="en-US" baseline="0"/>
              <a:t> </a:t>
            </a:r>
            <a:r>
              <a:rPr lang="en-US"/>
              <a:t>UnitCost</a:t>
            </a:r>
          </a:p>
        </c:rich>
      </c:tx>
      <c:layout>
        <c:manualLayout>
          <c:xMode val="edge"/>
          <c:yMode val="edge"/>
          <c:x val="0.29744728079911231"/>
          <c:y val="1.9575856443719432E-2"/>
        </c:manualLayout>
      </c:layout>
      <c:spPr>
        <a:noFill/>
        <a:ln w="25400">
          <a:noFill/>
        </a:ln>
      </c:spPr>
    </c:title>
    <c:plotArea>
      <c:layout>
        <c:manualLayout>
          <c:layoutTarget val="inner"/>
          <c:xMode val="edge"/>
          <c:yMode val="edge"/>
          <c:x val="5.9933407325194317E-2"/>
          <c:y val="0.1223491027732464"/>
          <c:w val="0.79023307436182022"/>
          <c:h val="0.73735725938009844"/>
        </c:manualLayout>
      </c:layout>
      <c:lineChart>
        <c:grouping val="standard"/>
        <c:ser>
          <c:idx val="0"/>
          <c:order val="0"/>
          <c:tx>
            <c:strRef>
              <c:f>Data!$C$3</c:f>
              <c:strCache>
                <c:ptCount val="1"/>
                <c:pt idx="0">
                  <c:v>UnitCost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Data!$A$4:$A$64</c:f>
              <c:numCache>
                <c:formatCode>mmm\-yy</c:formatCode>
                <c:ptCount val="61"/>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numCache>
            </c:numRef>
          </c:cat>
          <c:val>
            <c:numRef>
              <c:f>Data!$C$4:$C$64</c:f>
              <c:numCache>
                <c:formatCode>0.00</c:formatCode>
                <c:ptCount val="61"/>
                <c:pt idx="0">
                  <c:v>55.5</c:v>
                </c:pt>
                <c:pt idx="1">
                  <c:v>61</c:v>
                </c:pt>
                <c:pt idx="2">
                  <c:v>63.42</c:v>
                </c:pt>
                <c:pt idx="3">
                  <c:v>57.17</c:v>
                </c:pt>
                <c:pt idx="4">
                  <c:v>62.62</c:v>
                </c:pt>
                <c:pt idx="5">
                  <c:v>65.66</c:v>
                </c:pt>
                <c:pt idx="6">
                  <c:v>64.180000000000007</c:v>
                </c:pt>
                <c:pt idx="7">
                  <c:v>69.37</c:v>
                </c:pt>
                <c:pt idx="8">
                  <c:v>66.959999999999994</c:v>
                </c:pt>
                <c:pt idx="9">
                  <c:v>65.87</c:v>
                </c:pt>
                <c:pt idx="10">
                  <c:v>62.01</c:v>
                </c:pt>
                <c:pt idx="11">
                  <c:v>70.98</c:v>
                </c:pt>
                <c:pt idx="12">
                  <c:v>71.72</c:v>
                </c:pt>
                <c:pt idx="13">
                  <c:v>71.44</c:v>
                </c:pt>
                <c:pt idx="14">
                  <c:v>72.95</c:v>
                </c:pt>
                <c:pt idx="15">
                  <c:v>72.66</c:v>
                </c:pt>
                <c:pt idx="16">
                  <c:v>75.77</c:v>
                </c:pt>
                <c:pt idx="17">
                  <c:v>77.260000000000005</c:v>
                </c:pt>
                <c:pt idx="18">
                  <c:v>73.069999999999993</c:v>
                </c:pt>
                <c:pt idx="19">
                  <c:v>75.459999999999994</c:v>
                </c:pt>
                <c:pt idx="20">
                  <c:v>79.23</c:v>
                </c:pt>
                <c:pt idx="21">
                  <c:v>75.319999999999993</c:v>
                </c:pt>
                <c:pt idx="22">
                  <c:v>81.489999999999995</c:v>
                </c:pt>
                <c:pt idx="23">
                  <c:v>84.66</c:v>
                </c:pt>
                <c:pt idx="24">
                  <c:v>84.58</c:v>
                </c:pt>
                <c:pt idx="25">
                  <c:v>82.76</c:v>
                </c:pt>
                <c:pt idx="26">
                  <c:v>82.86</c:v>
                </c:pt>
                <c:pt idx="27">
                  <c:v>87.81</c:v>
                </c:pt>
                <c:pt idx="28">
                  <c:v>88.5</c:v>
                </c:pt>
                <c:pt idx="29">
                  <c:v>88.19</c:v>
                </c:pt>
                <c:pt idx="30">
                  <c:v>85.47</c:v>
                </c:pt>
                <c:pt idx="31">
                  <c:v>88</c:v>
                </c:pt>
                <c:pt idx="32">
                  <c:v>88.22</c:v>
                </c:pt>
                <c:pt idx="33">
                  <c:v>90.73</c:v>
                </c:pt>
                <c:pt idx="34">
                  <c:v>93.78</c:v>
                </c:pt>
                <c:pt idx="35">
                  <c:v>96.39</c:v>
                </c:pt>
                <c:pt idx="36">
                  <c:v>94.41</c:v>
                </c:pt>
                <c:pt idx="37">
                  <c:v>96.32</c:v>
                </c:pt>
                <c:pt idx="38">
                  <c:v>95.12</c:v>
                </c:pt>
                <c:pt idx="39">
                  <c:v>99.36</c:v>
                </c:pt>
                <c:pt idx="40">
                  <c:v>97.93</c:v>
                </c:pt>
                <c:pt idx="41">
                  <c:v>103.12</c:v>
                </c:pt>
                <c:pt idx="42">
                  <c:v>103.46</c:v>
                </c:pt>
                <c:pt idx="43">
                  <c:v>100.39</c:v>
                </c:pt>
                <c:pt idx="44">
                  <c:v>101.11</c:v>
                </c:pt>
                <c:pt idx="45">
                  <c:v>100.83</c:v>
                </c:pt>
                <c:pt idx="46">
                  <c:v>104.22</c:v>
                </c:pt>
                <c:pt idx="47">
                  <c:v>103.91</c:v>
                </c:pt>
                <c:pt idx="48">
                  <c:v>107</c:v>
                </c:pt>
                <c:pt idx="49">
                  <c:v>107.66</c:v>
                </c:pt>
                <c:pt idx="50">
                  <c:v>106.07</c:v>
                </c:pt>
                <c:pt idx="51">
                  <c:v>108.19</c:v>
                </c:pt>
                <c:pt idx="52">
                  <c:v>111.71</c:v>
                </c:pt>
                <c:pt idx="53">
                  <c:v>108.53</c:v>
                </c:pt>
                <c:pt idx="54">
                  <c:v>112.37</c:v>
                </c:pt>
                <c:pt idx="55">
                  <c:v>107.38</c:v>
                </c:pt>
                <c:pt idx="56">
                  <c:v>115.17</c:v>
                </c:pt>
                <c:pt idx="57">
                  <c:v>114.29</c:v>
                </c:pt>
                <c:pt idx="58">
                  <c:v>113.09</c:v>
                </c:pt>
                <c:pt idx="59">
                  <c:v>120.58</c:v>
                </c:pt>
                <c:pt idx="60" formatCode="General">
                  <c:v>122</c:v>
                </c:pt>
              </c:numCache>
            </c:numRef>
          </c:val>
        </c:ser>
        <c:ser>
          <c:idx val="1"/>
          <c:order val="1"/>
          <c:tx>
            <c:strRef>
              <c:f>Data!$J$3</c:f>
              <c:strCache>
                <c:ptCount val="1"/>
                <c:pt idx="0">
                  <c:v>FCastUnitCost</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Data!$J$4:$J$64</c:f>
              <c:numCache>
                <c:formatCode>0.00</c:formatCode>
                <c:ptCount val="61"/>
                <c:pt idx="0">
                  <c:v>57.2</c:v>
                </c:pt>
                <c:pt idx="1">
                  <c:v>58.138999999999996</c:v>
                </c:pt>
                <c:pt idx="2">
                  <c:v>60.532129999999995</c:v>
                </c:pt>
                <c:pt idx="3">
                  <c:v>63.019957099999992</c:v>
                </c:pt>
                <c:pt idx="4">
                  <c:v>62.710937356999999</c:v>
                </c:pt>
                <c:pt idx="5">
                  <c:v>64.126895416189981</c:v>
                </c:pt>
                <c:pt idx="6">
                  <c:v>66.076059195137276</c:v>
                </c:pt>
                <c:pt idx="7">
                  <c:v>66.939592064546275</c:v>
                </c:pt>
                <c:pt idx="8">
                  <c:v>69.173977311196182</c:v>
                </c:pt>
                <c:pt idx="9">
                  <c:v>69.948627664515229</c:v>
                </c:pt>
                <c:pt idx="10">
                  <c:v>70.041524081903106</c:v>
                </c:pt>
                <c:pt idx="11">
                  <c:v>68.707605851617515</c:v>
                </c:pt>
                <c:pt idx="12">
                  <c:v>70.533034914869091</c:v>
                </c:pt>
                <c:pt idx="13">
                  <c:v>72.068444211699102</c:v>
                </c:pt>
                <c:pt idx="14">
                  <c:v>73.040377393129148</c:v>
                </c:pt>
                <c:pt idx="15">
                  <c:v>74.171019298336304</c:v>
                </c:pt>
                <c:pt idx="16">
                  <c:v>74.83013805303122</c:v>
                </c:pt>
                <c:pt idx="17">
                  <c:v>76.252717039726733</c:v>
                </c:pt>
                <c:pt idx="18">
                  <c:v>77.725740819221798</c:v>
                </c:pt>
                <c:pt idx="19">
                  <c:v>77.360185240291685</c:v>
                </c:pt>
                <c:pt idx="20">
                  <c:v>77.764290777831846</c:v>
                </c:pt>
                <c:pt idx="21">
                  <c:v>79.222135930775011</c:v>
                </c:pt>
                <c:pt idx="22">
                  <c:v>78.952563459911957</c:v>
                </c:pt>
                <c:pt idx="23">
                  <c:v>80.69098582651047</c:v>
                </c:pt>
                <c:pt idx="24">
                  <c:v>82.97795190833412</c:v>
                </c:pt>
                <c:pt idx="25">
                  <c:v>84.602889608360641</c:v>
                </c:pt>
                <c:pt idx="26">
                  <c:v>85.139059310128388</c:v>
                </c:pt>
                <c:pt idx="27">
                  <c:v>85.476006322061963</c:v>
                </c:pt>
                <c:pt idx="28">
                  <c:v>87.266889040753611</c:v>
                </c:pt>
                <c:pt idx="29">
                  <c:v>88.764500272615152</c:v>
                </c:pt>
                <c:pt idx="30">
                  <c:v>89.702593126739771</c:v>
                </c:pt>
                <c:pt idx="31">
                  <c:v>89.416280330824804</c:v>
                </c:pt>
                <c:pt idx="32">
                  <c:v>89.93237296375959</c:v>
                </c:pt>
                <c:pt idx="33">
                  <c:v>90.30826661790114</c:v>
                </c:pt>
                <c:pt idx="34">
                  <c:v>91.337044177263209</c:v>
                </c:pt>
                <c:pt idx="35">
                  <c:v>93.045477143498758</c:v>
                </c:pt>
                <c:pt idx="36">
                  <c:v>95.124715905558688</c:v>
                </c:pt>
                <c:pt idx="37">
                  <c:v>95.964741561833861</c:v>
                </c:pt>
                <c:pt idx="38">
                  <c:v>97.136417274371482</c:v>
                </c:pt>
                <c:pt idx="39">
                  <c:v>97.536097754916668</c:v>
                </c:pt>
                <c:pt idx="40">
                  <c:v>99.142591158650802</c:v>
                </c:pt>
                <c:pt idx="41">
                  <c:v>99.801758806505163</c:v>
                </c:pt>
                <c:pt idx="42">
                  <c:v>101.91972339580806</c:v>
                </c:pt>
                <c:pt idx="43">
                  <c:v>103.55050690644583</c:v>
                </c:pt>
                <c:pt idx="44">
                  <c:v>103.67624015669891</c:v>
                </c:pt>
                <c:pt idx="45">
                  <c:v>103.9032662271751</c:v>
                </c:pt>
                <c:pt idx="46">
                  <c:v>103.88598648969317</c:v>
                </c:pt>
                <c:pt idx="47">
                  <c:v>104.90091107876502</c:v>
                </c:pt>
                <c:pt idx="48">
                  <c:v>105.48863095875237</c:v>
                </c:pt>
                <c:pt idx="49">
                  <c:v>106.87237594598093</c:v>
                </c:pt>
                <c:pt idx="50">
                  <c:v>108.0626261586615</c:v>
                </c:pt>
                <c:pt idx="51">
                  <c:v>108.35902252277806</c:v>
                </c:pt>
                <c:pt idx="52">
                  <c:v>109.1974293019763</c:v>
                </c:pt>
                <c:pt idx="53">
                  <c:v>110.91569116835579</c:v>
                </c:pt>
                <c:pt idx="54">
                  <c:v>111.09290373977075</c:v>
                </c:pt>
                <c:pt idx="55">
                  <c:v>112.40726542756811</c:v>
                </c:pt>
                <c:pt idx="56">
                  <c:v>111.6795006461992</c:v>
                </c:pt>
                <c:pt idx="57">
                  <c:v>113.61178027985501</c:v>
                </c:pt>
                <c:pt idx="58">
                  <c:v>114.72072261501843</c:v>
                </c:pt>
                <c:pt idx="59">
                  <c:v>115.08806057118227</c:v>
                </c:pt>
                <c:pt idx="60">
                  <c:v>117.75695532336148</c:v>
                </c:pt>
              </c:numCache>
            </c:numRef>
          </c:val>
        </c:ser>
        <c:marker val="1"/>
        <c:axId val="221580672"/>
        <c:axId val="221624192"/>
      </c:lineChart>
      <c:dateAx>
        <c:axId val="221580672"/>
        <c:scaling>
          <c:orientation val="minMax"/>
        </c:scaling>
        <c:axPos val="b"/>
        <c:title>
          <c:tx>
            <c:rich>
              <a:bodyPr/>
              <a:lstStyle/>
              <a:p>
                <a:pPr>
                  <a:defRPr sz="1000" b="1" i="0" u="none" strike="noStrike" baseline="0">
                    <a:solidFill>
                      <a:srgbClr val="000000"/>
                    </a:solidFill>
                    <a:latin typeface="Arial"/>
                    <a:ea typeface="Arial"/>
                    <a:cs typeface="Arial"/>
                  </a:defRPr>
                </a:pPr>
                <a:r>
                  <a:rPr lang="en-US"/>
                  <a:t>Month</a:t>
                </a:r>
              </a:p>
            </c:rich>
          </c:tx>
          <c:layout>
            <c:manualLayout>
              <c:xMode val="edge"/>
              <c:yMode val="edge"/>
              <c:x val="0.43174250832408462"/>
              <c:y val="0.94453507340946163"/>
            </c:manualLayout>
          </c:layout>
          <c:spPr>
            <a:noFill/>
            <a:ln w="25400">
              <a:noFill/>
            </a:ln>
          </c:spPr>
        </c:title>
        <c:numFmt formatCode="mmm\-yy" sourceLinked="0"/>
        <c:majorTickMark val="cross"/>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221624192"/>
        <c:crosses val="autoZero"/>
        <c:auto val="1"/>
        <c:lblOffset val="100"/>
        <c:baseTimeUnit val="months"/>
        <c:majorUnit val="2"/>
        <c:majorTimeUnit val="months"/>
        <c:minorUnit val="1"/>
        <c:minorTimeUnit val="months"/>
      </c:dateAx>
      <c:valAx>
        <c:axId val="221624192"/>
        <c:scaling>
          <c:orientation val="minMax"/>
        </c:scaling>
        <c:axPos val="l"/>
        <c:numFmt formatCode="0" sourceLinked="0"/>
        <c:majorTickMark val="cross"/>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221580672"/>
        <c:crosses val="autoZero"/>
        <c:crossBetween val="midCat"/>
      </c:valAx>
      <c:spPr>
        <a:noFill/>
        <a:ln w="25400">
          <a:noFill/>
        </a:ln>
      </c:spPr>
    </c:plotArea>
    <c:legend>
      <c:legendPos val="r"/>
      <c:layout>
        <c:manualLayout>
          <c:xMode val="edge"/>
          <c:yMode val="edge"/>
          <c:x val="0.86237513873473914"/>
          <c:y val="0.45840130505709631"/>
          <c:w val="0.13318534961154269"/>
          <c:h val="6.6884176182707977E-2"/>
        </c:manualLayout>
      </c:layou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3"/>
  <sheetViews>
    <sheetView zoomScale="140"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sheetPr codeName="Chart4"/>
  <sheetViews>
    <sheetView zoomScale="130" workbookViewId="0" zoomToFit="1"/>
  </sheetViews>
  <pageMargins left="0.75" right="0.75" top="1" bottom="1" header="0.5" footer="0.5"/>
  <headerFooter alignWithMargins="0"/>
  <drawing r:id="rId1"/>
  <legacyDrawing r:id="rId2"/>
</chartsheet>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368300</xdr:colOff>
      <xdr:row>5</xdr:row>
      <xdr:rowOff>12701</xdr:rowOff>
    </xdr:from>
    <xdr:to>
      <xdr:col>11</xdr:col>
      <xdr:colOff>104775</xdr:colOff>
      <xdr:row>33</xdr:row>
      <xdr:rowOff>19050</xdr:rowOff>
    </xdr:to>
    <xdr:sp macro="" textlink="">
      <xdr:nvSpPr>
        <xdr:cNvPr id="3" name="TextBox 2"/>
        <xdr:cNvSpPr txBox="1"/>
      </xdr:nvSpPr>
      <xdr:spPr>
        <a:xfrm>
          <a:off x="368300" y="965201"/>
          <a:ext cx="6442075" cy="5340349"/>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uses exponential smoothing to forecast future demands and unit production costs from historical data. The future forecasts are inputs to a production planning optimization model, where the production quantities are the changing cells, total cost is the target, and the constraints are that demand must be met from available inventory, production cannot exceed production capacity, and ending inventory cannot exceed storage capacity.
The user has four basic options:
1. Find an optimal production plan, with demand and unit cost forecasts based on all observed data so far.
2. View the demand and unit cost data, along with their forecasts.
3. Enter new observed demand and unit cost data, as would be done in a rolling planning horizon procedure.
4. Change the smoothing constants for forecasting.
Some other information about the model:
1. The Data sheet currently includes several years of monthly data on demands and unit production costs in columns B and C. Demand is assumed to be seasonal, with an upward trend. Unit production costs are not seasonal, but they are trending upward through time. To the right on the Data sheet (starting in column AA), parameters for the Winters' and Holt's exponential smoothing methods are listed (smoothing constants and initialization constants). If you like, you can enter new demand and unit cost data, as well as new smoothing constants and appropriate initilization constants, in place of the data here.
2. The unit holding cost is assumed to be a percentage of the unit production cost, where this percentage is a user input.  The holding cost can be based on ending inventory or on the average of beginning and ending inventories.
3. Only a percentage of a month's production can be used to meet that month's demand.  The rest goes into ending inventory. (This percentage can be 100%.)
4. Production capacity and storage capacity are assumed to be constant through time.
5. The planning horizon for the optimization model can be from 3 to 12 months.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349250</xdr:colOff>
      <xdr:row>6</xdr:row>
      <xdr:rowOff>69850</xdr:rowOff>
    </xdr:from>
    <xdr:to>
      <xdr:col>16</xdr:col>
      <xdr:colOff>590550</xdr:colOff>
      <xdr:row>12</xdr:row>
      <xdr:rowOff>0</xdr:rowOff>
    </xdr:to>
    <xdr:sp macro="" textlink="">
      <xdr:nvSpPr>
        <xdr:cNvPr id="3" name="TextBox 2"/>
        <xdr:cNvSpPr txBox="1"/>
      </xdr:nvSpPr>
      <xdr:spPr>
        <a:xfrm>
          <a:off x="3949700" y="1993900"/>
          <a:ext cx="2794000" cy="107315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The exponential smoothing calculations and the absolute percentage errors are hidden in columns D-F, H-I, and K-M. Unhide them if you like.  Smoothing constants and initialization constants are out in column AA.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85725</xdr:colOff>
      <xdr:row>6</xdr:row>
      <xdr:rowOff>38100</xdr:rowOff>
    </xdr:from>
    <xdr:to>
      <xdr:col>10</xdr:col>
      <xdr:colOff>390525</xdr:colOff>
      <xdr:row>20</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6">
    <pageSetUpPr fitToPage="1"/>
  </sheetPr>
  <dimension ref="B2:K2"/>
  <sheetViews>
    <sheetView showGridLines="0" tabSelected="1" workbookViewId="0">
      <selection activeCell="F4" sqref="F4"/>
    </sheetView>
  </sheetViews>
  <sheetFormatPr defaultRowHeight="15" customHeight="1"/>
  <cols>
    <col min="1" max="16384" width="9.140625" style="1"/>
  </cols>
  <sheetData>
    <row r="2" spans="2:11" ht="15" customHeight="1">
      <c r="B2" s="16" t="s">
        <v>54</v>
      </c>
      <c r="C2" s="16"/>
      <c r="D2" s="16"/>
      <c r="E2" s="16"/>
      <c r="F2" s="16"/>
      <c r="G2" s="16"/>
      <c r="H2" s="16"/>
      <c r="I2" s="16"/>
      <c r="J2" s="16"/>
      <c r="K2" s="16"/>
    </row>
  </sheetData>
  <mergeCells count="1">
    <mergeCell ref="B2:K2"/>
  </mergeCells>
  <phoneticPr fontId="0" type="noConversion"/>
  <pageMargins left="0.75" right="0.75" top="1" bottom="1" header="0.5" footer="0.5"/>
  <pageSetup scale="83"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
    <pageSetUpPr fitToPage="1"/>
  </sheetPr>
  <dimension ref="A1:AE65"/>
  <sheetViews>
    <sheetView workbookViewId="0">
      <selection activeCell="N9" sqref="N9"/>
    </sheetView>
  </sheetViews>
  <sheetFormatPr defaultRowHeight="15"/>
  <cols>
    <col min="1" max="3" width="9.140625" style="3"/>
    <col min="4" max="6" width="9.140625" style="3" hidden="1" customWidth="1"/>
    <col min="7" max="7" width="13.140625" style="3" bestFit="1" customWidth="1"/>
    <col min="8" max="8" width="0" style="3" hidden="1" customWidth="1"/>
    <col min="9" max="9" width="9.42578125" style="3" hidden="1" customWidth="1"/>
    <col min="10" max="10" width="13.42578125" style="3" bestFit="1" customWidth="1"/>
    <col min="11" max="12" width="10.5703125" style="3" hidden="1" customWidth="1"/>
    <col min="13" max="13" width="9.140625" style="3"/>
    <col min="14" max="14" width="10.85546875" style="3" customWidth="1"/>
    <col min="15" max="26" width="9.140625" style="3"/>
    <col min="27" max="27" width="11.28515625" style="3" customWidth="1"/>
    <col min="28" max="28" width="9.140625" style="3"/>
    <col min="29" max="29" width="16.42578125" style="3" customWidth="1"/>
    <col min="30" max="16384" width="9.140625" style="3"/>
  </cols>
  <sheetData>
    <row r="1" spans="1:31">
      <c r="A1" s="2" t="s">
        <v>0</v>
      </c>
    </row>
    <row r="2" spans="1:31" ht="76.5" customHeight="1"/>
    <row r="3" spans="1:31">
      <c r="A3" s="4" t="s">
        <v>1</v>
      </c>
      <c r="B3" s="4" t="s">
        <v>2</v>
      </c>
      <c r="C3" s="4" t="s">
        <v>3</v>
      </c>
      <c r="D3" s="4" t="s">
        <v>27</v>
      </c>
      <c r="E3" s="4" t="s">
        <v>28</v>
      </c>
      <c r="F3" s="4" t="s">
        <v>29</v>
      </c>
      <c r="G3" s="4" t="s">
        <v>23</v>
      </c>
      <c r="H3" s="4" t="s">
        <v>26</v>
      </c>
      <c r="I3" s="4" t="s">
        <v>25</v>
      </c>
      <c r="J3" s="4" t="s">
        <v>24</v>
      </c>
      <c r="K3" s="4" t="s">
        <v>30</v>
      </c>
      <c r="L3" s="4" t="s">
        <v>31</v>
      </c>
      <c r="N3" s="5" t="s">
        <v>55</v>
      </c>
      <c r="AA3" s="5" t="s">
        <v>20</v>
      </c>
    </row>
    <row r="4" spans="1:31">
      <c r="A4" s="6">
        <v>37987</v>
      </c>
      <c r="B4" s="3">
        <v>376</v>
      </c>
      <c r="C4" s="7">
        <v>55.5</v>
      </c>
      <c r="D4" s="7">
        <f>Alpha1*B4/AB15+(1-Alpha1)*(AB11+AB12)</f>
        <v>525.82857142857142</v>
      </c>
      <c r="E4" s="7">
        <f>Beta1*(D4-AB11)+(1-Beta1)*AB12</f>
        <v>11.282857142857143</v>
      </c>
      <c r="F4" s="7">
        <f t="shared" ref="F4:F15" si="0">Gamma1*B4/D4+(1-Gamma1)*AB15</f>
        <v>0.70602477722234291</v>
      </c>
      <c r="G4" s="7">
        <f>(AB11+AB12)*AB15</f>
        <v>366.09999999999997</v>
      </c>
      <c r="H4" s="7">
        <f>Alpha2*C4+(1-Alpha2)*(AE11+AE12)</f>
        <v>56.69</v>
      </c>
      <c r="I4" s="7">
        <f>Beta2*(H4-AE11)+(1-Beta2)*AE12</f>
        <v>1.4489999999999996</v>
      </c>
      <c r="J4" s="7">
        <f>AE11+AE12</f>
        <v>57.2</v>
      </c>
      <c r="K4" s="7">
        <f>ABS((G4-B4)/B4)</f>
        <v>2.6329787234042643E-2</v>
      </c>
      <c r="L4" s="7">
        <f>ABS((J4-C4)/C4)</f>
        <v>3.0630630630630682E-2</v>
      </c>
      <c r="N4" s="3" t="s">
        <v>56</v>
      </c>
      <c r="O4" s="8">
        <f>AVERAGE(_APE1)</f>
        <v>9.0890872731797134E-2</v>
      </c>
    </row>
    <row r="5" spans="1:31">
      <c r="A5" s="6">
        <v>38018</v>
      </c>
      <c r="B5" s="3">
        <v>394</v>
      </c>
      <c r="C5" s="7">
        <v>61</v>
      </c>
      <c r="D5" s="7">
        <f t="shared" ref="D5:D15" si="1">Alpha1*B5/AB16+(1-Alpha1)*(D4+E4)</f>
        <v>542.26057142857144</v>
      </c>
      <c r="E5" s="7">
        <f>Beta1*(D5-D4)+(1-Beta1)*E4</f>
        <v>11.797771428571432</v>
      </c>
      <c r="F5" s="7">
        <f t="shared" si="0"/>
        <v>0.71063518224238009</v>
      </c>
      <c r="G5" s="7">
        <f t="shared" ref="G5:G15" si="2">(D4+E4)*AB16</f>
        <v>375.97799999999995</v>
      </c>
      <c r="H5" s="7">
        <f>Alpha2*C5+(1-Alpha2)*(H4+I4)</f>
        <v>58.997299999999996</v>
      </c>
      <c r="I5" s="7">
        <f>Beta2*(H5-H4)+(1-Beta2)*I4</f>
        <v>1.5348299999999995</v>
      </c>
      <c r="J5" s="7">
        <f>H4+I4</f>
        <v>58.138999999999996</v>
      </c>
      <c r="K5" s="7">
        <f t="shared" ref="K5:K63" si="3">ABS((G5-B5)/B5)</f>
        <v>4.5741116751269156E-2</v>
      </c>
      <c r="L5" s="7">
        <f t="shared" ref="L5:L63" si="4">ABS((J5-C5)/C5)</f>
        <v>4.6901639344262364E-2</v>
      </c>
      <c r="N5" s="3" t="s">
        <v>57</v>
      </c>
      <c r="O5" s="8">
        <f>AVERAGE(_APE2)</f>
        <v>2.6713208002300318E-2</v>
      </c>
      <c r="AA5" s="3" t="s">
        <v>21</v>
      </c>
      <c r="AD5" s="3" t="s">
        <v>22</v>
      </c>
    </row>
    <row r="6" spans="1:31">
      <c r="A6" s="6">
        <v>38047</v>
      </c>
      <c r="B6" s="3">
        <v>416</v>
      </c>
      <c r="C6" s="7">
        <v>63.42</v>
      </c>
      <c r="D6" s="7">
        <f t="shared" si="1"/>
        <v>547.24667428571433</v>
      </c>
      <c r="E6" s="7">
        <f t="shared" ref="E6:E13" si="5">Beta1*(D6-D5)+(1-Beta1)*E5</f>
        <v>11.116604571428578</v>
      </c>
      <c r="F6" s="7">
        <f t="shared" si="0"/>
        <v>0.78406763132401158</v>
      </c>
      <c r="G6" s="7">
        <f t="shared" si="2"/>
        <v>443.24667428571433</v>
      </c>
      <c r="H6" s="7">
        <f t="shared" ref="H6:H63" si="6">Alpha2*C6+(1-Alpha2)*(H5+I5)</f>
        <v>61.398490999999993</v>
      </c>
      <c r="I6" s="7">
        <f t="shared" ref="I6:I63" si="7">Beta2*(H6-H5)+(1-Beta2)*I5</f>
        <v>1.6214660999999995</v>
      </c>
      <c r="J6" s="7">
        <f t="shared" ref="J6:J63" si="8">H5+I5</f>
        <v>60.532129999999995</v>
      </c>
      <c r="K6" s="7">
        <f t="shared" si="3"/>
        <v>6.5496813186813302E-2</v>
      </c>
      <c r="L6" s="7">
        <f t="shared" si="4"/>
        <v>4.5535635446231577E-2</v>
      </c>
      <c r="AA6" s="3" t="s">
        <v>4</v>
      </c>
      <c r="AB6" s="3">
        <v>0.2</v>
      </c>
      <c r="AD6" s="3" t="s">
        <v>4</v>
      </c>
      <c r="AE6" s="3">
        <v>0.3</v>
      </c>
    </row>
    <row r="7" spans="1:31">
      <c r="A7" s="6">
        <v>38078</v>
      </c>
      <c r="B7" s="3">
        <v>437</v>
      </c>
      <c r="C7" s="7">
        <v>57.17</v>
      </c>
      <c r="D7" s="7">
        <f t="shared" si="1"/>
        <v>555.94062308571438</v>
      </c>
      <c r="E7" s="7">
        <f t="shared" si="5"/>
        <v>10.874338994285726</v>
      </c>
      <c r="F7" s="7">
        <f t="shared" si="0"/>
        <v>0.79442206728801956</v>
      </c>
      <c r="G7" s="7">
        <f t="shared" si="2"/>
        <v>446.69062308571432</v>
      </c>
      <c r="H7" s="7">
        <f t="shared" si="6"/>
        <v>61.264969969999996</v>
      </c>
      <c r="I7" s="7">
        <f t="shared" si="7"/>
        <v>1.4459673869999998</v>
      </c>
      <c r="J7" s="7">
        <f t="shared" si="8"/>
        <v>63.019957099999992</v>
      </c>
      <c r="K7" s="7">
        <f t="shared" si="3"/>
        <v>2.2175338868911491E-2</v>
      </c>
      <c r="L7" s="7">
        <f t="shared" si="4"/>
        <v>0.10232564456882963</v>
      </c>
      <c r="AA7" s="3" t="s">
        <v>5</v>
      </c>
      <c r="AB7" s="3">
        <v>0.1</v>
      </c>
      <c r="AD7" s="3" t="s">
        <v>5</v>
      </c>
      <c r="AE7" s="3">
        <v>0.1</v>
      </c>
    </row>
    <row r="8" spans="1:31">
      <c r="A8" s="6">
        <v>38108</v>
      </c>
      <c r="B8" s="3">
        <v>524</v>
      </c>
      <c r="C8" s="7">
        <v>62.62</v>
      </c>
      <c r="D8" s="7">
        <f t="shared" si="1"/>
        <v>569.89641410844456</v>
      </c>
      <c r="E8" s="7">
        <f t="shared" si="5"/>
        <v>11.182484197130172</v>
      </c>
      <c r="F8" s="7">
        <f t="shared" si="0"/>
        <v>0.90778613588559209</v>
      </c>
      <c r="G8" s="7">
        <f t="shared" si="2"/>
        <v>510.1334658720001</v>
      </c>
      <c r="H8" s="7">
        <f t="shared" si="6"/>
        <v>62.683656149899988</v>
      </c>
      <c r="I8" s="7">
        <f t="shared" si="7"/>
        <v>1.4432392662899991</v>
      </c>
      <c r="J8" s="7">
        <f t="shared" si="8"/>
        <v>62.710937356999999</v>
      </c>
      <c r="K8" s="7">
        <f t="shared" si="3"/>
        <v>2.6462851389312782E-2</v>
      </c>
      <c r="L8" s="7">
        <f t="shared" si="4"/>
        <v>1.4522094698179717E-3</v>
      </c>
      <c r="AA8" s="3" t="s">
        <v>19</v>
      </c>
      <c r="AB8" s="3">
        <v>0.4</v>
      </c>
    </row>
    <row r="9" spans="1:31">
      <c r="A9" s="6">
        <v>38139</v>
      </c>
      <c r="B9" s="3">
        <v>672</v>
      </c>
      <c r="C9" s="7">
        <v>65.66</v>
      </c>
      <c r="D9" s="7">
        <f t="shared" si="1"/>
        <v>576.86311864445986</v>
      </c>
      <c r="E9" s="7">
        <f t="shared" si="5"/>
        <v>10.760906231018685</v>
      </c>
      <c r="F9" s="7">
        <f t="shared" si="0"/>
        <v>1.1859684270189415</v>
      </c>
      <c r="G9" s="7">
        <f t="shared" si="2"/>
        <v>697.29467796668962</v>
      </c>
      <c r="H9" s="7">
        <f t="shared" si="6"/>
        <v>64.586826791332982</v>
      </c>
      <c r="I9" s="7">
        <f t="shared" si="7"/>
        <v>1.4892324038042986</v>
      </c>
      <c r="J9" s="7">
        <f t="shared" si="8"/>
        <v>64.126895416189981</v>
      </c>
      <c r="K9" s="7">
        <f t="shared" si="3"/>
        <v>3.7640889831383362E-2</v>
      </c>
      <c r="L9" s="7">
        <f t="shared" si="4"/>
        <v>2.3349140782973125E-2</v>
      </c>
    </row>
    <row r="10" spans="1:31">
      <c r="A10" s="6">
        <v>38169</v>
      </c>
      <c r="B10" s="3">
        <v>930</v>
      </c>
      <c r="C10" s="7">
        <v>64.180000000000007</v>
      </c>
      <c r="D10" s="7">
        <f t="shared" si="1"/>
        <v>594.09921990038288</v>
      </c>
      <c r="E10" s="7">
        <f t="shared" si="5"/>
        <v>11.408425733509119</v>
      </c>
      <c r="F10" s="7">
        <f t="shared" si="0"/>
        <v>1.526158034784789</v>
      </c>
      <c r="G10" s="7">
        <f t="shared" si="2"/>
        <v>881.43603731321787</v>
      </c>
      <c r="H10" s="7">
        <f t="shared" si="6"/>
        <v>65.50724143659609</v>
      </c>
      <c r="I10" s="7">
        <f t="shared" si="7"/>
        <v>1.4323506279501794</v>
      </c>
      <c r="J10" s="7">
        <f t="shared" si="8"/>
        <v>66.076059195137276</v>
      </c>
      <c r="K10" s="7">
        <f t="shared" si="3"/>
        <v>5.2219314716970035E-2</v>
      </c>
      <c r="L10" s="7">
        <f t="shared" si="4"/>
        <v>2.9542835698617466E-2</v>
      </c>
      <c r="AA10" s="5" t="s">
        <v>58</v>
      </c>
      <c r="AD10" s="3" t="s">
        <v>59</v>
      </c>
    </row>
    <row r="11" spans="1:31">
      <c r="A11" s="6">
        <v>38200</v>
      </c>
      <c r="B11" s="3">
        <v>945</v>
      </c>
      <c r="C11" s="7">
        <v>69.37</v>
      </c>
      <c r="D11" s="7">
        <f t="shared" si="1"/>
        <v>610.40611650711367</v>
      </c>
      <c r="E11" s="7">
        <f t="shared" si="5"/>
        <v>11.898272820831288</v>
      </c>
      <c r="F11" s="7">
        <f t="shared" si="0"/>
        <v>1.5192598497587215</v>
      </c>
      <c r="G11" s="7">
        <f t="shared" si="2"/>
        <v>908.26146845083804</v>
      </c>
      <c r="H11" s="7">
        <f t="shared" si="6"/>
        <v>67.668714445182388</v>
      </c>
      <c r="I11" s="7">
        <f t="shared" si="7"/>
        <v>1.5052628660137914</v>
      </c>
      <c r="J11" s="7">
        <f t="shared" si="8"/>
        <v>66.939592064546275</v>
      </c>
      <c r="K11" s="7">
        <f t="shared" si="3"/>
        <v>3.8876752962076148E-2</v>
      </c>
      <c r="L11" s="7">
        <f t="shared" si="4"/>
        <v>3.5035432253909891E-2</v>
      </c>
      <c r="AA11" s="3" t="s">
        <v>4</v>
      </c>
      <c r="AB11" s="3">
        <v>512</v>
      </c>
      <c r="AD11" s="3" t="s">
        <v>4</v>
      </c>
      <c r="AE11" s="3">
        <v>55.7</v>
      </c>
    </row>
    <row r="12" spans="1:31">
      <c r="A12" s="6">
        <v>38231</v>
      </c>
      <c r="B12" s="3">
        <v>719</v>
      </c>
      <c r="C12" s="7">
        <v>66.959999999999994</v>
      </c>
      <c r="D12" s="7">
        <f t="shared" si="1"/>
        <v>628.57078418962874</v>
      </c>
      <c r="E12" s="7">
        <f t="shared" si="5"/>
        <v>12.524912306999667</v>
      </c>
      <c r="F12" s="7">
        <f t="shared" si="0"/>
        <v>1.1175459235999683</v>
      </c>
      <c r="G12" s="7">
        <f t="shared" si="2"/>
        <v>684.53482826073946</v>
      </c>
      <c r="H12" s="7">
        <f t="shared" si="6"/>
        <v>68.509784117837327</v>
      </c>
      <c r="I12" s="7">
        <f t="shared" si="7"/>
        <v>1.4388435466779064</v>
      </c>
      <c r="J12" s="7">
        <f t="shared" si="8"/>
        <v>69.173977311196182</v>
      </c>
      <c r="K12" s="7">
        <f t="shared" si="3"/>
        <v>4.7934870291043867E-2</v>
      </c>
      <c r="L12" s="7">
        <f t="shared" si="4"/>
        <v>3.3064177287876181E-2</v>
      </c>
      <c r="AA12" s="3" t="s">
        <v>5</v>
      </c>
      <c r="AB12" s="3">
        <v>11</v>
      </c>
      <c r="AD12" s="3" t="s">
        <v>5</v>
      </c>
      <c r="AE12" s="3">
        <v>1.5</v>
      </c>
    </row>
    <row r="13" spans="1:31">
      <c r="A13" s="6">
        <v>38261</v>
      </c>
      <c r="B13" s="3">
        <v>444</v>
      </c>
      <c r="C13" s="7">
        <v>65.87</v>
      </c>
      <c r="D13" s="7">
        <f t="shared" si="1"/>
        <v>639.73370005444565</v>
      </c>
      <c r="E13" s="7">
        <f t="shared" si="5"/>
        <v>12.388712662781391</v>
      </c>
      <c r="F13" s="7">
        <f t="shared" si="0"/>
        <v>0.69761551405668487</v>
      </c>
      <c r="G13" s="7">
        <f t="shared" si="2"/>
        <v>448.76698754763987</v>
      </c>
      <c r="H13" s="7">
        <f t="shared" si="6"/>
        <v>68.725039365160654</v>
      </c>
      <c r="I13" s="7">
        <f t="shared" si="7"/>
        <v>1.3164847167424485</v>
      </c>
      <c r="J13" s="7">
        <f t="shared" si="8"/>
        <v>69.948627664515229</v>
      </c>
      <c r="K13" s="7">
        <f t="shared" si="3"/>
        <v>1.0736458440630342E-2</v>
      </c>
      <c r="L13" s="7">
        <f t="shared" si="4"/>
        <v>6.1919351214744553E-2</v>
      </c>
    </row>
    <row r="14" spans="1:31">
      <c r="A14" s="6">
        <v>38292</v>
      </c>
      <c r="B14" s="3">
        <v>402</v>
      </c>
      <c r="C14" s="7">
        <v>62.01</v>
      </c>
      <c r="D14" s="7">
        <f t="shared" si="1"/>
        <v>636.55507303092452</v>
      </c>
      <c r="E14" s="7">
        <f>Beta1*(D14-D13)+(1-Beta1)*E13</f>
        <v>10.83197869415114</v>
      </c>
      <c r="F14" s="7">
        <f t="shared" si="0"/>
        <v>0.67260972194339597</v>
      </c>
      <c r="G14" s="7">
        <f t="shared" si="2"/>
        <v>456.48568890205888</v>
      </c>
      <c r="H14" s="7">
        <f t="shared" si="6"/>
        <v>67.632066857332163</v>
      </c>
      <c r="I14" s="7">
        <f t="shared" si="7"/>
        <v>1.0755389942853546</v>
      </c>
      <c r="J14" s="7">
        <f t="shared" si="8"/>
        <v>70.041524081903106</v>
      </c>
      <c r="K14" s="7">
        <f t="shared" si="3"/>
        <v>0.13553653955736039</v>
      </c>
      <c r="L14" s="7">
        <f t="shared" si="4"/>
        <v>0.12951982070477516</v>
      </c>
      <c r="AA14" s="3" t="s">
        <v>6</v>
      </c>
    </row>
    <row r="15" spans="1:31">
      <c r="A15" s="6">
        <v>38322</v>
      </c>
      <c r="B15" s="3">
        <v>870</v>
      </c>
      <c r="C15" s="7">
        <v>70.98</v>
      </c>
      <c r="D15" s="7">
        <f t="shared" si="1"/>
        <v>642.19535566577497</v>
      </c>
      <c r="E15" s="7">
        <f>Beta1*(D15-D14)+(1-Beta1)*E14</f>
        <v>10.312809088221071</v>
      </c>
      <c r="F15" s="7">
        <f t="shared" si="0"/>
        <v>1.3818911814446593</v>
      </c>
      <c r="G15" s="7">
        <f t="shared" si="2"/>
        <v>906.34187241510597</v>
      </c>
      <c r="H15" s="7">
        <f t="shared" si="6"/>
        <v>69.389324096132256</v>
      </c>
      <c r="I15" s="7">
        <f t="shared" si="7"/>
        <v>1.1437108187368286</v>
      </c>
      <c r="J15" s="7">
        <f t="shared" si="8"/>
        <v>68.707605851617515</v>
      </c>
      <c r="K15" s="7">
        <f t="shared" si="3"/>
        <v>4.177226714379996E-2</v>
      </c>
      <c r="L15" s="7">
        <f t="shared" si="4"/>
        <v>3.201456957428133E-2</v>
      </c>
      <c r="AA15" s="3" t="s">
        <v>7</v>
      </c>
      <c r="AB15" s="3">
        <v>0.7</v>
      </c>
    </row>
    <row r="16" spans="1:31">
      <c r="A16" s="6">
        <v>38353</v>
      </c>
      <c r="B16" s="3">
        <v>416</v>
      </c>
      <c r="C16" s="7">
        <v>71.72</v>
      </c>
      <c r="D16" s="7">
        <f>Alpha1*B16/F4+(1-Alpha1)*(D15+E15)</f>
        <v>639.84942157730256</v>
      </c>
      <c r="E16" s="7">
        <f>Beta1*(D16-D15)+(1-Beta1)*E15</f>
        <v>9.046934770551724</v>
      </c>
      <c r="F16" s="7">
        <f>Gamma1*B16/D16+(1-Gamma1)*F4</f>
        <v>0.68367605321360148</v>
      </c>
      <c r="G16" s="7">
        <f>(D15+E15)*F4</f>
        <v>460.68693165619993</v>
      </c>
      <c r="H16" s="7">
        <f t="shared" si="6"/>
        <v>70.889124440408352</v>
      </c>
      <c r="I16" s="7">
        <f t="shared" si="7"/>
        <v>1.1793197712907555</v>
      </c>
      <c r="J16" s="7">
        <f t="shared" si="8"/>
        <v>70.533034914869091</v>
      </c>
      <c r="K16" s="7">
        <f t="shared" si="3"/>
        <v>0.10742050878894215</v>
      </c>
      <c r="L16" s="7">
        <f t="shared" si="4"/>
        <v>1.6549987243877684E-2</v>
      </c>
      <c r="AA16" s="3" t="s">
        <v>8</v>
      </c>
      <c r="AB16" s="3">
        <v>0.7</v>
      </c>
    </row>
    <row r="17" spans="1:28">
      <c r="A17" s="6">
        <v>38384</v>
      </c>
      <c r="B17" s="3">
        <v>485</v>
      </c>
      <c r="C17" s="7">
        <v>71.44</v>
      </c>
      <c r="D17" s="7">
        <f t="shared" ref="D17:D63" si="9">Alpha1*B17/F5+(1-Alpha1)*(D16+E16)</f>
        <v>655.61468950861934</v>
      </c>
      <c r="E17" s="7">
        <f t="shared" ref="E17:E63" si="10">Beta1*(D17-D16)+(1-Beta1)*E16</f>
        <v>9.7187680866282289</v>
      </c>
      <c r="F17" s="7">
        <f t="shared" ref="F17:F63" si="11">Gamma1*B17/D17+(1-Gamma1)*F5</f>
        <v>0.72228662077532335</v>
      </c>
      <c r="G17" s="7">
        <f t="shared" ref="G17:G63" si="12">(D16+E16)*F5</f>
        <v>461.12858044967385</v>
      </c>
      <c r="H17" s="7">
        <f t="shared" si="6"/>
        <v>71.879910948189362</v>
      </c>
      <c r="I17" s="7">
        <f t="shared" si="7"/>
        <v>1.160466444939781</v>
      </c>
      <c r="J17" s="7">
        <f t="shared" si="8"/>
        <v>72.068444211699102</v>
      </c>
      <c r="K17" s="7">
        <f t="shared" si="3"/>
        <v>4.9219421753249795E-2</v>
      </c>
      <c r="L17" s="7">
        <f t="shared" si="4"/>
        <v>8.7968114739516313E-3</v>
      </c>
      <c r="AA17" s="3" t="s">
        <v>9</v>
      </c>
      <c r="AB17" s="3">
        <v>0.8</v>
      </c>
    </row>
    <row r="18" spans="1:28">
      <c r="A18" s="6">
        <v>38412</v>
      </c>
      <c r="B18" s="3">
        <v>509</v>
      </c>
      <c r="C18" s="7">
        <v>72.95</v>
      </c>
      <c r="D18" s="7">
        <f t="shared" si="9"/>
        <v>662.10250464392334</v>
      </c>
      <c r="E18" s="7">
        <f t="shared" si="10"/>
        <v>9.3956727914958069</v>
      </c>
      <c r="F18" s="7">
        <f t="shared" si="11"/>
        <v>0.77794583450929877</v>
      </c>
      <c r="G18" s="7">
        <f t="shared" si="12"/>
        <v>521.66642813732039</v>
      </c>
      <c r="H18" s="7">
        <f t="shared" si="6"/>
        <v>73.0132641751904</v>
      </c>
      <c r="I18" s="7">
        <f t="shared" si="7"/>
        <v>1.1577551231459067</v>
      </c>
      <c r="J18" s="7">
        <f t="shared" si="8"/>
        <v>73.040377393129148</v>
      </c>
      <c r="K18" s="7">
        <f t="shared" si="3"/>
        <v>2.4884927578232602E-2</v>
      </c>
      <c r="L18" s="7">
        <f t="shared" si="4"/>
        <v>1.2388950394673802E-3</v>
      </c>
      <c r="AA18" s="3" t="s">
        <v>10</v>
      </c>
      <c r="AB18" s="3">
        <v>0.8</v>
      </c>
    </row>
    <row r="19" spans="1:28">
      <c r="A19" s="6">
        <v>38443</v>
      </c>
      <c r="B19" s="3">
        <v>592</v>
      </c>
      <c r="C19" s="7">
        <v>72.66</v>
      </c>
      <c r="D19" s="7">
        <f t="shared" si="9"/>
        <v>686.23770497686405</v>
      </c>
      <c r="E19" s="7">
        <f t="shared" si="10"/>
        <v>10.869625545640298</v>
      </c>
      <c r="F19" s="7">
        <f t="shared" si="11"/>
        <v>0.82172317500717218</v>
      </c>
      <c r="G19" s="7">
        <f t="shared" si="12"/>
        <v>533.45297029838309</v>
      </c>
      <c r="H19" s="7">
        <f t="shared" si="6"/>
        <v>73.717713508835402</v>
      </c>
      <c r="I19" s="7">
        <f t="shared" si="7"/>
        <v>1.112424544195816</v>
      </c>
      <c r="J19" s="7">
        <f t="shared" si="8"/>
        <v>74.171019298336304</v>
      </c>
      <c r="K19" s="7">
        <f t="shared" si="3"/>
        <v>9.8897009631109645E-2</v>
      </c>
      <c r="L19" s="7">
        <f t="shared" si="4"/>
        <v>2.079575142218976E-2</v>
      </c>
      <c r="AA19" s="3" t="s">
        <v>11</v>
      </c>
      <c r="AB19" s="3">
        <v>0.9</v>
      </c>
    </row>
    <row r="20" spans="1:28">
      <c r="A20" s="6">
        <v>38473</v>
      </c>
      <c r="B20" s="3">
        <v>592</v>
      </c>
      <c r="C20" s="7">
        <v>75.77</v>
      </c>
      <c r="D20" s="7">
        <f t="shared" si="9"/>
        <v>688.11306011921863</v>
      </c>
      <c r="E20" s="7">
        <f t="shared" si="10"/>
        <v>9.9701985053117266</v>
      </c>
      <c r="F20" s="7">
        <f t="shared" si="11"/>
        <v>0.88880117670322911</v>
      </c>
      <c r="G20" s="7">
        <f t="shared" si="12"/>
        <v>632.82436987254448</v>
      </c>
      <c r="H20" s="7">
        <f t="shared" si="6"/>
        <v>75.112096637121851</v>
      </c>
      <c r="I20" s="7">
        <f t="shared" si="7"/>
        <v>1.1406204026048794</v>
      </c>
      <c r="J20" s="7">
        <f t="shared" si="8"/>
        <v>74.83013805303122</v>
      </c>
      <c r="K20" s="7">
        <f t="shared" si="3"/>
        <v>6.8960084244162972E-2</v>
      </c>
      <c r="L20" s="7">
        <f t="shared" si="4"/>
        <v>1.2404143420466886E-2</v>
      </c>
      <c r="AA20" s="3" t="s">
        <v>12</v>
      </c>
      <c r="AB20" s="3">
        <v>1.2</v>
      </c>
    </row>
    <row r="21" spans="1:28">
      <c r="A21" s="6">
        <v>38504</v>
      </c>
      <c r="B21" s="3">
        <v>814</v>
      </c>
      <c r="C21" s="7">
        <v>77.260000000000005</v>
      </c>
      <c r="D21" s="7">
        <f t="shared" si="9"/>
        <v>695.73838942862062</v>
      </c>
      <c r="E21" s="7">
        <f t="shared" si="10"/>
        <v>9.7357115857207539</v>
      </c>
      <c r="F21" s="7">
        <f t="shared" si="11"/>
        <v>1.1795730557148003</v>
      </c>
      <c r="G21" s="7">
        <f t="shared" si="12"/>
        <v>827.90470415919117</v>
      </c>
      <c r="H21" s="7">
        <f t="shared" si="6"/>
        <v>76.554901927808714</v>
      </c>
      <c r="I21" s="7">
        <f t="shared" si="7"/>
        <v>1.1708388914130778</v>
      </c>
      <c r="J21" s="7">
        <f t="shared" si="8"/>
        <v>76.252717039726733</v>
      </c>
      <c r="K21" s="7">
        <f t="shared" si="3"/>
        <v>1.7081946141512493E-2</v>
      </c>
      <c r="L21" s="7">
        <f t="shared" si="4"/>
        <v>1.3037573909827497E-2</v>
      </c>
      <c r="AA21" s="3" t="s">
        <v>13</v>
      </c>
      <c r="AB21" s="3">
        <v>1.5</v>
      </c>
    </row>
    <row r="22" spans="1:28">
      <c r="A22" s="6">
        <v>38534</v>
      </c>
      <c r="B22" s="3">
        <v>1037</v>
      </c>
      <c r="C22" s="7">
        <v>73.069999999999993</v>
      </c>
      <c r="D22" s="7">
        <f t="shared" si="9"/>
        <v>700.27608525299115</v>
      </c>
      <c r="E22" s="7">
        <f t="shared" si="10"/>
        <v>9.2159100095857323</v>
      </c>
      <c r="F22" s="7">
        <f t="shared" si="11"/>
        <v>1.508032626966513</v>
      </c>
      <c r="G22" s="7">
        <f t="shared" si="12"/>
        <v>1076.664967595613</v>
      </c>
      <c r="H22" s="7">
        <f t="shared" si="6"/>
        <v>76.329018573455258</v>
      </c>
      <c r="I22" s="7">
        <f t="shared" si="7"/>
        <v>1.0311666668364246</v>
      </c>
      <c r="J22" s="7">
        <f t="shared" si="8"/>
        <v>77.725740819221798</v>
      </c>
      <c r="K22" s="7">
        <f t="shared" si="3"/>
        <v>3.8249727671757959E-2</v>
      </c>
      <c r="L22" s="7">
        <f t="shared" si="4"/>
        <v>6.3716173795289516E-2</v>
      </c>
      <c r="AA22" s="3" t="s">
        <v>14</v>
      </c>
      <c r="AB22" s="3">
        <v>1.5</v>
      </c>
    </row>
    <row r="23" spans="1:28">
      <c r="A23" s="6">
        <v>38565</v>
      </c>
      <c r="B23" s="3">
        <v>1068</v>
      </c>
      <c r="C23" s="7">
        <v>75.459999999999994</v>
      </c>
      <c r="D23" s="7">
        <f t="shared" si="9"/>
        <v>708.18837335363082</v>
      </c>
      <c r="E23" s="7">
        <f t="shared" si="10"/>
        <v>9.0855478186911256</v>
      </c>
      <c r="F23" s="7">
        <f t="shared" si="11"/>
        <v>1.514785242719018</v>
      </c>
      <c r="G23" s="7">
        <f t="shared" si="12"/>
        <v>1077.9027021276381</v>
      </c>
      <c r="H23" s="7">
        <f t="shared" si="6"/>
        <v>76.790129668204173</v>
      </c>
      <c r="I23" s="7">
        <f t="shared" si="7"/>
        <v>0.97416110962767366</v>
      </c>
      <c r="J23" s="7">
        <f t="shared" si="8"/>
        <v>77.360185240291685</v>
      </c>
      <c r="K23" s="7">
        <f t="shared" si="3"/>
        <v>9.2721930034064814E-3</v>
      </c>
      <c r="L23" s="7">
        <f t="shared" si="4"/>
        <v>2.5181357544284272E-2</v>
      </c>
      <c r="AA23" s="3" t="s">
        <v>15</v>
      </c>
      <c r="AB23" s="3">
        <v>1.1000000000000001</v>
      </c>
    </row>
    <row r="24" spans="1:28">
      <c r="A24" s="6">
        <v>38596</v>
      </c>
      <c r="B24" s="3">
        <v>937</v>
      </c>
      <c r="C24" s="7">
        <v>79.23</v>
      </c>
      <c r="D24" s="7">
        <f t="shared" si="9"/>
        <v>741.507995214326</v>
      </c>
      <c r="E24" s="7">
        <f t="shared" si="10"/>
        <v>11.508955222891531</v>
      </c>
      <c r="F24" s="7">
        <f t="shared" si="11"/>
        <v>1.1759840056331274</v>
      </c>
      <c r="G24" s="7">
        <f t="shared" si="12"/>
        <v>801.58654671069337</v>
      </c>
      <c r="H24" s="7">
        <f t="shared" si="6"/>
        <v>78.204003544482291</v>
      </c>
      <c r="I24" s="7">
        <f t="shared" si="7"/>
        <v>1.0181323862927181</v>
      </c>
      <c r="J24" s="7">
        <f t="shared" si="8"/>
        <v>77.764290777831846</v>
      </c>
      <c r="K24" s="7">
        <f t="shared" si="3"/>
        <v>0.14451809315827815</v>
      </c>
      <c r="L24" s="7">
        <f t="shared" si="4"/>
        <v>1.8499422215930303E-2</v>
      </c>
      <c r="AA24" s="3" t="s">
        <v>16</v>
      </c>
      <c r="AB24" s="3">
        <v>0.7</v>
      </c>
    </row>
    <row r="25" spans="1:28">
      <c r="A25" s="6">
        <v>38626</v>
      </c>
      <c r="B25" s="3">
        <v>501</v>
      </c>
      <c r="C25" s="7">
        <v>75.319999999999993</v>
      </c>
      <c r="D25" s="7">
        <f t="shared" si="9"/>
        <v>746.04568718899782</v>
      </c>
      <c r="E25" s="7">
        <f t="shared" si="10"/>
        <v>10.81182889806956</v>
      </c>
      <c r="F25" s="7">
        <f t="shared" si="11"/>
        <v>0.68718556537543352</v>
      </c>
      <c r="G25" s="7">
        <f t="shared" si="12"/>
        <v>525.31630697265678</v>
      </c>
      <c r="H25" s="7">
        <f t="shared" si="6"/>
        <v>78.051495151542497</v>
      </c>
      <c r="I25" s="7">
        <f t="shared" si="7"/>
        <v>0.90106830836946683</v>
      </c>
      <c r="J25" s="7">
        <f t="shared" si="8"/>
        <v>79.222135930775011</v>
      </c>
      <c r="K25" s="7">
        <f t="shared" si="3"/>
        <v>4.8535542859594362E-2</v>
      </c>
      <c r="L25" s="7">
        <f t="shared" si="4"/>
        <v>5.1807434025159554E-2</v>
      </c>
      <c r="AA25" s="3" t="s">
        <v>17</v>
      </c>
      <c r="AB25" s="3">
        <v>0.7</v>
      </c>
    </row>
    <row r="26" spans="1:28">
      <c r="A26" s="6">
        <v>38657</v>
      </c>
      <c r="B26" s="3">
        <v>479</v>
      </c>
      <c r="C26" s="7">
        <v>81.489999999999995</v>
      </c>
      <c r="D26" s="7">
        <f t="shared" si="9"/>
        <v>747.91630621004981</v>
      </c>
      <c r="E26" s="7">
        <f t="shared" si="10"/>
        <v>9.9177079103678043</v>
      </c>
      <c r="F26" s="7">
        <f t="shared" si="11"/>
        <v>0.65974422961109358</v>
      </c>
      <c r="G26" s="7">
        <f t="shared" si="12"/>
        <v>509.0697234460917</v>
      </c>
      <c r="H26" s="7">
        <f t="shared" si="6"/>
        <v>79.71379442193836</v>
      </c>
      <c r="I26" s="7">
        <f t="shared" si="7"/>
        <v>0.9771914045721064</v>
      </c>
      <c r="J26" s="7">
        <f t="shared" si="8"/>
        <v>78.952563459911957</v>
      </c>
      <c r="K26" s="7">
        <f t="shared" si="3"/>
        <v>6.2776040597268684E-2</v>
      </c>
      <c r="L26" s="7">
        <f t="shared" si="4"/>
        <v>3.1138011290809155E-2</v>
      </c>
      <c r="AA26" s="3" t="s">
        <v>18</v>
      </c>
      <c r="AB26" s="3">
        <v>1.4</v>
      </c>
    </row>
    <row r="27" spans="1:28">
      <c r="A27" s="6">
        <v>38687</v>
      </c>
      <c r="B27" s="3">
        <v>1105</v>
      </c>
      <c r="C27" s="7">
        <v>84.66</v>
      </c>
      <c r="D27" s="7">
        <f t="shared" si="9"/>
        <v>766.19297315622362</v>
      </c>
      <c r="E27" s="7">
        <f t="shared" si="10"/>
        <v>10.753603813948406</v>
      </c>
      <c r="F27" s="7">
        <f t="shared" si="11"/>
        <v>1.4060128785780674</v>
      </c>
      <c r="G27" s="7">
        <f t="shared" si="12"/>
        <v>1047.2441411118125</v>
      </c>
      <c r="H27" s="7">
        <f t="shared" si="6"/>
        <v>81.881690078557327</v>
      </c>
      <c r="I27" s="7">
        <f t="shared" si="7"/>
        <v>1.0962618297767925</v>
      </c>
      <c r="J27" s="7">
        <f t="shared" si="8"/>
        <v>80.69098582651047</v>
      </c>
      <c r="K27" s="7">
        <f t="shared" si="3"/>
        <v>5.2267745600169689E-2</v>
      </c>
      <c r="L27" s="7">
        <f t="shared" si="4"/>
        <v>4.6881811640556659E-2</v>
      </c>
    </row>
    <row r="28" spans="1:28">
      <c r="A28" s="6">
        <v>38718</v>
      </c>
      <c r="B28" s="3">
        <v>529</v>
      </c>
      <c r="C28" s="7">
        <v>84.58</v>
      </c>
      <c r="D28" s="7">
        <f t="shared" si="9"/>
        <v>776.30891552494847</v>
      </c>
      <c r="E28" s="7">
        <f t="shared" si="10"/>
        <v>10.689837669426051</v>
      </c>
      <c r="F28" s="7">
        <f t="shared" si="11"/>
        <v>0.68277753696278731</v>
      </c>
      <c r="G28" s="7">
        <f t="shared" si="12"/>
        <v>531.17976930078487</v>
      </c>
      <c r="H28" s="7">
        <f t="shared" si="6"/>
        <v>83.458566335833879</v>
      </c>
      <c r="I28" s="7">
        <f t="shared" si="7"/>
        <v>1.1443232725267687</v>
      </c>
      <c r="J28" s="7">
        <f t="shared" si="8"/>
        <v>82.97795190833412</v>
      </c>
      <c r="K28" s="7">
        <f t="shared" si="3"/>
        <v>4.120546882391057E-3</v>
      </c>
      <c r="L28" s="7">
        <f t="shared" si="4"/>
        <v>1.8941216501133583E-2</v>
      </c>
    </row>
    <row r="29" spans="1:28">
      <c r="A29" s="6">
        <v>38749</v>
      </c>
      <c r="B29" s="3">
        <v>528</v>
      </c>
      <c r="C29" s="7">
        <v>82.76</v>
      </c>
      <c r="D29" s="7">
        <f t="shared" si="9"/>
        <v>775.80135071286406</v>
      </c>
      <c r="E29" s="7">
        <f t="shared" si="10"/>
        <v>9.5700974212750047</v>
      </c>
      <c r="F29" s="7">
        <f t="shared" si="11"/>
        <v>0.70560661063118035</v>
      </c>
      <c r="G29" s="7">
        <f t="shared" si="12"/>
        <v>568.43866999915747</v>
      </c>
      <c r="H29" s="7">
        <f t="shared" si="6"/>
        <v>84.050022725852443</v>
      </c>
      <c r="I29" s="7">
        <f t="shared" si="7"/>
        <v>1.0890365842759482</v>
      </c>
      <c r="J29" s="7">
        <f t="shared" si="8"/>
        <v>84.602889608360641</v>
      </c>
      <c r="K29" s="7">
        <f t="shared" si="3"/>
        <v>7.6588390149919444E-2</v>
      </c>
      <c r="L29" s="7">
        <f t="shared" si="4"/>
        <v>2.2267878303052633E-2</v>
      </c>
    </row>
    <row r="30" spans="1:28">
      <c r="A30" s="6">
        <v>38777</v>
      </c>
      <c r="B30" s="3">
        <v>700</v>
      </c>
      <c r="C30" s="7">
        <v>82.86</v>
      </c>
      <c r="D30" s="7">
        <f t="shared" si="9"/>
        <v>808.25827377995392</v>
      </c>
      <c r="E30" s="7">
        <f t="shared" si="10"/>
        <v>11.85877998585649</v>
      </c>
      <c r="F30" s="7">
        <f t="shared" si="11"/>
        <v>0.81319142123104893</v>
      </c>
      <c r="G30" s="7">
        <f t="shared" si="12"/>
        <v>610.97644661848926</v>
      </c>
      <c r="H30" s="7">
        <f t="shared" si="6"/>
        <v>84.455341517089863</v>
      </c>
      <c r="I30" s="7">
        <f t="shared" si="7"/>
        <v>1.0206648049720954</v>
      </c>
      <c r="J30" s="7">
        <f t="shared" si="8"/>
        <v>85.139059310128388</v>
      </c>
      <c r="K30" s="7">
        <f t="shared" si="3"/>
        <v>0.12717650483072962</v>
      </c>
      <c r="L30" s="7">
        <f t="shared" si="4"/>
        <v>2.7504939779488161E-2</v>
      </c>
    </row>
    <row r="31" spans="1:28">
      <c r="A31" s="6">
        <v>38808</v>
      </c>
      <c r="B31" s="3">
        <v>568</v>
      </c>
      <c r="C31" s="7">
        <v>87.81</v>
      </c>
      <c r="D31" s="7">
        <f t="shared" si="9"/>
        <v>794.33971353269726</v>
      </c>
      <c r="E31" s="7">
        <f t="shared" si="10"/>
        <v>9.2810459625451749</v>
      </c>
      <c r="F31" s="7">
        <f t="shared" si="11"/>
        <v>0.77905762524556477</v>
      </c>
      <c r="G31" s="7">
        <f t="shared" si="12"/>
        <v>673.90918929796942</v>
      </c>
      <c r="H31" s="7">
        <f t="shared" si="6"/>
        <v>86.176204425443373</v>
      </c>
      <c r="I31" s="7">
        <f t="shared" si="7"/>
        <v>1.090684615310237</v>
      </c>
      <c r="J31" s="7">
        <f t="shared" si="8"/>
        <v>85.476006322061963</v>
      </c>
      <c r="K31" s="7">
        <f t="shared" si="3"/>
        <v>0.18645984031332644</v>
      </c>
      <c r="L31" s="7">
        <f t="shared" si="4"/>
        <v>2.6580044162829285E-2</v>
      </c>
    </row>
    <row r="32" spans="1:28">
      <c r="A32" s="6">
        <v>38838</v>
      </c>
      <c r="B32" s="3">
        <v>618</v>
      </c>
      <c r="C32" s="7">
        <v>88.5</v>
      </c>
      <c r="D32" s="7">
        <f t="shared" si="9"/>
        <v>781.96032987709964</v>
      </c>
      <c r="E32" s="7">
        <f t="shared" si="10"/>
        <v>7.115003000730896</v>
      </c>
      <c r="F32" s="7">
        <f t="shared" si="11"/>
        <v>0.84940927489556861</v>
      </c>
      <c r="G32" s="7">
        <f t="shared" si="12"/>
        <v>714.25907666251408</v>
      </c>
      <c r="H32" s="7">
        <f t="shared" si="6"/>
        <v>87.636822328527529</v>
      </c>
      <c r="I32" s="7">
        <f t="shared" si="7"/>
        <v>1.1276779440876288</v>
      </c>
      <c r="J32" s="7">
        <f t="shared" si="8"/>
        <v>87.266889040753611</v>
      </c>
      <c r="K32" s="7">
        <f t="shared" si="3"/>
        <v>0.15575902372575093</v>
      </c>
      <c r="L32" s="7">
        <f t="shared" si="4"/>
        <v>1.3933457166625864E-2</v>
      </c>
    </row>
    <row r="33" spans="1:12">
      <c r="A33" s="6">
        <v>38869</v>
      </c>
      <c r="B33" s="3">
        <v>929</v>
      </c>
      <c r="C33" s="7">
        <v>88.19</v>
      </c>
      <c r="D33" s="7">
        <f t="shared" si="9"/>
        <v>788.77488491773329</v>
      </c>
      <c r="E33" s="7">
        <f t="shared" si="10"/>
        <v>7.0849582047211719</v>
      </c>
      <c r="F33" s="7">
        <f t="shared" si="11"/>
        <v>1.178854168082546</v>
      </c>
      <c r="G33" s="7">
        <f t="shared" si="12"/>
        <v>930.77200159187578</v>
      </c>
      <c r="H33" s="7">
        <f t="shared" si="6"/>
        <v>88.592150190830594</v>
      </c>
      <c r="I33" s="7">
        <f t="shared" si="7"/>
        <v>1.1104429359091725</v>
      </c>
      <c r="J33" s="7">
        <f t="shared" si="8"/>
        <v>88.764500272615152</v>
      </c>
      <c r="K33" s="7">
        <f t="shared" si="3"/>
        <v>1.9074290547640238E-3</v>
      </c>
      <c r="L33" s="7">
        <f t="shared" si="4"/>
        <v>6.5143471211606078E-3</v>
      </c>
    </row>
    <row r="34" spans="1:12">
      <c r="A34" s="6">
        <v>38899</v>
      </c>
      <c r="B34" s="3">
        <v>1394</v>
      </c>
      <c r="C34" s="7">
        <v>85.47</v>
      </c>
      <c r="D34" s="7">
        <f t="shared" si="9"/>
        <v>821.56451112672198</v>
      </c>
      <c r="E34" s="7">
        <f t="shared" si="10"/>
        <v>9.655425005147924</v>
      </c>
      <c r="F34" s="7">
        <f t="shared" si="11"/>
        <v>1.5835246473559839</v>
      </c>
      <c r="G34" s="7">
        <f t="shared" si="12"/>
        <v>1200.1826099211119</v>
      </c>
      <c r="H34" s="7">
        <f t="shared" si="6"/>
        <v>88.432815188717825</v>
      </c>
      <c r="I34" s="7">
        <f t="shared" si="7"/>
        <v>0.98346514210697833</v>
      </c>
      <c r="J34" s="7">
        <f t="shared" si="8"/>
        <v>89.702593126739771</v>
      </c>
      <c r="K34" s="7">
        <f t="shared" si="3"/>
        <v>0.13903686519288963</v>
      </c>
      <c r="L34" s="7">
        <f t="shared" si="4"/>
        <v>4.9521389104244438E-2</v>
      </c>
    </row>
    <row r="35" spans="1:12">
      <c r="A35" s="6">
        <v>38930</v>
      </c>
      <c r="B35" s="3">
        <v>1324</v>
      </c>
      <c r="C35" s="7">
        <v>88</v>
      </c>
      <c r="D35" s="7">
        <f t="shared" si="9"/>
        <v>839.78620750339974</v>
      </c>
      <c r="E35" s="7">
        <f t="shared" si="10"/>
        <v>10.512052142300908</v>
      </c>
      <c r="F35" s="7">
        <f t="shared" si="11"/>
        <v>1.539507842528884</v>
      </c>
      <c r="G35" s="7">
        <f t="shared" si="12"/>
        <v>1259.1196927064011</v>
      </c>
      <c r="H35" s="7">
        <f t="shared" si="6"/>
        <v>88.991396231577355</v>
      </c>
      <c r="I35" s="7">
        <f t="shared" si="7"/>
        <v>0.94097673218223343</v>
      </c>
      <c r="J35" s="7">
        <f t="shared" si="8"/>
        <v>89.416280330824804</v>
      </c>
      <c r="K35" s="7">
        <f t="shared" si="3"/>
        <v>4.9003253242899461E-2</v>
      </c>
      <c r="L35" s="7">
        <f t="shared" si="4"/>
        <v>1.6094094668463687E-2</v>
      </c>
    </row>
    <row r="36" spans="1:12">
      <c r="A36" s="6">
        <v>38961</v>
      </c>
      <c r="B36" s="3">
        <v>972</v>
      </c>
      <c r="C36" s="7">
        <v>88.22</v>
      </c>
      <c r="D36" s="7">
        <f t="shared" si="9"/>
        <v>845.54697846718045</v>
      </c>
      <c r="E36" s="7">
        <f t="shared" si="10"/>
        <v>10.036924024448888</v>
      </c>
      <c r="F36" s="7">
        <f t="shared" si="11"/>
        <v>1.1654110992149229</v>
      </c>
      <c r="G36" s="7">
        <f t="shared" si="12"/>
        <v>999.93715336102809</v>
      </c>
      <c r="H36" s="7">
        <f t="shared" si="6"/>
        <v>89.4186610746317</v>
      </c>
      <c r="I36" s="7">
        <f t="shared" si="7"/>
        <v>0.88960554326944463</v>
      </c>
      <c r="J36" s="7">
        <f t="shared" si="8"/>
        <v>89.93237296375959</v>
      </c>
      <c r="K36" s="7">
        <f t="shared" si="3"/>
        <v>2.8741927326160592E-2</v>
      </c>
      <c r="L36" s="7">
        <f t="shared" si="4"/>
        <v>1.9410258034001263E-2</v>
      </c>
    </row>
    <row r="37" spans="1:12">
      <c r="A37" s="6">
        <v>38991</v>
      </c>
      <c r="B37" s="3">
        <v>498</v>
      </c>
      <c r="C37" s="7">
        <v>90.73</v>
      </c>
      <c r="D37" s="7">
        <f t="shared" si="9"/>
        <v>829.40613849546924</v>
      </c>
      <c r="E37" s="7">
        <f t="shared" si="10"/>
        <v>7.4191476248328776</v>
      </c>
      <c r="F37" s="7">
        <f t="shared" si="11"/>
        <v>0.65248318116670745</v>
      </c>
      <c r="G37" s="7">
        <f t="shared" si="12"/>
        <v>587.94490775983013</v>
      </c>
      <c r="H37" s="7">
        <f t="shared" si="6"/>
        <v>90.434786632530802</v>
      </c>
      <c r="I37" s="7">
        <f t="shared" si="7"/>
        <v>0.90225754473241038</v>
      </c>
      <c r="J37" s="7">
        <f t="shared" si="8"/>
        <v>90.30826661790114</v>
      </c>
      <c r="K37" s="7">
        <f t="shared" si="3"/>
        <v>0.18061226457797214</v>
      </c>
      <c r="L37" s="7">
        <f t="shared" si="4"/>
        <v>4.6482242047709054E-3</v>
      </c>
    </row>
    <row r="38" spans="1:12">
      <c r="A38" s="6">
        <v>39022</v>
      </c>
      <c r="B38" s="3">
        <v>767</v>
      </c>
      <c r="C38" s="7">
        <v>93.78</v>
      </c>
      <c r="D38" s="7">
        <f t="shared" si="9"/>
        <v>901.97457781358867</v>
      </c>
      <c r="E38" s="7">
        <f t="shared" si="10"/>
        <v>13.934076794161534</v>
      </c>
      <c r="F38" s="7">
        <f t="shared" si="11"/>
        <v>0.73598916212275678</v>
      </c>
      <c r="G38" s="7">
        <f t="shared" si="12"/>
        <v>552.09065371052168</v>
      </c>
      <c r="H38" s="7">
        <f t="shared" si="6"/>
        <v>92.069930924084247</v>
      </c>
      <c r="I38" s="7">
        <f t="shared" si="7"/>
        <v>0.97554621941451392</v>
      </c>
      <c r="J38" s="7">
        <f t="shared" si="8"/>
        <v>91.337044177263209</v>
      </c>
      <c r="K38" s="7">
        <f t="shared" si="3"/>
        <v>0.28019471484938502</v>
      </c>
      <c r="L38" s="7">
        <f t="shared" si="4"/>
        <v>2.6049859487489783E-2</v>
      </c>
    </row>
    <row r="39" spans="1:12">
      <c r="A39" s="6">
        <v>39052</v>
      </c>
      <c r="B39" s="3">
        <v>934</v>
      </c>
      <c r="C39" s="7">
        <v>96.39</v>
      </c>
      <c r="D39" s="7">
        <f t="shared" si="9"/>
        <v>865.58488170783312</v>
      </c>
      <c r="E39" s="7">
        <f t="shared" si="10"/>
        <v>8.9016995041698266</v>
      </c>
      <c r="F39" s="7">
        <f t="shared" si="11"/>
        <v>1.2752233986946988</v>
      </c>
      <c r="G39" s="7">
        <f t="shared" si="12"/>
        <v>1287.7793639796078</v>
      </c>
      <c r="H39" s="7">
        <f t="shared" si="6"/>
        <v>94.048834000449133</v>
      </c>
      <c r="I39" s="7">
        <f t="shared" si="7"/>
        <v>1.0758819051095512</v>
      </c>
      <c r="J39" s="7">
        <f t="shared" si="8"/>
        <v>93.045477143498758</v>
      </c>
      <c r="K39" s="7">
        <f t="shared" si="3"/>
        <v>0.3787787622908006</v>
      </c>
      <c r="L39" s="7">
        <f t="shared" si="4"/>
        <v>3.4697819862031777E-2</v>
      </c>
    </row>
    <row r="40" spans="1:12">
      <c r="A40" s="6">
        <v>39083</v>
      </c>
      <c r="B40" s="3">
        <v>736</v>
      </c>
      <c r="C40" s="7">
        <v>94.41</v>
      </c>
      <c r="D40" s="7">
        <f t="shared" si="9"/>
        <v>915.17925150429824</v>
      </c>
      <c r="E40" s="7">
        <f t="shared" si="10"/>
        <v>12.970966533399356</v>
      </c>
      <c r="F40" s="7">
        <f t="shared" si="11"/>
        <v>0.73135213678933331</v>
      </c>
      <c r="G40" s="7">
        <f t="shared" si="12"/>
        <v>597.07979402693991</v>
      </c>
      <c r="H40" s="7">
        <f t="shared" si="6"/>
        <v>94.910301133891068</v>
      </c>
      <c r="I40" s="7">
        <f t="shared" si="7"/>
        <v>1.0544404279427895</v>
      </c>
      <c r="J40" s="7">
        <f t="shared" si="8"/>
        <v>95.124715905558688</v>
      </c>
      <c r="K40" s="7">
        <f t="shared" si="3"/>
        <v>0.18875027985470122</v>
      </c>
      <c r="L40" s="7">
        <f t="shared" si="4"/>
        <v>7.570341124443292E-3</v>
      </c>
    </row>
    <row r="41" spans="1:12">
      <c r="A41" s="6">
        <v>39114</v>
      </c>
      <c r="B41" s="3">
        <v>690</v>
      </c>
      <c r="C41" s="7">
        <v>96.32</v>
      </c>
      <c r="D41" s="7">
        <f t="shared" si="9"/>
        <v>938.09657340487297</v>
      </c>
      <c r="E41" s="7">
        <f t="shared" si="10"/>
        <v>13.965602070116894</v>
      </c>
      <c r="F41" s="7">
        <f t="shared" si="11"/>
        <v>0.71757674555798068</v>
      </c>
      <c r="G41" s="7">
        <f t="shared" si="12"/>
        <v>654.90892950617092</v>
      </c>
      <c r="H41" s="7">
        <f t="shared" si="6"/>
        <v>96.071319093283705</v>
      </c>
      <c r="I41" s="7">
        <f t="shared" si="7"/>
        <v>1.0650981810877744</v>
      </c>
      <c r="J41" s="7">
        <f t="shared" si="8"/>
        <v>95.964741561833861</v>
      </c>
      <c r="K41" s="7">
        <f t="shared" si="3"/>
        <v>5.0856623904100118E-2</v>
      </c>
      <c r="L41" s="7">
        <f t="shared" si="4"/>
        <v>3.6883143497314359E-3</v>
      </c>
    </row>
    <row r="42" spans="1:12">
      <c r="A42" s="6">
        <v>39142</v>
      </c>
      <c r="B42" s="3">
        <v>820</v>
      </c>
      <c r="C42" s="7">
        <v>95.12</v>
      </c>
      <c r="D42" s="7">
        <f t="shared" si="9"/>
        <v>963.32427323687921</v>
      </c>
      <c r="E42" s="7">
        <f t="shared" si="10"/>
        <v>15.091811846305829</v>
      </c>
      <c r="F42" s="7">
        <f t="shared" si="11"/>
        <v>0.82840248407162032</v>
      </c>
      <c r="G42" s="7">
        <f t="shared" si="12"/>
        <v>774.20879357483136</v>
      </c>
      <c r="H42" s="7">
        <f t="shared" si="6"/>
        <v>96.531492092060034</v>
      </c>
      <c r="I42" s="7">
        <f t="shared" si="7"/>
        <v>1.0046056628566298</v>
      </c>
      <c r="J42" s="7">
        <f t="shared" si="8"/>
        <v>97.136417274371482</v>
      </c>
      <c r="K42" s="7">
        <f t="shared" si="3"/>
        <v>5.5842934664839805E-2</v>
      </c>
      <c r="L42" s="7">
        <f t="shared" si="4"/>
        <v>2.1198667728884325E-2</v>
      </c>
    </row>
    <row r="43" spans="1:12">
      <c r="A43" s="6">
        <v>39173</v>
      </c>
      <c r="B43" s="3">
        <v>822</v>
      </c>
      <c r="C43" s="7">
        <v>99.36</v>
      </c>
      <c r="D43" s="7">
        <f t="shared" si="9"/>
        <v>993.75705250756414</v>
      </c>
      <c r="E43" s="7">
        <f t="shared" si="10"/>
        <v>16.625908588743741</v>
      </c>
      <c r="F43" s="7">
        <f t="shared" si="11"/>
        <v>0.7983001515679875</v>
      </c>
      <c r="G43" s="7">
        <f t="shared" si="12"/>
        <v>762.2425117469686</v>
      </c>
      <c r="H43" s="7">
        <f t="shared" si="6"/>
        <v>98.08326842844167</v>
      </c>
      <c r="I43" s="7">
        <f t="shared" si="7"/>
        <v>1.0593227302091304</v>
      </c>
      <c r="J43" s="7">
        <f t="shared" si="8"/>
        <v>97.536097754916668</v>
      </c>
      <c r="K43" s="7">
        <f t="shared" si="3"/>
        <v>7.2697674273760823E-2</v>
      </c>
      <c r="L43" s="7">
        <f t="shared" si="4"/>
        <v>1.8356504076925642E-2</v>
      </c>
    </row>
    <row r="44" spans="1:12">
      <c r="A44" s="6">
        <v>39203</v>
      </c>
      <c r="B44" s="3">
        <v>938</v>
      </c>
      <c r="C44" s="7">
        <v>97.93</v>
      </c>
      <c r="D44" s="7">
        <f t="shared" si="9"/>
        <v>1029.1657420255967</v>
      </c>
      <c r="E44" s="7">
        <f t="shared" si="10"/>
        <v>18.504186681672625</v>
      </c>
      <c r="F44" s="7">
        <f t="shared" si="11"/>
        <v>0.87421269409725089</v>
      </c>
      <c r="G44" s="7">
        <f t="shared" si="12"/>
        <v>858.22865835165237</v>
      </c>
      <c r="H44" s="7">
        <f t="shared" si="6"/>
        <v>98.778813811055556</v>
      </c>
      <c r="I44" s="7">
        <f t="shared" si="7"/>
        <v>1.0229449954496059</v>
      </c>
      <c r="J44" s="7">
        <f t="shared" si="8"/>
        <v>99.142591158650802</v>
      </c>
      <c r="K44" s="7">
        <f t="shared" si="3"/>
        <v>8.5044074251969748E-2</v>
      </c>
      <c r="L44" s="7">
        <f t="shared" si="4"/>
        <v>1.2382223615345607E-2</v>
      </c>
    </row>
    <row r="45" spans="1:12">
      <c r="A45" s="6">
        <v>39234</v>
      </c>
      <c r="B45" s="3">
        <v>1135</v>
      </c>
      <c r="C45" s="7">
        <v>103.12</v>
      </c>
      <c r="D45" s="7">
        <f t="shared" si="9"/>
        <v>1030.6958084233256</v>
      </c>
      <c r="E45" s="7">
        <f t="shared" si="10"/>
        <v>16.806774653278254</v>
      </c>
      <c r="F45" s="7">
        <f t="shared" si="11"/>
        <v>1.1477916376517741</v>
      </c>
      <c r="G45" s="7">
        <f t="shared" si="12"/>
        <v>1235.0500622313082</v>
      </c>
      <c r="H45" s="7">
        <f t="shared" si="6"/>
        <v>100.79723116455361</v>
      </c>
      <c r="I45" s="7">
        <f t="shared" si="7"/>
        <v>1.1224922312544505</v>
      </c>
      <c r="J45" s="7">
        <f t="shared" si="8"/>
        <v>99.801758806505163</v>
      </c>
      <c r="K45" s="7">
        <f t="shared" si="3"/>
        <v>8.8149834565029228E-2</v>
      </c>
      <c r="L45" s="7">
        <f t="shared" si="4"/>
        <v>3.2178444467560532E-2</v>
      </c>
    </row>
    <row r="46" spans="1:12">
      <c r="A46" s="6">
        <v>39264</v>
      </c>
      <c r="B46" s="3">
        <v>1567</v>
      </c>
      <c r="C46" s="7">
        <v>103.46</v>
      </c>
      <c r="D46" s="7">
        <f t="shared" si="9"/>
        <v>1035.9149947654212</v>
      </c>
      <c r="E46" s="7">
        <f t="shared" si="10"/>
        <v>15.648015822159984</v>
      </c>
      <c r="F46" s="7">
        <f t="shared" si="11"/>
        <v>1.555183740178244</v>
      </c>
      <c r="G46" s="7">
        <f t="shared" si="12"/>
        <v>1658.7461584708615</v>
      </c>
      <c r="H46" s="7">
        <f t="shared" si="6"/>
        <v>102.38180637706563</v>
      </c>
      <c r="I46" s="7">
        <f t="shared" si="7"/>
        <v>1.1687005293802075</v>
      </c>
      <c r="J46" s="7">
        <f t="shared" si="8"/>
        <v>101.91972339580806</v>
      </c>
      <c r="K46" s="7">
        <f t="shared" si="3"/>
        <v>5.8548920530224299E-2</v>
      </c>
      <c r="L46" s="7">
        <f t="shared" si="4"/>
        <v>1.4887653239821485E-2</v>
      </c>
    </row>
    <row r="47" spans="1:12">
      <c r="A47" s="6">
        <v>39295</v>
      </c>
      <c r="B47" s="3">
        <v>1446</v>
      </c>
      <c r="C47" s="7">
        <v>100.39</v>
      </c>
      <c r="D47" s="7">
        <f t="shared" si="9"/>
        <v>1029.1026506028127</v>
      </c>
      <c r="E47" s="7">
        <f t="shared" si="10"/>
        <v>13.401979823683137</v>
      </c>
      <c r="F47" s="7">
        <f t="shared" si="11"/>
        <v>1.4857477627975668</v>
      </c>
      <c r="G47" s="7">
        <f t="shared" si="12"/>
        <v>1618.889501712865</v>
      </c>
      <c r="H47" s="7">
        <f t="shared" si="6"/>
        <v>102.60235483451208</v>
      </c>
      <c r="I47" s="7">
        <f t="shared" si="7"/>
        <v>1.0738853221868323</v>
      </c>
      <c r="J47" s="7">
        <f t="shared" si="8"/>
        <v>103.55050690644583</v>
      </c>
      <c r="K47" s="7">
        <f t="shared" si="3"/>
        <v>0.11956397075578493</v>
      </c>
      <c r="L47" s="7">
        <f t="shared" si="4"/>
        <v>3.1482288140709552E-2</v>
      </c>
    </row>
    <row r="48" spans="1:12">
      <c r="A48" s="6">
        <v>39326</v>
      </c>
      <c r="B48" s="3">
        <v>1040</v>
      </c>
      <c r="C48" s="7">
        <v>101.11</v>
      </c>
      <c r="D48" s="7">
        <f t="shared" si="9"/>
        <v>1012.4814965469847</v>
      </c>
      <c r="E48" s="7">
        <f t="shared" si="10"/>
        <v>10.399666435732023</v>
      </c>
      <c r="F48" s="7">
        <f t="shared" si="11"/>
        <v>1.1101183657465452</v>
      </c>
      <c r="G48" s="7">
        <f t="shared" si="12"/>
        <v>1214.9464672819895</v>
      </c>
      <c r="H48" s="7">
        <f t="shared" si="6"/>
        <v>102.90636810968923</v>
      </c>
      <c r="I48" s="7">
        <f t="shared" si="7"/>
        <v>0.99689811748586321</v>
      </c>
      <c r="J48" s="7">
        <f t="shared" si="8"/>
        <v>103.67624015669891</v>
      </c>
      <c r="K48" s="7">
        <f t="shared" si="3"/>
        <v>0.16821775700191299</v>
      </c>
      <c r="L48" s="7">
        <f t="shared" si="4"/>
        <v>2.538067606269321E-2</v>
      </c>
    </row>
    <row r="49" spans="1:12">
      <c r="A49" s="6">
        <v>39356</v>
      </c>
      <c r="B49" s="3">
        <v>678</v>
      </c>
      <c r="C49" s="7">
        <v>100.83</v>
      </c>
      <c r="D49" s="7">
        <f t="shared" si="9"/>
        <v>1026.1263791437232</v>
      </c>
      <c r="E49" s="7">
        <f t="shared" si="10"/>
        <v>10.724188051832673</v>
      </c>
      <c r="F49" s="7">
        <f t="shared" si="11"/>
        <v>0.65578483914154528</v>
      </c>
      <c r="G49" s="7">
        <f t="shared" si="12"/>
        <v>667.41275517846429</v>
      </c>
      <c r="H49" s="7">
        <f t="shared" si="6"/>
        <v>102.98128635902256</v>
      </c>
      <c r="I49" s="7">
        <f t="shared" si="7"/>
        <v>0.90470013067061061</v>
      </c>
      <c r="J49" s="7">
        <f t="shared" si="8"/>
        <v>103.9032662271751</v>
      </c>
      <c r="K49" s="7">
        <f t="shared" si="3"/>
        <v>1.5615405341498091E-2</v>
      </c>
      <c r="L49" s="7">
        <f t="shared" si="4"/>
        <v>3.0479680920114022E-2</v>
      </c>
    </row>
    <row r="50" spans="1:12">
      <c r="A50" s="6">
        <v>39387</v>
      </c>
      <c r="B50" s="3">
        <v>892</v>
      </c>
      <c r="C50" s="7">
        <v>104.22</v>
      </c>
      <c r="D50" s="7">
        <f t="shared" si="9"/>
        <v>1071.8753274600936</v>
      </c>
      <c r="E50" s="7">
        <f t="shared" si="10"/>
        <v>14.226664078286445</v>
      </c>
      <c r="F50" s="7">
        <f t="shared" si="11"/>
        <v>0.77446803114828866</v>
      </c>
      <c r="G50" s="7">
        <f t="shared" si="12"/>
        <v>763.11078019676233</v>
      </c>
      <c r="H50" s="7">
        <f t="shared" si="6"/>
        <v>103.98619054278521</v>
      </c>
      <c r="I50" s="7">
        <f t="shared" si="7"/>
        <v>0.91472053597981429</v>
      </c>
      <c r="J50" s="7">
        <f t="shared" si="8"/>
        <v>103.88598648969317</v>
      </c>
      <c r="K50" s="7">
        <f t="shared" si="3"/>
        <v>0.1444946410350198</v>
      </c>
      <c r="L50" s="7">
        <f t="shared" si="4"/>
        <v>3.2048887958820958E-3</v>
      </c>
    </row>
    <row r="51" spans="1:12">
      <c r="A51" s="6">
        <v>39417</v>
      </c>
      <c r="B51" s="3">
        <v>1547</v>
      </c>
      <c r="C51" s="7">
        <v>103.91</v>
      </c>
      <c r="D51" s="7">
        <f t="shared" si="9"/>
        <v>1111.5057485878733</v>
      </c>
      <c r="E51" s="7">
        <f t="shared" si="10"/>
        <v>16.767039783235777</v>
      </c>
      <c r="F51" s="7">
        <f t="shared" si="11"/>
        <v>1.3218563060932276</v>
      </c>
      <c r="G51" s="7">
        <f t="shared" si="12"/>
        <v>1385.0226729786539</v>
      </c>
      <c r="H51" s="7">
        <f t="shared" si="6"/>
        <v>104.60363775513551</v>
      </c>
      <c r="I51" s="7">
        <f t="shared" si="7"/>
        <v>0.88499320361686284</v>
      </c>
      <c r="J51" s="7">
        <f t="shared" si="8"/>
        <v>104.90091107876502</v>
      </c>
      <c r="K51" s="7">
        <f t="shared" si="3"/>
        <v>0.10470415450636465</v>
      </c>
      <c r="L51" s="7">
        <f t="shared" si="4"/>
        <v>9.536243660523757E-3</v>
      </c>
    </row>
    <row r="52" spans="1:12">
      <c r="A52" s="6">
        <v>39448</v>
      </c>
      <c r="B52" s="3">
        <v>891</v>
      </c>
      <c r="C52" s="7">
        <v>107</v>
      </c>
      <c r="D52" s="7">
        <f t="shared" si="9"/>
        <v>1146.2765056043834</v>
      </c>
      <c r="E52" s="7">
        <f t="shared" si="10"/>
        <v>18.567411506563207</v>
      </c>
      <c r="F52" s="7">
        <f t="shared" si="11"/>
        <v>0.74973102810127012</v>
      </c>
      <c r="G52" s="7">
        <f t="shared" si="12"/>
        <v>825.16471465646987</v>
      </c>
      <c r="H52" s="7">
        <f t="shared" si="6"/>
        <v>105.94204167112665</v>
      </c>
      <c r="I52" s="7">
        <f t="shared" si="7"/>
        <v>0.93033427485429021</v>
      </c>
      <c r="J52" s="7">
        <f t="shared" si="8"/>
        <v>105.48863095875237</v>
      </c>
      <c r="K52" s="7">
        <f t="shared" si="3"/>
        <v>7.3889209139764461E-2</v>
      </c>
      <c r="L52" s="7">
        <f t="shared" si="4"/>
        <v>1.4124944310725543E-2</v>
      </c>
    </row>
    <row r="53" spans="1:12">
      <c r="A53" s="6">
        <v>39479</v>
      </c>
      <c r="B53" s="3">
        <v>695</v>
      </c>
      <c r="C53" s="7">
        <v>107.66</v>
      </c>
      <c r="D53" s="7">
        <f t="shared" si="9"/>
        <v>1125.5826372560796</v>
      </c>
      <c r="E53" s="7">
        <f t="shared" si="10"/>
        <v>14.64128352107651</v>
      </c>
      <c r="F53" s="7">
        <f t="shared" si="11"/>
        <v>0.67752924590091257</v>
      </c>
      <c r="G53" s="7">
        <f t="shared" si="12"/>
        <v>835.86490712348336</v>
      </c>
      <c r="H53" s="7">
        <f t="shared" si="6"/>
        <v>107.10866316218664</v>
      </c>
      <c r="I53" s="7">
        <f t="shared" si="7"/>
        <v>0.95396299647486116</v>
      </c>
      <c r="J53" s="7">
        <f t="shared" si="8"/>
        <v>106.87237594598093</v>
      </c>
      <c r="K53" s="7">
        <f t="shared" si="3"/>
        <v>0.20268331960213434</v>
      </c>
      <c r="L53" s="7">
        <f t="shared" si="4"/>
        <v>7.3158466841822612E-3</v>
      </c>
    </row>
    <row r="54" spans="1:12">
      <c r="A54" s="6">
        <v>39508</v>
      </c>
      <c r="B54" s="3">
        <v>735</v>
      </c>
      <c r="C54" s="7">
        <v>106.07</v>
      </c>
      <c r="D54" s="7">
        <f t="shared" si="9"/>
        <v>1089.6291115149568</v>
      </c>
      <c r="E54" s="7">
        <f t="shared" si="10"/>
        <v>9.5818025948565797</v>
      </c>
      <c r="F54" s="7">
        <f t="shared" si="11"/>
        <v>0.76685807013332163</v>
      </c>
      <c r="G54" s="7">
        <f t="shared" si="12"/>
        <v>944.56432836967849</v>
      </c>
      <c r="H54" s="7">
        <f t="shared" si="6"/>
        <v>107.46483831106305</v>
      </c>
      <c r="I54" s="7">
        <f t="shared" si="7"/>
        <v>0.89418421171501539</v>
      </c>
      <c r="J54" s="7">
        <f t="shared" si="8"/>
        <v>108.0626261586615</v>
      </c>
      <c r="K54" s="7">
        <f t="shared" si="3"/>
        <v>0.28512153519684147</v>
      </c>
      <c r="L54" s="7">
        <f t="shared" si="4"/>
        <v>1.8785954168582149E-2</v>
      </c>
    </row>
    <row r="55" spans="1:12">
      <c r="A55" s="6">
        <v>39539</v>
      </c>
      <c r="B55" s="3">
        <v>767</v>
      </c>
      <c r="C55" s="7">
        <v>108.19</v>
      </c>
      <c r="D55" s="7">
        <f t="shared" si="9"/>
        <v>1071.527031269002</v>
      </c>
      <c r="E55" s="7">
        <f t="shared" si="10"/>
        <v>6.8134143107754443</v>
      </c>
      <c r="F55" s="7">
        <f t="shared" si="11"/>
        <v>0.76530044595475688</v>
      </c>
      <c r="G55" s="7">
        <f t="shared" si="12"/>
        <v>877.50023933905004</v>
      </c>
      <c r="H55" s="7">
        <f t="shared" si="6"/>
        <v>108.30831576594463</v>
      </c>
      <c r="I55" s="7">
        <f t="shared" si="7"/>
        <v>0.88911353603167176</v>
      </c>
      <c r="J55" s="7">
        <f t="shared" si="8"/>
        <v>108.35902252277806</v>
      </c>
      <c r="K55" s="7">
        <f t="shared" si="3"/>
        <v>0.14406810865586706</v>
      </c>
      <c r="L55" s="7">
        <f t="shared" si="4"/>
        <v>1.5622749124509141E-3</v>
      </c>
    </row>
    <row r="56" spans="1:12">
      <c r="A56" s="6">
        <v>39569</v>
      </c>
      <c r="B56" s="3">
        <v>1003</v>
      </c>
      <c r="C56" s="7">
        <v>111.71</v>
      </c>
      <c r="D56" s="7">
        <f t="shared" si="9"/>
        <v>1092.1359656683853</v>
      </c>
      <c r="E56" s="7">
        <f t="shared" si="10"/>
        <v>8.1929663196362323</v>
      </c>
      <c r="F56" s="7">
        <f t="shared" si="11"/>
        <v>0.89188114441809163</v>
      </c>
      <c r="G56" s="7">
        <f t="shared" si="12"/>
        <v>942.69890608432718</v>
      </c>
      <c r="H56" s="7">
        <f t="shared" si="6"/>
        <v>109.95120051138341</v>
      </c>
      <c r="I56" s="7">
        <f t="shared" si="7"/>
        <v>0.96449065697238234</v>
      </c>
      <c r="J56" s="7">
        <f t="shared" si="8"/>
        <v>109.1974293019763</v>
      </c>
      <c r="K56" s="7">
        <f t="shared" si="3"/>
        <v>6.0120731720511286E-2</v>
      </c>
      <c r="L56" s="7">
        <f t="shared" si="4"/>
        <v>2.2491904914722891E-2</v>
      </c>
    </row>
    <row r="57" spans="1:12">
      <c r="A57" s="6">
        <v>39600</v>
      </c>
      <c r="B57" s="3">
        <v>1149</v>
      </c>
      <c r="C57" s="7">
        <v>108.53</v>
      </c>
      <c r="D57" s="7">
        <f t="shared" si="9"/>
        <v>1080.4736998946287</v>
      </c>
      <c r="E57" s="7">
        <f t="shared" si="10"/>
        <v>6.2074431102969445</v>
      </c>
      <c r="F57" s="7">
        <f t="shared" si="11"/>
        <v>1.1140439666254021</v>
      </c>
      <c r="G57" s="7">
        <f t="shared" si="12"/>
        <v>1262.9483468021588</v>
      </c>
      <c r="H57" s="7">
        <f t="shared" si="6"/>
        <v>110.19998381784904</v>
      </c>
      <c r="I57" s="7">
        <f t="shared" si="7"/>
        <v>0.8929199219217081</v>
      </c>
      <c r="J57" s="7">
        <f t="shared" si="8"/>
        <v>110.91569116835579</v>
      </c>
      <c r="K57" s="7">
        <f t="shared" si="3"/>
        <v>9.9171755267327036E-2</v>
      </c>
      <c r="L57" s="7">
        <f t="shared" si="4"/>
        <v>2.1981859102144948E-2</v>
      </c>
    </row>
    <row r="58" spans="1:12">
      <c r="A58" s="6">
        <v>39630</v>
      </c>
      <c r="B58" s="3">
        <v>1624</v>
      </c>
      <c r="C58" s="7">
        <v>112.37</v>
      </c>
      <c r="D58" s="7">
        <f t="shared" si="9"/>
        <v>1078.1948345830017</v>
      </c>
      <c r="E58" s="7">
        <f t="shared" si="10"/>
        <v>5.3588122681045514</v>
      </c>
      <c r="F58" s="7">
        <f t="shared" si="11"/>
        <v>1.5355987546841989</v>
      </c>
      <c r="G58" s="7">
        <f t="shared" si="12"/>
        <v>1689.9888443595694</v>
      </c>
      <c r="H58" s="7">
        <f t="shared" si="6"/>
        <v>111.47603261783952</v>
      </c>
      <c r="I58" s="7">
        <f t="shared" si="7"/>
        <v>0.93123280972858502</v>
      </c>
      <c r="J58" s="7">
        <f t="shared" si="8"/>
        <v>111.09290373977075</v>
      </c>
      <c r="K58" s="7">
        <f t="shared" si="3"/>
        <v>4.063352485195159E-2</v>
      </c>
      <c r="L58" s="7">
        <f t="shared" si="4"/>
        <v>1.1365099761762544E-2</v>
      </c>
    </row>
    <row r="59" spans="1:12">
      <c r="A59" s="6">
        <v>39661</v>
      </c>
      <c r="B59" s="3">
        <v>1661</v>
      </c>
      <c r="C59" s="7">
        <v>107.38</v>
      </c>
      <c r="D59" s="7">
        <f t="shared" si="9"/>
        <v>1090.4340332261911</v>
      </c>
      <c r="E59" s="7">
        <f t="shared" si="10"/>
        <v>6.046850905613038</v>
      </c>
      <c r="F59" s="7">
        <f t="shared" si="11"/>
        <v>1.5007473220225775</v>
      </c>
      <c r="G59" s="7">
        <f t="shared" si="12"/>
        <v>1609.8874066801761</v>
      </c>
      <c r="H59" s="7">
        <f t="shared" si="6"/>
        <v>110.89908579929767</v>
      </c>
      <c r="I59" s="7">
        <f t="shared" si="7"/>
        <v>0.78041484690154095</v>
      </c>
      <c r="J59" s="7">
        <f t="shared" si="8"/>
        <v>112.40726542756811</v>
      </c>
      <c r="K59" s="7">
        <f t="shared" si="3"/>
        <v>3.077218140868385E-2</v>
      </c>
      <c r="L59" s="7">
        <f t="shared" si="4"/>
        <v>4.6817521210356774E-2</v>
      </c>
    </row>
    <row r="60" spans="1:12">
      <c r="A60" s="6">
        <v>39692</v>
      </c>
      <c r="B60" s="3">
        <v>1208</v>
      </c>
      <c r="C60" s="7">
        <v>115.17</v>
      </c>
      <c r="D60" s="7">
        <f t="shared" si="9"/>
        <v>1094.8191573377387</v>
      </c>
      <c r="E60" s="7">
        <f t="shared" si="10"/>
        <v>5.8806782262064958</v>
      </c>
      <c r="F60" s="7">
        <f t="shared" si="11"/>
        <v>1.1074224488246225</v>
      </c>
      <c r="G60" s="7">
        <f t="shared" si="12"/>
        <v>1217.2235671647252</v>
      </c>
      <c r="H60" s="7">
        <f t="shared" si="6"/>
        <v>112.72665045233944</v>
      </c>
      <c r="I60" s="7">
        <f t="shared" si="7"/>
        <v>0.88512982751556457</v>
      </c>
      <c r="J60" s="7">
        <f t="shared" si="8"/>
        <v>111.6795006461992</v>
      </c>
      <c r="K60" s="7">
        <f t="shared" si="3"/>
        <v>7.6354032820572697E-3</v>
      </c>
      <c r="L60" s="7">
        <f t="shared" si="4"/>
        <v>3.0307366100553963E-2</v>
      </c>
    </row>
    <row r="61" spans="1:12">
      <c r="A61" s="6">
        <v>39722</v>
      </c>
      <c r="B61" s="3">
        <v>667</v>
      </c>
      <c r="C61" s="7">
        <v>114.29</v>
      </c>
      <c r="D61" s="7">
        <f t="shared" si="9"/>
        <v>1083.9802466572569</v>
      </c>
      <c r="E61" s="7">
        <f t="shared" si="10"/>
        <v>4.2087193355376629</v>
      </c>
      <c r="F61" s="7">
        <f t="shared" si="11"/>
        <v>0.63960084987716925</v>
      </c>
      <c r="G61" s="7">
        <f t="shared" si="12"/>
        <v>721.82226460842719</v>
      </c>
      <c r="H61" s="7">
        <f t="shared" si="6"/>
        <v>113.81524619589851</v>
      </c>
      <c r="I61" s="7">
        <f t="shared" si="7"/>
        <v>0.90547641911991505</v>
      </c>
      <c r="J61" s="7">
        <f t="shared" si="8"/>
        <v>113.61178027985501</v>
      </c>
      <c r="K61" s="7">
        <f t="shared" si="3"/>
        <v>8.2192300762259654E-2</v>
      </c>
      <c r="L61" s="7">
        <f t="shared" si="4"/>
        <v>5.934200018767999E-3</v>
      </c>
    </row>
    <row r="62" spans="1:12">
      <c r="A62" s="6">
        <v>39753</v>
      </c>
      <c r="B62" s="3">
        <v>760</v>
      </c>
      <c r="C62" s="7">
        <v>113.09</v>
      </c>
      <c r="D62" s="7">
        <f t="shared" si="9"/>
        <v>1066.8149227318961</v>
      </c>
      <c r="E62" s="7">
        <f t="shared" si="10"/>
        <v>2.0713150094478183</v>
      </c>
      <c r="F62" s="7">
        <f t="shared" si="11"/>
        <v>0.74964121202647704</v>
      </c>
      <c r="G62" s="7">
        <f t="shared" si="12"/>
        <v>842.76756600973158</v>
      </c>
      <c r="H62" s="7">
        <f t="shared" si="6"/>
        <v>114.2315058305129</v>
      </c>
      <c r="I62" s="7">
        <f t="shared" si="7"/>
        <v>0.85655474066936266</v>
      </c>
      <c r="J62" s="7">
        <f t="shared" si="8"/>
        <v>114.72072261501843</v>
      </c>
      <c r="K62" s="7">
        <f t="shared" si="3"/>
        <v>0.10890469211806787</v>
      </c>
      <c r="L62" s="7">
        <f t="shared" si="4"/>
        <v>1.4419688876279315E-2</v>
      </c>
    </row>
    <row r="63" spans="1:12">
      <c r="A63" s="6">
        <v>39783</v>
      </c>
      <c r="B63" s="3">
        <v>1885</v>
      </c>
      <c r="C63" s="7">
        <v>120.58</v>
      </c>
      <c r="D63" s="7">
        <f t="shared" si="9"/>
        <v>1140.3139691776903</v>
      </c>
      <c r="E63" s="7">
        <f t="shared" si="10"/>
        <v>9.2140881530824554</v>
      </c>
      <c r="F63" s="7">
        <f t="shared" si="11"/>
        <v>1.4543351844107906</v>
      </c>
      <c r="G63" s="7">
        <f t="shared" si="12"/>
        <v>1412.9140138546602</v>
      </c>
      <c r="H63" s="7">
        <f t="shared" si="6"/>
        <v>116.73564239982758</v>
      </c>
      <c r="I63" s="7">
        <f t="shared" si="7"/>
        <v>1.0213129235338945</v>
      </c>
      <c r="J63" s="7">
        <f t="shared" si="8"/>
        <v>115.08806057118227</v>
      </c>
      <c r="K63" s="7">
        <f t="shared" si="3"/>
        <v>0.25044349397630761</v>
      </c>
      <c r="L63" s="7">
        <f t="shared" si="4"/>
        <v>4.5546022796630704E-2</v>
      </c>
    </row>
    <row r="64" spans="1:12">
      <c r="A64" s="6">
        <v>39814</v>
      </c>
      <c r="B64" s="3">
        <v>920</v>
      </c>
      <c r="C64" s="3">
        <v>122</v>
      </c>
      <c r="D64" s="7">
        <f>Alpha1*B64/F52+(1-Alpha1)*(D63+E63)</f>
        <v>1165.0437944594455</v>
      </c>
      <c r="E64" s="7">
        <f>Beta1*(D64-D63)+(1-Beta1)*E63</f>
        <v>10.765661865949731</v>
      </c>
      <c r="F64" s="7">
        <f>Gamma1*B64/D64+(1-Gamma1)*F52</f>
        <v>0.7657065711386043</v>
      </c>
      <c r="G64" s="7">
        <f>(D63+E63)*F52</f>
        <v>861.83685225385602</v>
      </c>
      <c r="H64" s="7">
        <f>Alpha2*C64+(1-Alpha2)*(H63+I63)</f>
        <v>119.02986872635304</v>
      </c>
      <c r="I64" s="7">
        <f>Beta2*(H64-H63)+(1-Beta2)*I63</f>
        <v>1.1486042638330511</v>
      </c>
      <c r="J64" s="7">
        <f>H63+I63</f>
        <v>117.75695532336148</v>
      </c>
      <c r="K64" s="7">
        <f>ABS((G64-B64)/B64)</f>
        <v>6.3220812767547804E-2</v>
      </c>
      <c r="L64" s="7">
        <f>ABS((J64-C64)/C64)</f>
        <v>3.4779054726545237E-2</v>
      </c>
    </row>
    <row r="65" spans="1:12">
      <c r="A65" s="6">
        <v>39845</v>
      </c>
      <c r="B65" s="3">
        <v>940</v>
      </c>
      <c r="C65" s="3">
        <v>123</v>
      </c>
      <c r="D65" s="7">
        <f>Alpha1*B65/F53+(1-Alpha1)*(D64+E64)</f>
        <v>1218.1263619350045</v>
      </c>
      <c r="E65" s="7">
        <f>Beta1*(D65-D64)+(1-Beta1)*E64</f>
        <v>14.997352426910661</v>
      </c>
      <c r="F65" s="7">
        <f>Gamma1*B65/D65+(1-Gamma1)*F53</f>
        <v>0.7151883158200556</v>
      </c>
      <c r="G65" s="7">
        <f>(D64+E64)*F53</f>
        <v>796.64529426730712</v>
      </c>
      <c r="H65" s="7">
        <f>Alpha2*C65+(1-Alpha2)*(H64+I64)</f>
        <v>121.02493109313025</v>
      </c>
      <c r="I65" s="7">
        <f>Beta2*(H65-H64)+(1-Beta2)*I64</f>
        <v>1.2332500741274666</v>
      </c>
      <c r="J65" s="7">
        <f>H64+I64</f>
        <v>120.17847299018609</v>
      </c>
      <c r="K65" s="7">
        <f>ABS((G65-B65)/B65)</f>
        <v>0.15250500609860945</v>
      </c>
      <c r="L65" s="7">
        <f>ABS((J65-C65)/C65)</f>
        <v>2.2939243982226878E-2</v>
      </c>
    </row>
  </sheetData>
  <phoneticPr fontId="0" type="noConversion"/>
  <printOptions headings="1" gridLines="1"/>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5"/>
  <dimension ref="A1:M34"/>
  <sheetViews>
    <sheetView workbookViewId="0"/>
  </sheetViews>
  <sheetFormatPr defaultRowHeight="15"/>
  <cols>
    <col min="1" max="1" width="30.42578125" style="3" bestFit="1" customWidth="1"/>
    <col min="2" max="2" width="12.42578125" style="3" customWidth="1"/>
    <col min="3" max="16384" width="9.140625" style="3"/>
  </cols>
  <sheetData>
    <row r="1" spans="1:7">
      <c r="A1" s="2" t="s">
        <v>32</v>
      </c>
    </row>
    <row r="3" spans="1:7">
      <c r="A3" s="2" t="s">
        <v>33</v>
      </c>
    </row>
    <row r="4" spans="1:7">
      <c r="A4" s="3" t="s">
        <v>34</v>
      </c>
      <c r="B4" s="3">
        <v>6</v>
      </c>
    </row>
    <row r="5" spans="1:7">
      <c r="A5" s="3" t="s">
        <v>39</v>
      </c>
      <c r="B5" s="3">
        <v>500</v>
      </c>
    </row>
    <row r="6" spans="1:7">
      <c r="A6" s="3" t="s">
        <v>40</v>
      </c>
      <c r="B6" s="8">
        <v>0.80000001192092896</v>
      </c>
    </row>
    <row r="7" spans="1:7">
      <c r="A7" s="3" t="s">
        <v>35</v>
      </c>
      <c r="B7" s="8">
        <v>0.10000000149011612</v>
      </c>
    </row>
    <row r="8" spans="1:7">
      <c r="A8" s="3" t="s">
        <v>38</v>
      </c>
      <c r="B8" s="3">
        <v>1</v>
      </c>
    </row>
    <row r="9" spans="1:7">
      <c r="A9" s="3" t="s">
        <v>36</v>
      </c>
      <c r="B9" s="3">
        <v>2000</v>
      </c>
    </row>
    <row r="10" spans="1:7">
      <c r="A10" s="3" t="s">
        <v>37</v>
      </c>
      <c r="B10" s="3">
        <v>500</v>
      </c>
    </row>
    <row r="12" spans="1:7">
      <c r="A12" s="2" t="s">
        <v>46</v>
      </c>
    </row>
    <row r="13" spans="1:7" s="6" customFormat="1">
      <c r="A13" s="6" t="s">
        <v>1</v>
      </c>
      <c r="B13" s="6">
        <v>39873</v>
      </c>
      <c r="C13" s="6">
        <v>39904</v>
      </c>
      <c r="D13" s="6">
        <v>39934</v>
      </c>
      <c r="E13" s="6">
        <v>39965</v>
      </c>
      <c r="F13" s="6">
        <v>39995</v>
      </c>
      <c r="G13" s="6">
        <v>40026</v>
      </c>
    </row>
    <row r="14" spans="1:7" s="9" customFormat="1">
      <c r="A14" s="9" t="s">
        <v>39</v>
      </c>
      <c r="B14" s="9">
        <f>InitInv</f>
        <v>500</v>
      </c>
      <c r="C14" s="9">
        <f>B23</f>
        <v>500</v>
      </c>
      <c r="D14" s="9">
        <f>C23</f>
        <v>113.79689703904809</v>
      </c>
      <c r="E14" s="9">
        <f>D23</f>
        <v>500.00000000000011</v>
      </c>
      <c r="F14" s="9">
        <f>E23</f>
        <v>485.702880859375</v>
      </c>
      <c r="G14" s="9">
        <f>F23</f>
        <v>500</v>
      </c>
    </row>
    <row r="15" spans="1:7" s="9" customFormat="1">
      <c r="A15" s="9" t="s">
        <v>41</v>
      </c>
      <c r="B15" s="9">
        <v>945.63079833984375</v>
      </c>
      <c r="C15" s="9">
        <v>568.98451910936058</v>
      </c>
      <c r="D15" s="9">
        <v>1512.754616632827</v>
      </c>
      <c r="E15" s="9">
        <v>1409.5799560546875</v>
      </c>
      <c r="F15" s="9">
        <v>2000</v>
      </c>
      <c r="G15" s="9">
        <v>1828.9291109304256</v>
      </c>
    </row>
    <row r="16" spans="1:7" s="4" customFormat="1">
      <c r="B16" s="4" t="s">
        <v>51</v>
      </c>
      <c r="C16" s="4" t="s">
        <v>51</v>
      </c>
      <c r="D16" s="4" t="s">
        <v>51</v>
      </c>
      <c r="E16" s="4" t="s">
        <v>51</v>
      </c>
      <c r="F16" s="4" t="s">
        <v>51</v>
      </c>
      <c r="G16" s="4" t="s">
        <v>51</v>
      </c>
    </row>
    <row r="17" spans="1:13">
      <c r="A17" s="3" t="s">
        <v>36</v>
      </c>
      <c r="B17" s="3">
        <f>ProdCap</f>
        <v>2000</v>
      </c>
      <c r="C17" s="3">
        <f>ProdCap</f>
        <v>2000</v>
      </c>
      <c r="D17" s="3">
        <f>ProdCap</f>
        <v>2000</v>
      </c>
      <c r="E17" s="3">
        <f>ProdCap</f>
        <v>2000</v>
      </c>
      <c r="F17" s="3">
        <f>ProdCap</f>
        <v>2000</v>
      </c>
      <c r="G17" s="3">
        <f>ProdCap</f>
        <v>2000</v>
      </c>
    </row>
    <row r="19" spans="1:13" s="9" customFormat="1">
      <c r="A19" s="9" t="s">
        <v>42</v>
      </c>
      <c r="B19" s="9">
        <f>B14+ProdPct*B15</f>
        <v>1256.5046499446726</v>
      </c>
      <c r="C19" s="9">
        <f>C14+ProdPct*C15</f>
        <v>955.1876220703125</v>
      </c>
      <c r="D19" s="9">
        <f>D14+ProdPct*D15</f>
        <v>1324.00060837875</v>
      </c>
      <c r="E19" s="9">
        <f>E14+ProdPct*E15</f>
        <v>1627.6639816472525</v>
      </c>
      <c r="F19" s="9">
        <f>F14+ProdPct*F15</f>
        <v>2085.7029047012329</v>
      </c>
      <c r="G19" s="9">
        <f>G14+ProdPct*G15</f>
        <v>1963.1433105468745</v>
      </c>
    </row>
    <row r="20" spans="1:13" s="4" customFormat="1">
      <c r="B20" s="4" t="s">
        <v>52</v>
      </c>
      <c r="C20" s="4" t="s">
        <v>52</v>
      </c>
      <c r="D20" s="4" t="s">
        <v>52</v>
      </c>
      <c r="E20" s="4" t="s">
        <v>52</v>
      </c>
      <c r="F20" s="4" t="s">
        <v>52</v>
      </c>
      <c r="G20" s="4" t="s">
        <v>52</v>
      </c>
    </row>
    <row r="21" spans="1:13" s="9" customFormat="1">
      <c r="A21" s="9" t="s">
        <v>2</v>
      </c>
      <c r="B21" s="9">
        <v>945.63079833984375</v>
      </c>
      <c r="C21" s="9">
        <v>955.1876220703125</v>
      </c>
      <c r="D21" s="9">
        <v>1126.551513671875</v>
      </c>
      <c r="E21" s="9">
        <v>1423.8770751953125</v>
      </c>
      <c r="F21" s="9">
        <v>1985.702880859375</v>
      </c>
      <c r="G21" s="9">
        <v>1963.143310546875</v>
      </c>
    </row>
    <row r="23" spans="1:13" s="9" customFormat="1">
      <c r="A23" s="9" t="s">
        <v>43</v>
      </c>
      <c r="B23" s="9">
        <f>B19-B21+(1-ProdPct)*B15</f>
        <v>500</v>
      </c>
      <c r="C23" s="9">
        <f>C19-C21+(1-ProdPct)*C15</f>
        <v>113.79689703904809</v>
      </c>
      <c r="D23" s="9">
        <f>D19-D21+(1-ProdPct)*D15</f>
        <v>500.00000000000011</v>
      </c>
      <c r="E23" s="9">
        <f>E19-E21+(1-ProdPct)*E15</f>
        <v>485.702880859375</v>
      </c>
      <c r="F23" s="9">
        <f>F19-F21+(1-ProdPct)*F15</f>
        <v>500</v>
      </c>
      <c r="G23" s="9">
        <f>G19-G21+(1-ProdPct)*G15</f>
        <v>365.78580038355068</v>
      </c>
    </row>
    <row r="25" spans="1:13">
      <c r="A25" s="3" t="s">
        <v>37</v>
      </c>
      <c r="B25" s="3">
        <f>InvCap</f>
        <v>500</v>
      </c>
      <c r="C25" s="3">
        <f>InvCap</f>
        <v>500</v>
      </c>
      <c r="D25" s="3">
        <f>InvCap</f>
        <v>500</v>
      </c>
      <c r="E25" s="3">
        <f>InvCap</f>
        <v>500</v>
      </c>
      <c r="F25" s="3">
        <f>InvCap</f>
        <v>500</v>
      </c>
      <c r="G25" s="3">
        <f>InvCap</f>
        <v>500</v>
      </c>
    </row>
    <row r="26" spans="1:13" s="9" customFormat="1">
      <c r="A26" s="9" t="s">
        <v>50</v>
      </c>
      <c r="B26" s="9">
        <f>(B14+B23)/2</f>
        <v>500</v>
      </c>
      <c r="C26" s="9">
        <f>(C14+C23)/2</f>
        <v>306.89844851952404</v>
      </c>
      <c r="D26" s="9">
        <f>(D14+D23)/2</f>
        <v>306.89844851952409</v>
      </c>
      <c r="E26" s="9">
        <f>(E14+E23)/2</f>
        <v>492.85144042968756</v>
      </c>
      <c r="F26" s="9">
        <f>(F14+F23)/2</f>
        <v>492.8514404296875</v>
      </c>
      <c r="G26" s="9">
        <f>(G14+G23)/2</f>
        <v>432.89290019177531</v>
      </c>
    </row>
    <row r="28" spans="1:13">
      <c r="A28" s="2" t="s">
        <v>44</v>
      </c>
    </row>
    <row r="29" spans="1:13">
      <c r="A29" s="3" t="s">
        <v>1</v>
      </c>
      <c r="B29" s="6">
        <v>39873</v>
      </c>
      <c r="C29" s="6">
        <v>39904</v>
      </c>
      <c r="D29" s="6">
        <v>39934</v>
      </c>
      <c r="E29" s="6">
        <v>39965</v>
      </c>
      <c r="F29" s="6">
        <v>39995</v>
      </c>
      <c r="G29" s="6">
        <v>40026</v>
      </c>
      <c r="H29" s="6"/>
      <c r="I29" s="6"/>
      <c r="J29" s="6"/>
      <c r="K29" s="6"/>
      <c r="L29" s="6"/>
      <c r="M29" s="6"/>
    </row>
    <row r="30" spans="1:13" s="10" customFormat="1">
      <c r="A30" s="10" t="s">
        <v>47</v>
      </c>
      <c r="B30" s="10">
        <v>122.25818634033203</v>
      </c>
      <c r="C30" s="10">
        <v>123.49143218994141</v>
      </c>
      <c r="D30" s="10">
        <v>124.72468566894531</v>
      </c>
      <c r="E30" s="10">
        <v>125.95793151855469</v>
      </c>
      <c r="F30" s="10">
        <v>127.19118499755859</v>
      </c>
      <c r="G30" s="10">
        <v>128.4244384765625</v>
      </c>
    </row>
    <row r="32" spans="1:13">
      <c r="A32" s="3" t="s">
        <v>48</v>
      </c>
      <c r="B32" s="11">
        <f>SUMPRODUCT(Production,FCosts)</f>
        <v>1041363.0032195442</v>
      </c>
    </row>
    <row r="33" spans="1:2">
      <c r="A33" s="3" t="s">
        <v>49</v>
      </c>
      <c r="B33" s="11">
        <f>SUMPRODUCT(EndInv,HoldPct*FCosts)</f>
        <v>30929.39411289875</v>
      </c>
    </row>
    <row r="34" spans="1:2">
      <c r="A34" s="3" t="s">
        <v>45</v>
      </c>
      <c r="B34" s="11">
        <f>SUM(B32:B33)</f>
        <v>1072292.3973324429</v>
      </c>
    </row>
  </sheetData>
  <phoneticPr fontId="0" type="noConversion"/>
  <printOptions headings="1" gridLines="1"/>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sheetPr codeName="Sheet8">
    <pageSetUpPr fitToPage="1"/>
  </sheetPr>
  <dimension ref="A1:M9"/>
  <sheetViews>
    <sheetView showGridLines="0" workbookViewId="0">
      <selection activeCell="B14" sqref="B14"/>
    </sheetView>
  </sheetViews>
  <sheetFormatPr defaultRowHeight="15"/>
  <cols>
    <col min="1" max="1" width="19.85546875" style="1" customWidth="1"/>
    <col min="2" max="2" width="11.42578125" style="1" customWidth="1"/>
    <col min="3" max="16384" width="9.140625" style="1"/>
  </cols>
  <sheetData>
    <row r="1" spans="1:13">
      <c r="A1" s="12" t="s">
        <v>53</v>
      </c>
    </row>
    <row r="3" spans="1:13">
      <c r="A3" s="1" t="s">
        <v>1</v>
      </c>
      <c r="B3" s="6">
        <v>39873</v>
      </c>
      <c r="C3" s="6">
        <v>39904</v>
      </c>
      <c r="D3" s="6">
        <v>39934</v>
      </c>
      <c r="E3" s="6">
        <v>39965</v>
      </c>
      <c r="F3" s="6">
        <v>39995</v>
      </c>
      <c r="G3" s="6">
        <v>40026</v>
      </c>
      <c r="H3" s="6"/>
      <c r="I3" s="6"/>
      <c r="J3" s="13"/>
      <c r="K3" s="13"/>
      <c r="L3" s="13"/>
      <c r="M3" s="13"/>
    </row>
    <row r="4" spans="1:13">
      <c r="A4" s="1" t="s">
        <v>41</v>
      </c>
      <c r="B4" s="9">
        <v>945.63079833984375</v>
      </c>
      <c r="C4" s="9">
        <v>568.98451910936058</v>
      </c>
      <c r="D4" s="9">
        <v>1512.754616632827</v>
      </c>
      <c r="E4" s="9">
        <v>1409.5799560546875</v>
      </c>
      <c r="F4" s="9">
        <v>2000</v>
      </c>
      <c r="G4" s="9">
        <v>1828.9291109304256</v>
      </c>
      <c r="H4" s="9"/>
      <c r="I4" s="9"/>
      <c r="J4" s="14"/>
      <c r="K4" s="14"/>
      <c r="L4" s="14"/>
      <c r="M4" s="14"/>
    </row>
    <row r="5" spans="1:13">
      <c r="A5" s="1" t="s">
        <v>43</v>
      </c>
      <c r="B5" s="14">
        <v>500</v>
      </c>
      <c r="C5" s="14">
        <v>113.79689703904809</v>
      </c>
      <c r="D5" s="14">
        <v>500.00000000000011</v>
      </c>
      <c r="E5" s="14">
        <v>485.702880859375</v>
      </c>
      <c r="F5" s="14">
        <v>500</v>
      </c>
      <c r="G5" s="14">
        <v>365.78580038355068</v>
      </c>
      <c r="H5" s="14"/>
      <c r="I5" s="14"/>
      <c r="J5" s="14"/>
      <c r="K5" s="14"/>
      <c r="L5" s="14"/>
      <c r="M5" s="14"/>
    </row>
    <row r="7" spans="1:13">
      <c r="A7" s="1" t="s">
        <v>48</v>
      </c>
      <c r="B7" s="15">
        <f>Model!B32</f>
        <v>1041363.0032195442</v>
      </c>
    </row>
    <row r="8" spans="1:13">
      <c r="A8" s="1" t="s">
        <v>49</v>
      </c>
      <c r="B8" s="15">
        <f>Model!B33</f>
        <v>30929.39411289875</v>
      </c>
    </row>
    <row r="9" spans="1:13">
      <c r="A9" s="1" t="s">
        <v>45</v>
      </c>
      <c r="B9" s="15">
        <f>Model!B34</f>
        <v>1072292.3973324429</v>
      </c>
    </row>
  </sheetData>
  <phoneticPr fontId="0" type="noConversion"/>
  <pageMargins left="0.75" right="0.75" top="1" bottom="1" header="0.5" footer="0.5"/>
  <pageSetup scale="79" orientation="portrait" horizontalDpi="1200" verticalDpi="1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2</vt:i4>
      </vt:variant>
      <vt:variant>
        <vt:lpstr>Named Ranges</vt:lpstr>
      </vt:variant>
      <vt:variant>
        <vt:i4>39</vt:i4>
      </vt:variant>
    </vt:vector>
  </HeadingPairs>
  <TitlesOfParts>
    <vt:vector size="45" baseType="lpstr">
      <vt:lpstr>Explanation</vt:lpstr>
      <vt:lpstr>Data</vt:lpstr>
      <vt:lpstr>Model</vt:lpstr>
      <vt:lpstr>Report</vt:lpstr>
      <vt:lpstr>Demand_Forecast</vt:lpstr>
      <vt:lpstr>Cost_Forecast</vt:lpstr>
      <vt:lpstr>_APE1</vt:lpstr>
      <vt:lpstr>_APE2</vt:lpstr>
      <vt:lpstr>Alpha1</vt:lpstr>
      <vt:lpstr>Alpha2</vt:lpstr>
      <vt:lpstr>AvgInv</vt:lpstr>
      <vt:lpstr>Beta1</vt:lpstr>
      <vt:lpstr>Beta2</vt:lpstr>
      <vt:lpstr>CostFCasts</vt:lpstr>
      <vt:lpstr>DataAnchor</vt:lpstr>
      <vt:lpstr>Demands</vt:lpstr>
      <vt:lpstr>DemFCasts</vt:lpstr>
      <vt:lpstr>EndInv</vt:lpstr>
      <vt:lpstr>FCosts</vt:lpstr>
      <vt:lpstr>FDemands</vt:lpstr>
      <vt:lpstr>Gamma1</vt:lpstr>
      <vt:lpstr>HoldOpt</vt:lpstr>
      <vt:lpstr>HoldPct</vt:lpstr>
      <vt:lpstr>InitInv</vt:lpstr>
      <vt:lpstr>InvCap</vt:lpstr>
      <vt:lpstr>InvCaps</vt:lpstr>
      <vt:lpstr>MAPE1</vt:lpstr>
      <vt:lpstr>MAPE2</vt:lpstr>
      <vt:lpstr>Month</vt:lpstr>
      <vt:lpstr>Months</vt:lpstr>
      <vt:lpstr>NMonths</vt:lpstr>
      <vt:lpstr>Onhand</vt:lpstr>
      <vt:lpstr>Data!Print_Area</vt:lpstr>
      <vt:lpstr>Explanation!Print_Area</vt:lpstr>
      <vt:lpstr>Model!Print_Area</vt:lpstr>
      <vt:lpstr>Report!Print_Area</vt:lpstr>
      <vt:lpstr>ProdCap</vt:lpstr>
      <vt:lpstr>ProdCaps</vt:lpstr>
      <vt:lpstr>ProdPct</vt:lpstr>
      <vt:lpstr>Production</vt:lpstr>
      <vt:lpstr>RepEndInv</vt:lpstr>
      <vt:lpstr>RepMonths</vt:lpstr>
      <vt:lpstr>RepProd</vt:lpstr>
      <vt:lpstr>TotalCost</vt:lpstr>
      <vt:lpstr>UnitCosts</vt:lpstr>
    </vt:vector>
  </TitlesOfParts>
  <Company>Indiana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2008-11-08T16:05:27Z</cp:lastPrinted>
  <dcterms:created xsi:type="dcterms:W3CDTF">2000-02-20T17:54:34Z</dcterms:created>
  <dcterms:modified xsi:type="dcterms:W3CDTF">2009-05-16T20:03:56Z</dcterms:modified>
</cp:coreProperties>
</file>