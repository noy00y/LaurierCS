
<file path=[Content_Types].xml><?xml version="1.0" encoding="utf-8"?>
<Types xmlns="http://schemas.openxmlformats.org/package/2006/content-types">
  <Default Extension="bin" ContentType="application/vnd.openxmlformats-officedocument.spreadsheetml.printerSettings"/>
  <Override PartName="/xl/charts/chart6.xml" ContentType="application/vnd.openxmlformats-officedocument.drawingml.chart+xml"/>
  <Override PartName="/xl/charts/chart7.xml" ContentType="application/vnd.openxmlformats-officedocument.drawingml.chart+xml"/>
  <Override PartName="/xl/theme/theme1.xml" ContentType="application/vnd.openxmlformats-officedocument.theme+xml"/>
  <Override PartName="/xl/styles.xml" ContentType="application/vnd.openxmlformats-officedocument.spreadsheetml.styles+xml"/>
  <Override PartName="/xl/charts/chart4.xml" ContentType="application/vnd.openxmlformats-officedocument.drawingml.chart+xml"/>
  <Override PartName="/xl/drawings/drawing6.xml" ContentType="application/vnd.openxmlformats-officedocument.drawing+xml"/>
  <Override PartName="/xl/charts/chart5.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drawings/drawing4.xml" ContentType="application/vnd.openxmlformats-officedocument.drawing+xml"/>
  <Override PartName="/xl/charts/chart3.xml" ContentType="application/vnd.openxmlformats-officedocument.drawingml.chart+xml"/>
  <Override PartName="/xl/drawings/drawing5.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hartsheets/sheet6.xml" ContentType="application/vnd.openxmlformats-officedocument.spreadsheetml.chartsheet+xml"/>
  <Override PartName="/xl/chartsheets/sheet7.xml" ContentType="application/vnd.openxmlformats-officedocument.spreadsheetml.chartsheet+xml"/>
  <Override PartName="/xl/drawings/drawing1.xml" ContentType="application/vnd.openxmlformats-officedocument.drawing+xml"/>
  <Override PartName="/xl/worksheets/sheet1.xml" ContentType="application/vnd.openxmlformats-officedocument.spreadsheetml.worksheet+xml"/>
  <Override PartName="/xl/chartsheets/sheet4.xml" ContentType="application/vnd.openxmlformats-officedocument.spreadsheetml.chartsheet+xml"/>
  <Override PartName="/xl/chartsheets/sheet5.xml" ContentType="application/vnd.openxmlformats-officedocument.spreadsheetml.chartsheet+xml"/>
  <Default Extension="vml" ContentType="application/vnd.openxmlformats-officedocument.vmlDrawing"/>
  <Override PartName="/xl/calcChain.xml" ContentType="application/vnd.openxmlformats-officedocument.spreadsheetml.calcChain+xml"/>
  <Override PartName="/xl/chartsheets/sheet2.xml" ContentType="application/vnd.openxmlformats-officedocument.spreadsheetml.chartsheet+xml"/>
  <Override PartName="/xl/chartsheets/sheet3.xml" ContentType="application/vnd.openxmlformats-officedocument.spreadsheetml.chartsheet+xml"/>
  <Override PartName="/xl/sharedStrings.xml" ContentType="application/vnd.openxmlformats-officedocument.spreadsheetml.sharedStrings+xml"/>
  <Override PartName="/xl/chartsheets/sheet1.xml" ContentType="application/vnd.openxmlformats-officedocument.spreadsheetml.chartsheet+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bookViews>
    <workbookView xWindow="120" yWindow="120" windowWidth="9375" windowHeight="4455"/>
  </bookViews>
  <sheets>
    <sheet name="Explanation" sheetId="2" r:id="rId1"/>
    <sheet name="Model" sheetId="1" state="hidden" r:id="rId2"/>
    <sheet name="Report" sheetId="3" state="hidden" r:id="rId3"/>
    <sheet name="CrudePurch" sheetId="4" state="hidden" r:id="rId4"/>
    <sheet name="GasProduced" sheetId="5" state="hidden" r:id="rId5"/>
    <sheet name="CrudeCosts" sheetId="6" state="hidden" r:id="rId6"/>
    <sheet name="ProdCostsRevs" sheetId="7" state="hidden" r:id="rId7"/>
    <sheet name="BlendPlan" sheetId="8" state="hidden" r:id="rId8"/>
    <sheet name="Octane" sheetId="9" state="hidden" r:id="rId9"/>
    <sheet name="Sulfur" sheetId="10" state="hidden" r:id="rId10"/>
  </sheets>
  <definedNames>
    <definedName name="AdEffect">Model!#REF!</definedName>
    <definedName name="Avails">Model!$G$23:$G$25</definedName>
    <definedName name="Capacity">Model!$D$35</definedName>
    <definedName name="Demands">Model!$B$31:$D$31</definedName>
    <definedName name="MaxSulfurs">Model!$B$14:$D$14</definedName>
    <definedName name="MinOctanes">Model!$B$13:$D$13</definedName>
    <definedName name="Octanes">Model!$B$17:$B$19</definedName>
    <definedName name="_xlnm.Print_Area" localSheetId="0">Explanation!$A$1:$L$26</definedName>
    <definedName name="_xlnm.Print_Area" localSheetId="1">Model!$A$1:$G$51</definedName>
    <definedName name="ProdCost">Model!$B$9</definedName>
    <definedName name="PurchCosts">Model!$B$4:$B$6</definedName>
    <definedName name="SellPrices">Model!$D$5:$F$5</definedName>
    <definedName name="solver_adj" localSheetId="1" hidden="1">Model!$B$23:$D$25</definedName>
    <definedName name="solver_cvg" localSheetId="1" hidden="1">0.0001</definedName>
    <definedName name="solver_drv" localSheetId="1" hidden="1">1</definedName>
    <definedName name="solver_eng" localSheetId="1" hidden="1">2</definedName>
    <definedName name="solver_est" localSheetId="1" hidden="1">1</definedName>
    <definedName name="solver_ibd" localSheetId="1" hidden="1">2</definedName>
    <definedName name="solver_itr" localSheetId="1" hidden="1">100</definedName>
    <definedName name="solver_lhs1" localSheetId="1" hidden="1">Model!$B$29:$D$29</definedName>
    <definedName name="solver_lhs2" localSheetId="1" hidden="1">Model!$B$35</definedName>
    <definedName name="solver_lhs3" localSheetId="1" hidden="1">Model!$B$38:$D$38</definedName>
    <definedName name="solver_lhs4" localSheetId="1" hidden="1">Model!$B$43:$D$43</definedName>
    <definedName name="solver_lhs5" localSheetId="1" hidden="1">Model!$E$23:$E$25</definedName>
    <definedName name="solver_lhs6" localSheetId="1" hidden="1">Model!$B$38:$D$38</definedName>
    <definedName name="solver_lhs7" localSheetId="1" hidden="1">Model!$B$43:$D$43</definedName>
    <definedName name="solver_lin" localSheetId="1" hidden="1">1</definedName>
    <definedName name="solver_lva" localSheetId="1" hidden="1">2</definedName>
    <definedName name="solver_mip" localSheetId="1" hidden="1">5000</definedName>
    <definedName name="solver_mni" localSheetId="1" hidden="1">30</definedName>
    <definedName name="solver_mrt" localSheetId="1" hidden="1">0.075</definedName>
    <definedName name="solver_neg" localSheetId="1" hidden="1">1</definedName>
    <definedName name="solver_nod" localSheetId="1" hidden="1">5000</definedName>
    <definedName name="solver_num" localSheetId="1" hidden="1">5</definedName>
    <definedName name="solver_nwt" localSheetId="1" hidden="1">1</definedName>
    <definedName name="solver_ofx" localSheetId="1" hidden="1">2</definedName>
    <definedName name="solver_opt" localSheetId="1" hidden="1">Model!$B$51</definedName>
    <definedName name="solver_piv" localSheetId="1" hidden="1">0.000001</definedName>
    <definedName name="solver_pre" localSheetId="1" hidden="1">0.000001</definedName>
    <definedName name="solver_pro" localSheetId="1" hidden="1">2</definedName>
    <definedName name="solver_rbv" localSheetId="1" hidden="1">1</definedName>
    <definedName name="solver_red" localSheetId="1" hidden="1">0.000001</definedName>
    <definedName name="solver_rel1" localSheetId="1" hidden="1">1</definedName>
    <definedName name="solver_rel2" localSheetId="1" hidden="1">1</definedName>
    <definedName name="solver_rel3" localSheetId="1" hidden="1">3</definedName>
    <definedName name="solver_rel4" localSheetId="1" hidden="1">1</definedName>
    <definedName name="solver_rel5" localSheetId="1" hidden="1">1</definedName>
    <definedName name="solver_rel6" localSheetId="1" hidden="1">3</definedName>
    <definedName name="solver_rel7" localSheetId="1" hidden="1">1</definedName>
    <definedName name="solver_reo" localSheetId="1" hidden="1">2</definedName>
    <definedName name="solver_rep" localSheetId="1" hidden="1">2</definedName>
    <definedName name="solver_rhs1" localSheetId="1" hidden="1">Demands</definedName>
    <definedName name="solver_rhs2" localSheetId="1" hidden="1">Capacity</definedName>
    <definedName name="solver_rhs3" localSheetId="1" hidden="1">Model!$B$40:$D$40</definedName>
    <definedName name="solver_rhs4" localSheetId="1" hidden="1">Model!$B$45:$D$45</definedName>
    <definedName name="solver_rhs5" localSheetId="1" hidden="1">Avails</definedName>
    <definedName name="solver_rhs6" localSheetId="1" hidden="1">Model!$B$40:$D$40</definedName>
    <definedName name="solver_rhs7" localSheetId="1" hidden="1">Model!$B$45:$D$45</definedName>
    <definedName name="solver_rlx" localSheetId="1" hidden="1">2</definedName>
    <definedName name="solver_scl" localSheetId="1" hidden="1">2</definedName>
    <definedName name="solver_sho" localSheetId="1" hidden="1">2</definedName>
    <definedName name="solver_ssz" localSheetId="1" hidden="1">100</definedName>
    <definedName name="solver_std" localSheetId="1" hidden="1">1</definedName>
    <definedName name="solver_tim" localSheetId="1" hidden="1">100</definedName>
    <definedName name="solver_tol" localSheetId="1" hidden="1">0.05</definedName>
    <definedName name="solver_typ" localSheetId="1" hidden="1">1</definedName>
    <definedName name="solver_val" localSheetId="1" hidden="1">0</definedName>
    <definedName name="solver_ver" localSheetId="1" hidden="1">2</definedName>
    <definedName name="Sulfurs">Model!$E$17:$E$19</definedName>
  </definedNames>
  <calcPr calcId="125725"/>
</workbook>
</file>

<file path=xl/calcChain.xml><?xml version="1.0" encoding="utf-8"?>
<calcChain xmlns="http://schemas.openxmlformats.org/spreadsheetml/2006/main">
  <c r="B29" i="1"/>
  <c r="B45" s="1"/>
  <c r="C29"/>
  <c r="C40" s="1"/>
  <c r="D29"/>
  <c r="E25"/>
  <c r="C7" i="3" s="1"/>
  <c r="E7" s="1"/>
  <c r="E23" i="1"/>
  <c r="E24"/>
  <c r="B47" s="1"/>
  <c r="D45"/>
  <c r="C43"/>
  <c r="D43"/>
  <c r="G20" i="3" s="1"/>
  <c r="B43" i="1"/>
  <c r="G18" i="3" s="1"/>
  <c r="D40" i="1"/>
  <c r="B40"/>
  <c r="C38"/>
  <c r="D38"/>
  <c r="C20" i="3" s="1"/>
  <c r="B38" i="1"/>
  <c r="C18" i="3" s="1"/>
  <c r="C5"/>
  <c r="E5" s="1"/>
  <c r="I5" a="1"/>
  <c r="I6" s="1"/>
  <c r="D5"/>
  <c r="D6"/>
  <c r="D7"/>
  <c r="H18" a="1"/>
  <c r="H18" s="1"/>
  <c r="D18" a="1"/>
  <c r="D18" s="1"/>
  <c r="C12"/>
  <c r="D12"/>
  <c r="E12"/>
  <c r="C13"/>
  <c r="D13"/>
  <c r="E13"/>
  <c r="C14"/>
  <c r="D14"/>
  <c r="E14"/>
  <c r="C19" l="1"/>
  <c r="G19"/>
  <c r="C45" i="1"/>
  <c r="H5" i="3" a="1"/>
  <c r="H5" s="1"/>
  <c r="J5" s="1"/>
  <c r="C6"/>
  <c r="E6" s="1"/>
  <c r="E8" s="1"/>
  <c r="C23" s="1"/>
  <c r="K5" a="1"/>
  <c r="K5" s="1"/>
  <c r="B49" i="1"/>
  <c r="D8" i="3"/>
  <c r="C8"/>
  <c r="H6"/>
  <c r="J6" s="1"/>
  <c r="B35" i="1"/>
  <c r="B48" s="1"/>
  <c r="I7" i="3"/>
  <c r="I5"/>
  <c r="H19"/>
  <c r="D19"/>
  <c r="D20"/>
  <c r="H20"/>
  <c r="H7" l="1"/>
  <c r="J7" s="1"/>
  <c r="J8" s="1"/>
  <c r="C24" s="1"/>
  <c r="K6"/>
  <c r="I8"/>
  <c r="B51" i="1"/>
  <c r="K7" i="3"/>
  <c r="K8" l="1"/>
  <c r="C25" s="1"/>
  <c r="C26" s="1"/>
  <c r="H8"/>
</calcChain>
</file>

<file path=xl/sharedStrings.xml><?xml version="1.0" encoding="utf-8"?>
<sst xmlns="http://schemas.openxmlformats.org/spreadsheetml/2006/main" count="114" uniqueCount="54">
  <si>
    <t>Purchase prices per gallon of crude</t>
  </si>
  <si>
    <t>Sale price per barrel of gasoline</t>
  </si>
  <si>
    <t>Crude 1</t>
  </si>
  <si>
    <t>Gas 1</t>
  </si>
  <si>
    <t>Gas 2</t>
  </si>
  <si>
    <t>Gas 3</t>
  </si>
  <si>
    <t>Crude 2</t>
  </si>
  <si>
    <t>Crude 3</t>
  </si>
  <si>
    <t>Cost to transform one barrel of crude into one barrel of gasoline</t>
  </si>
  <si>
    <t>Minimum octane</t>
  </si>
  <si>
    <t>Purchase/production plan</t>
  </si>
  <si>
    <t>Total purchased</t>
  </si>
  <si>
    <t>Max Available</t>
  </si>
  <si>
    <t>&lt;=</t>
  </si>
  <si>
    <t>Demand for gasolines</t>
  </si>
  <si>
    <t>Total produced</t>
  </si>
  <si>
    <t>Max Capacity</t>
  </si>
  <si>
    <t>Amount produced</t>
  </si>
  <si>
    <t>Octane ratings</t>
  </si>
  <si>
    <t>Octane constraints</t>
  </si>
  <si>
    <t>Actual total octane</t>
  </si>
  <si>
    <t>&gt;=</t>
  </si>
  <si>
    <t>Required</t>
  </si>
  <si>
    <t>Purchase costs</t>
  </si>
  <si>
    <t>Production costs</t>
  </si>
  <si>
    <t>Sales revenue</t>
  </si>
  <si>
    <t>Profit</t>
  </si>
  <si>
    <t>Constraint on total production</t>
  </si>
  <si>
    <t>Requirements for gasolines</t>
  </si>
  <si>
    <t>Demand</t>
  </si>
  <si>
    <t>Report of optimal blending solution</t>
  </si>
  <si>
    <t>Amounts of crudes purchased</t>
  </si>
  <si>
    <t>Totals</t>
  </si>
  <si>
    <t>Blending plan (gallons of crudes used in different gasolines)</t>
  </si>
  <si>
    <t>Octane requirements</t>
  </si>
  <si>
    <t>Obtained</t>
  </si>
  <si>
    <t>Sulfur requirements</t>
  </si>
  <si>
    <t>Min required</t>
  </si>
  <si>
    <t>Max allowed</t>
  </si>
  <si>
    <t>Purchased</t>
  </si>
  <si>
    <t>Available</t>
  </si>
  <si>
    <t>Amounts of gasolines produced (and sold)</t>
  </si>
  <si>
    <t>Produced</t>
  </si>
  <si>
    <t>Purchase cost</t>
  </si>
  <si>
    <t>Production cost</t>
  </si>
  <si>
    <t>Revenue</t>
  </si>
  <si>
    <t>Maximum Demand</t>
  </si>
  <si>
    <t>Sulfur constraints</t>
  </si>
  <si>
    <t>Actual total sulfur</t>
  </si>
  <si>
    <t>Maximum sulfur</t>
  </si>
  <si>
    <t>Sulfur content</t>
  </si>
  <si>
    <t>Monetary summary</t>
  </si>
  <si>
    <t>Oil Blending Application</t>
  </si>
  <si>
    <t>Oil blending model</t>
  </si>
</sst>
</file>

<file path=xl/styles.xml><?xml version="1.0" encoding="utf-8"?>
<styleSheet xmlns="http://schemas.openxmlformats.org/spreadsheetml/2006/main">
  <numFmts count="3">
    <numFmt numFmtId="6" formatCode="&quot;$&quot;#,##0_);[Red]\(&quot;$&quot;#,##0\)"/>
    <numFmt numFmtId="164" formatCode="0.0%"/>
    <numFmt numFmtId="165" formatCode="&quot;$&quot;#,##0;\-&quot;$&quot;#,##0"/>
  </numFmts>
  <fonts count="10">
    <font>
      <sz val="11"/>
      <name val="Calibri"/>
      <family val="2"/>
      <scheme val="minor"/>
    </font>
    <font>
      <b/>
      <sz val="10"/>
      <name val="Arial"/>
      <family val="2"/>
    </font>
    <font>
      <sz val="10"/>
      <name val="Arial"/>
      <family val="2"/>
    </font>
    <font>
      <b/>
      <sz val="10"/>
      <name val="Arial"/>
      <family val="2"/>
    </font>
    <font>
      <b/>
      <sz val="14"/>
      <name val="Arial"/>
      <family val="2"/>
    </font>
    <font>
      <sz val="14"/>
      <name val="Arial"/>
      <family val="2"/>
    </font>
    <font>
      <sz val="10"/>
      <color indexed="18"/>
      <name val="Arial"/>
      <family val="2"/>
    </font>
    <font>
      <b/>
      <sz val="10"/>
      <color indexed="8"/>
      <name val="Arial"/>
      <family val="2"/>
    </font>
    <font>
      <b/>
      <i/>
      <sz val="9"/>
      <color indexed="9"/>
      <name val="Arial"/>
      <family val="2"/>
    </font>
    <font>
      <b/>
      <sz val="14"/>
      <name val="Calibri"/>
      <family val="2"/>
      <scheme val="minor"/>
    </font>
  </fonts>
  <fills count="9">
    <fill>
      <patternFill patternType="none"/>
    </fill>
    <fill>
      <patternFill patternType="gray125"/>
    </fill>
    <fill>
      <patternFill patternType="solid">
        <fgColor indexed="44"/>
        <bgColor indexed="64"/>
      </patternFill>
    </fill>
    <fill>
      <patternFill patternType="solid">
        <fgColor indexed="22"/>
        <bgColor indexed="24"/>
      </patternFill>
    </fill>
    <fill>
      <patternFill patternType="solid">
        <fgColor indexed="18"/>
        <bgColor indexed="24"/>
      </patternFill>
    </fill>
    <fill>
      <patternFill patternType="solid">
        <fgColor indexed="9"/>
        <bgColor indexed="24"/>
      </patternFill>
    </fill>
    <fill>
      <patternFill patternType="solid">
        <fgColor theme="4" tint="0.59996337778862885"/>
        <bgColor indexed="64"/>
      </patternFill>
    </fill>
    <fill>
      <patternFill patternType="solid">
        <fgColor theme="5" tint="0.39994506668294322"/>
        <bgColor indexed="64"/>
      </patternFill>
    </fill>
    <fill>
      <patternFill patternType="solid">
        <fgColor theme="0" tint="-0.24994659260841701"/>
        <bgColor indexed="64"/>
      </patternFill>
    </fill>
  </fills>
  <borders count="14">
    <border>
      <left/>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style="medium">
        <color indexed="64"/>
      </left>
      <right/>
      <top style="medium">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top/>
      <bottom style="medium">
        <color indexed="64"/>
      </bottom>
      <diagonal/>
    </border>
    <border>
      <left/>
      <right style="medium">
        <color indexed="64"/>
      </right>
      <top/>
      <bottom style="medium">
        <color indexed="64"/>
      </bottom>
      <diagonal/>
    </border>
    <border>
      <left/>
      <right style="medium">
        <color indexed="64"/>
      </right>
      <top style="medium">
        <color indexed="64"/>
      </top>
      <bottom/>
      <diagonal/>
    </border>
    <border>
      <left style="medium">
        <color indexed="64"/>
      </left>
      <right/>
      <top style="medium">
        <color indexed="64"/>
      </top>
      <bottom/>
      <diagonal/>
    </border>
  </borders>
  <cellStyleXfs count="2">
    <xf numFmtId="0" fontId="0" fillId="0" borderId="0"/>
    <xf numFmtId="9" fontId="2" fillId="0" borderId="0" applyFont="0" applyFill="0" applyBorder="0" applyAlignment="0" applyProtection="0"/>
  </cellStyleXfs>
  <cellXfs count="46">
    <xf numFmtId="0" fontId="0" fillId="0" borderId="0" xfId="0"/>
    <xf numFmtId="0" fontId="1" fillId="0" borderId="0" xfId="0" applyFont="1"/>
    <xf numFmtId="6" fontId="0" fillId="0" borderId="0" xfId="0" applyNumberFormat="1"/>
    <xf numFmtId="0" fontId="0" fillId="0" borderId="0" xfId="0" applyAlignment="1">
      <alignment horizontal="right"/>
    </xf>
    <xf numFmtId="0" fontId="0" fillId="0" borderId="0" xfId="0" applyBorder="1"/>
    <xf numFmtId="0" fontId="0" fillId="0" borderId="0" xfId="0" applyAlignment="1">
      <alignment horizontal="center"/>
    </xf>
    <xf numFmtId="9" fontId="0" fillId="0" borderId="0" xfId="0" applyNumberFormat="1" applyBorder="1"/>
    <xf numFmtId="0" fontId="0" fillId="2" borderId="0" xfId="0" applyFill="1"/>
    <xf numFmtId="0" fontId="4" fillId="2" borderId="0" xfId="0" applyFont="1" applyFill="1"/>
    <xf numFmtId="0" fontId="5" fillId="2" borderId="0" xfId="0" applyFont="1" applyFill="1"/>
    <xf numFmtId="0" fontId="3" fillId="2" borderId="0" xfId="0" applyFont="1" applyFill="1"/>
    <xf numFmtId="165" fontId="0" fillId="2" borderId="0" xfId="0" applyNumberFormat="1" applyFill="1"/>
    <xf numFmtId="0" fontId="6" fillId="3" borderId="1" xfId="0" applyFont="1" applyFill="1" applyBorder="1" applyAlignment="1"/>
    <xf numFmtId="0" fontId="6" fillId="3" borderId="0" xfId="0" applyFont="1" applyFill="1" applyBorder="1" applyAlignment="1"/>
    <xf numFmtId="165" fontId="6" fillId="3" borderId="2" xfId="0" applyNumberFormat="1" applyFont="1" applyFill="1" applyBorder="1" applyAlignment="1"/>
    <xf numFmtId="0" fontId="6" fillId="3" borderId="3" xfId="0" applyFont="1" applyFill="1" applyBorder="1" applyAlignment="1"/>
    <xf numFmtId="0" fontId="6" fillId="4" borderId="4" xfId="0" applyFont="1" applyFill="1" applyBorder="1" applyAlignment="1"/>
    <xf numFmtId="0" fontId="7" fillId="3" borderId="1" xfId="0" applyFont="1" applyFill="1" applyBorder="1" applyAlignment="1">
      <alignment horizontal="left"/>
    </xf>
    <xf numFmtId="0" fontId="6" fillId="5" borderId="5" xfId="0" applyFont="1" applyFill="1" applyBorder="1" applyAlignment="1"/>
    <xf numFmtId="165" fontId="6" fillId="5" borderId="6" xfId="0" applyNumberFormat="1" applyFont="1" applyFill="1" applyBorder="1" applyAlignment="1"/>
    <xf numFmtId="0" fontId="7" fillId="5" borderId="7" xfId="0" applyFont="1" applyFill="1" applyBorder="1" applyAlignment="1">
      <alignment horizontal="left"/>
    </xf>
    <xf numFmtId="0" fontId="8" fillId="4" borderId="8" xfId="0" applyFont="1" applyFill="1" applyBorder="1" applyAlignment="1">
      <alignment horizontal="right"/>
    </xf>
    <xf numFmtId="0" fontId="8" fillId="4" borderId="9" xfId="0" applyFont="1" applyFill="1" applyBorder="1" applyAlignment="1">
      <alignment horizontal="right"/>
    </xf>
    <xf numFmtId="165" fontId="6" fillId="3" borderId="0" xfId="0" applyNumberFormat="1" applyFont="1" applyFill="1" applyBorder="1" applyAlignment="1"/>
    <xf numFmtId="165" fontId="6" fillId="5" borderId="5" xfId="0" applyNumberFormat="1" applyFont="1" applyFill="1" applyBorder="1" applyAlignment="1"/>
    <xf numFmtId="2" fontId="6" fillId="3" borderId="0" xfId="0" applyNumberFormat="1" applyFont="1" applyFill="1" applyBorder="1" applyAlignment="1"/>
    <xf numFmtId="2" fontId="6" fillId="3" borderId="2" xfId="0" applyNumberFormat="1" applyFont="1" applyFill="1" applyBorder="1" applyAlignment="1"/>
    <xf numFmtId="2" fontId="6" fillId="3" borderId="10" xfId="0" applyNumberFormat="1" applyFont="1" applyFill="1" applyBorder="1" applyAlignment="1"/>
    <xf numFmtId="2" fontId="6" fillId="3" borderId="11" xfId="0" applyNumberFormat="1" applyFont="1" applyFill="1" applyBorder="1" applyAlignment="1"/>
    <xf numFmtId="0" fontId="8" fillId="4" borderId="4" xfId="0" applyFont="1" applyFill="1" applyBorder="1" applyAlignment="1">
      <alignment horizontal="right"/>
    </xf>
    <xf numFmtId="10" fontId="6" fillId="3" borderId="2" xfId="1" applyNumberFormat="1" applyFont="1" applyFill="1" applyBorder="1" applyAlignment="1"/>
    <xf numFmtId="10" fontId="6" fillId="3" borderId="11" xfId="1" applyNumberFormat="1" applyFont="1" applyFill="1" applyBorder="1" applyAlignment="1"/>
    <xf numFmtId="2" fontId="6" fillId="3" borderId="0" xfId="0" applyNumberFormat="1" applyFont="1" applyFill="1" applyBorder="1" applyAlignment="1">
      <alignment horizontal="right"/>
    </xf>
    <xf numFmtId="2" fontId="6" fillId="3" borderId="10" xfId="0" applyNumberFormat="1" applyFont="1" applyFill="1" applyBorder="1" applyAlignment="1">
      <alignment horizontal="right"/>
    </xf>
    <xf numFmtId="10" fontId="6" fillId="3" borderId="0" xfId="1" applyNumberFormat="1" applyFont="1" applyFill="1" applyBorder="1" applyAlignment="1">
      <alignment horizontal="right"/>
    </xf>
    <xf numFmtId="10" fontId="6" fillId="3" borderId="10" xfId="1" applyNumberFormat="1" applyFont="1" applyFill="1" applyBorder="1" applyAlignment="1">
      <alignment horizontal="right"/>
    </xf>
    <xf numFmtId="165" fontId="6" fillId="3" borderId="12" xfId="0" applyNumberFormat="1" applyFont="1" applyFill="1" applyBorder="1" applyAlignment="1"/>
    <xf numFmtId="0" fontId="7" fillId="3" borderId="13" xfId="0" applyFont="1" applyFill="1" applyBorder="1" applyAlignment="1">
      <alignment horizontal="left"/>
    </xf>
    <xf numFmtId="0" fontId="0" fillId="0" borderId="0" xfId="0" applyFill="1"/>
    <xf numFmtId="6" fontId="0" fillId="6" borderId="0" xfId="0" applyNumberFormat="1" applyFill="1" applyBorder="1"/>
    <xf numFmtId="0" fontId="0" fillId="6" borderId="0" xfId="0" applyFill="1" applyBorder="1"/>
    <xf numFmtId="9" fontId="0" fillId="6" borderId="0" xfId="0" applyNumberFormat="1" applyFill="1" applyBorder="1"/>
    <xf numFmtId="164" fontId="0" fillId="6" borderId="0" xfId="0" applyNumberFormat="1" applyFill="1" applyBorder="1"/>
    <xf numFmtId="2" fontId="0" fillId="7" borderId="0" xfId="0" applyNumberFormat="1" applyFill="1" applyBorder="1"/>
    <xf numFmtId="6" fontId="0" fillId="8" borderId="0" xfId="0" applyNumberFormat="1" applyFill="1" applyBorder="1"/>
    <xf numFmtId="0" fontId="9" fillId="0" borderId="0" xfId="0" applyFont="1" applyFill="1" applyAlignment="1">
      <alignment horizontal="center"/>
    </xf>
  </cellXfs>
  <cellStyles count="2">
    <cellStyle name="Normal" xfId="0" builtinId="0" customBuiltin="1"/>
    <cellStyle name="Percent" xfId="1" builtinId="5"/>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styleSheet>
</file>

<file path=xl/_rels/workbook.xml.rels><?xml version="1.0" encoding="UTF-8" standalone="yes"?>
<Relationships xmlns="http://schemas.openxmlformats.org/package/2006/relationships"><Relationship Id="rId8" Type="http://schemas.openxmlformats.org/officeDocument/2006/relationships/chartsheet" Target="chartsheets/sheet5.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chartsheet" Target="chartsheets/sheet4.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hartsheet" Target="chartsheets/sheet3.xml"/><Relationship Id="rId11" Type="http://schemas.openxmlformats.org/officeDocument/2006/relationships/theme" Target="theme/theme1.xml"/><Relationship Id="rId5" Type="http://schemas.openxmlformats.org/officeDocument/2006/relationships/chartsheet" Target="chartsheets/sheet2.xml"/><Relationship Id="rId15" Type="http://schemas.microsoft.com/office/2006/relationships/vbaProject" Target="vbaProject.bin"/><Relationship Id="rId10" Type="http://schemas.openxmlformats.org/officeDocument/2006/relationships/chartsheet" Target="chartsheets/sheet7.xml"/><Relationship Id="rId4" Type="http://schemas.openxmlformats.org/officeDocument/2006/relationships/chartsheet" Target="chartsheets/sheet1.xml"/><Relationship Id="rId9" Type="http://schemas.openxmlformats.org/officeDocument/2006/relationships/chartsheet" Target="chartsheets/sheet6.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none" strike="noStrike" baseline="0">
                <a:solidFill>
                  <a:srgbClr val="000000"/>
                </a:solidFill>
                <a:latin typeface="Arial"/>
                <a:ea typeface="Arial"/>
                <a:cs typeface="Arial"/>
              </a:defRPr>
            </a:pPr>
            <a:r>
              <a:rPr lang="en-US"/>
              <a:t>Gallons of Crudes Purchased</a:t>
            </a:r>
          </a:p>
        </c:rich>
      </c:tx>
      <c:layout>
        <c:manualLayout>
          <c:xMode val="edge"/>
          <c:yMode val="edge"/>
          <c:x val="0.37180910099889092"/>
          <c:y val="1.9575856443719449E-2"/>
        </c:manualLayout>
      </c:layout>
      <c:spPr>
        <a:noFill/>
        <a:ln w="25400">
          <a:noFill/>
        </a:ln>
      </c:spPr>
    </c:title>
    <c:view3D>
      <c:hPercent val="68"/>
      <c:depthPercent val="100"/>
      <c:rAngAx val="1"/>
    </c:view3D>
    <c:floor>
      <c:spPr>
        <a:solidFill>
          <a:srgbClr val="C0C0C0"/>
        </a:solidFill>
        <a:ln w="3175">
          <a:solidFill>
            <a:srgbClr val="000000"/>
          </a:solidFill>
          <a:prstDash val="solid"/>
        </a:ln>
      </c:spPr>
    </c:floor>
    <c:sideWall>
      <c:spPr>
        <a:solidFill>
          <a:srgbClr val="C0C0C0"/>
        </a:solidFill>
        <a:ln w="12700">
          <a:solidFill>
            <a:srgbClr val="808080"/>
          </a:solidFill>
          <a:prstDash val="solid"/>
        </a:ln>
      </c:spPr>
    </c:sideWall>
    <c:backWall>
      <c:spPr>
        <a:solidFill>
          <a:srgbClr val="C0C0C0"/>
        </a:solidFill>
        <a:ln w="12700">
          <a:solidFill>
            <a:srgbClr val="808080"/>
          </a:solidFill>
          <a:prstDash val="solid"/>
        </a:ln>
      </c:spPr>
    </c:backWall>
    <c:plotArea>
      <c:layout>
        <c:manualLayout>
          <c:layoutTarget val="inner"/>
          <c:xMode val="edge"/>
          <c:yMode val="edge"/>
          <c:x val="5.327413984461709E-2"/>
          <c:y val="0.10277324632952706"/>
          <c:w val="0.83906770255271923"/>
          <c:h val="0.83197389885807638"/>
        </c:manualLayout>
      </c:layout>
      <c:bar3DChart>
        <c:barDir val="col"/>
        <c:grouping val="clustered"/>
        <c:ser>
          <c:idx val="0"/>
          <c:order val="0"/>
          <c:tx>
            <c:strRef>
              <c:f>Report!$C$4</c:f>
              <c:strCache>
                <c:ptCount val="1"/>
                <c:pt idx="0">
                  <c:v>Purchased</c:v>
                </c:pt>
              </c:strCache>
            </c:strRef>
          </c:tx>
          <c:spPr>
            <a:solidFill>
              <a:srgbClr val="8080FF"/>
            </a:solidFill>
            <a:ln w="12700">
              <a:solidFill>
                <a:srgbClr val="000000"/>
              </a:solidFill>
              <a:prstDash val="solid"/>
            </a:ln>
          </c:spPr>
          <c:cat>
            <c:strRef>
              <c:f>Report!$B$5:$B$7</c:f>
              <c:strCache>
                <c:ptCount val="3"/>
                <c:pt idx="0">
                  <c:v>Crude 1</c:v>
                </c:pt>
                <c:pt idx="1">
                  <c:v>Crude 2</c:v>
                </c:pt>
                <c:pt idx="2">
                  <c:v>Crude 3</c:v>
                </c:pt>
              </c:strCache>
            </c:strRef>
          </c:cat>
          <c:val>
            <c:numRef>
              <c:f>Report!$C$5:$C$7</c:f>
              <c:numCache>
                <c:formatCode>General</c:formatCode>
                <c:ptCount val="3"/>
                <c:pt idx="0">
                  <c:v>1500</c:v>
                </c:pt>
                <c:pt idx="1">
                  <c:v>4300</c:v>
                </c:pt>
                <c:pt idx="2">
                  <c:v>200</c:v>
                </c:pt>
              </c:numCache>
            </c:numRef>
          </c:val>
        </c:ser>
        <c:ser>
          <c:idx val="1"/>
          <c:order val="1"/>
          <c:tx>
            <c:strRef>
              <c:f>Report!$D$4</c:f>
              <c:strCache>
                <c:ptCount val="1"/>
                <c:pt idx="0">
                  <c:v>Available</c:v>
                </c:pt>
              </c:strCache>
            </c:strRef>
          </c:tx>
          <c:spPr>
            <a:solidFill>
              <a:srgbClr val="802060"/>
            </a:solidFill>
            <a:ln w="12700">
              <a:solidFill>
                <a:srgbClr val="000000"/>
              </a:solidFill>
              <a:prstDash val="solid"/>
            </a:ln>
          </c:spPr>
          <c:cat>
            <c:strRef>
              <c:f>Report!$B$5:$B$7</c:f>
              <c:strCache>
                <c:ptCount val="3"/>
                <c:pt idx="0">
                  <c:v>Crude 1</c:v>
                </c:pt>
                <c:pt idx="1">
                  <c:v>Crude 2</c:v>
                </c:pt>
                <c:pt idx="2">
                  <c:v>Crude 3</c:v>
                </c:pt>
              </c:strCache>
            </c:strRef>
          </c:cat>
          <c:val>
            <c:numRef>
              <c:f>Report!$D$5:$D$7</c:f>
              <c:numCache>
                <c:formatCode>General</c:formatCode>
                <c:ptCount val="3"/>
                <c:pt idx="0">
                  <c:v>5000</c:v>
                </c:pt>
                <c:pt idx="1">
                  <c:v>5000</c:v>
                </c:pt>
                <c:pt idx="2">
                  <c:v>5000</c:v>
                </c:pt>
              </c:numCache>
            </c:numRef>
          </c:val>
        </c:ser>
        <c:shape val="box"/>
        <c:axId val="186657792"/>
        <c:axId val="213472000"/>
        <c:axId val="0"/>
      </c:bar3DChart>
      <c:catAx>
        <c:axId val="186657792"/>
        <c:scaling>
          <c:orientation val="minMax"/>
        </c:scaling>
        <c:axPos val="b"/>
        <c:numFmt formatCode="General" sourceLinked="1"/>
        <c:tickLblPos val="low"/>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3472000"/>
        <c:crosses val="autoZero"/>
        <c:auto val="1"/>
        <c:lblAlgn val="ctr"/>
        <c:lblOffset val="100"/>
        <c:tickLblSkip val="1"/>
        <c:tickMarkSkip val="1"/>
      </c:catAx>
      <c:valAx>
        <c:axId val="213472000"/>
        <c:scaling>
          <c:orientation val="minMax"/>
        </c:scaling>
        <c:axPos val="l"/>
        <c:majorGridlines>
          <c:spPr>
            <a:ln w="3175">
              <a:solidFill>
                <a:srgbClr val="000000"/>
              </a:solidFill>
              <a:prstDash val="solid"/>
            </a:ln>
          </c:spPr>
        </c:majorGridlines>
        <c:numFmt formatCode="General" sourceLinked="1"/>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86657792"/>
        <c:crosses val="autoZero"/>
        <c:crossBetween val="between"/>
      </c:valAx>
      <c:spPr>
        <a:noFill/>
        <a:ln w="25400">
          <a:noFill/>
        </a:ln>
      </c:spPr>
    </c:plotArea>
    <c:legend>
      <c:legendPos val="r"/>
      <c:layout>
        <c:manualLayout>
          <c:xMode val="edge"/>
          <c:yMode val="edge"/>
          <c:x val="0.9045504994450605"/>
          <c:y val="0.50897226753670477"/>
          <c:w val="9.1009988901220862E-2"/>
          <c:h val="7.01468189233279E-2"/>
        </c:manualLayout>
      </c:layout>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chart>
  <c:spPr>
    <a:noFill/>
    <a:ln w="9525">
      <a:noFill/>
    </a:ln>
  </c:spPr>
  <c:txPr>
    <a:bodyPr/>
    <a:lstStyle/>
    <a:p>
      <a:pPr>
        <a:defRPr sz="1000" b="0" i="0" u="none" strike="noStrike" baseline="0">
          <a:solidFill>
            <a:srgbClr val="000000"/>
          </a:solidFill>
          <a:latin typeface="Arial"/>
          <a:ea typeface="Arial"/>
          <a:cs typeface="Arial"/>
        </a:defRPr>
      </a:pPr>
      <a:endParaRPr lang="en-US"/>
    </a:p>
  </c:txPr>
</c:chartSpace>
</file>

<file path=xl/charts/chart2.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none" strike="noStrike" baseline="0">
                <a:solidFill>
                  <a:srgbClr val="000000"/>
                </a:solidFill>
                <a:latin typeface="Arial"/>
                <a:ea typeface="Arial"/>
                <a:cs typeface="Arial"/>
              </a:defRPr>
            </a:pPr>
            <a:r>
              <a:rPr lang="en-US"/>
              <a:t>Gallons of Gasolines Produced</a:t>
            </a:r>
          </a:p>
        </c:rich>
      </c:tx>
      <c:layout>
        <c:manualLayout>
          <c:xMode val="edge"/>
          <c:yMode val="edge"/>
          <c:x val="0.36514983351831293"/>
          <c:y val="1.9575856443719449E-2"/>
        </c:manualLayout>
      </c:layout>
      <c:spPr>
        <a:noFill/>
        <a:ln w="25400">
          <a:noFill/>
        </a:ln>
      </c:spPr>
    </c:title>
    <c:view3D>
      <c:hPercent val="67"/>
      <c:depthPercent val="100"/>
      <c:rAngAx val="1"/>
    </c:view3D>
    <c:floor>
      <c:spPr>
        <a:solidFill>
          <a:srgbClr val="C0C0C0"/>
        </a:solidFill>
        <a:ln w="3175">
          <a:solidFill>
            <a:srgbClr val="000000"/>
          </a:solidFill>
          <a:prstDash val="solid"/>
        </a:ln>
      </c:spPr>
    </c:floor>
    <c:sideWall>
      <c:spPr>
        <a:solidFill>
          <a:srgbClr val="C0C0C0"/>
        </a:solidFill>
        <a:ln w="12700">
          <a:solidFill>
            <a:srgbClr val="808080"/>
          </a:solidFill>
          <a:prstDash val="solid"/>
        </a:ln>
      </c:spPr>
    </c:sideWall>
    <c:backWall>
      <c:spPr>
        <a:solidFill>
          <a:srgbClr val="C0C0C0"/>
        </a:solidFill>
        <a:ln w="12700">
          <a:solidFill>
            <a:srgbClr val="808080"/>
          </a:solidFill>
          <a:prstDash val="solid"/>
        </a:ln>
      </c:spPr>
    </c:backWall>
    <c:plotArea>
      <c:layout>
        <c:manualLayout>
          <c:layoutTarget val="inner"/>
          <c:xMode val="edge"/>
          <c:yMode val="edge"/>
          <c:x val="5.327413984461709E-2"/>
          <c:y val="0.10277324632952706"/>
          <c:w val="0.84683684794672587"/>
          <c:h val="0.83197389885807638"/>
        </c:manualLayout>
      </c:layout>
      <c:bar3DChart>
        <c:barDir val="col"/>
        <c:grouping val="clustered"/>
        <c:ser>
          <c:idx val="0"/>
          <c:order val="0"/>
          <c:tx>
            <c:strRef>
              <c:f>Report!$H$4</c:f>
              <c:strCache>
                <c:ptCount val="1"/>
                <c:pt idx="0">
                  <c:v>Produced</c:v>
                </c:pt>
              </c:strCache>
            </c:strRef>
          </c:tx>
          <c:spPr>
            <a:solidFill>
              <a:srgbClr val="8080FF"/>
            </a:solidFill>
            <a:ln w="12700">
              <a:solidFill>
                <a:srgbClr val="000000"/>
              </a:solidFill>
              <a:prstDash val="solid"/>
            </a:ln>
          </c:spPr>
          <c:cat>
            <c:strRef>
              <c:f>Report!$G$5:$G$7</c:f>
              <c:strCache>
                <c:ptCount val="3"/>
                <c:pt idx="0">
                  <c:v>Gas 1</c:v>
                </c:pt>
                <c:pt idx="1">
                  <c:v>Gas 2</c:v>
                </c:pt>
                <c:pt idx="2">
                  <c:v>Gas 3</c:v>
                </c:pt>
              </c:strCache>
            </c:strRef>
          </c:cat>
          <c:val>
            <c:numRef>
              <c:f>Report!$H$5:$H$7</c:f>
              <c:numCache>
                <c:formatCode>General</c:formatCode>
                <c:ptCount val="3"/>
                <c:pt idx="0">
                  <c:v>3000</c:v>
                </c:pt>
                <c:pt idx="1">
                  <c:v>2000</c:v>
                </c:pt>
                <c:pt idx="2">
                  <c:v>1000</c:v>
                </c:pt>
              </c:numCache>
            </c:numRef>
          </c:val>
        </c:ser>
        <c:ser>
          <c:idx val="1"/>
          <c:order val="1"/>
          <c:tx>
            <c:strRef>
              <c:f>Report!$I$4</c:f>
              <c:strCache>
                <c:ptCount val="1"/>
                <c:pt idx="0">
                  <c:v>Demand</c:v>
                </c:pt>
              </c:strCache>
            </c:strRef>
          </c:tx>
          <c:spPr>
            <a:solidFill>
              <a:srgbClr val="802060"/>
            </a:solidFill>
            <a:ln w="12700">
              <a:solidFill>
                <a:srgbClr val="000000"/>
              </a:solidFill>
              <a:prstDash val="solid"/>
            </a:ln>
          </c:spPr>
          <c:cat>
            <c:strRef>
              <c:f>Report!$G$5:$G$7</c:f>
              <c:strCache>
                <c:ptCount val="3"/>
                <c:pt idx="0">
                  <c:v>Gas 1</c:v>
                </c:pt>
                <c:pt idx="1">
                  <c:v>Gas 2</c:v>
                </c:pt>
                <c:pt idx="2">
                  <c:v>Gas 3</c:v>
                </c:pt>
              </c:strCache>
            </c:strRef>
          </c:cat>
          <c:val>
            <c:numRef>
              <c:f>Report!$I$5:$I$7</c:f>
              <c:numCache>
                <c:formatCode>General</c:formatCode>
                <c:ptCount val="3"/>
                <c:pt idx="0">
                  <c:v>3000</c:v>
                </c:pt>
                <c:pt idx="1">
                  <c:v>2000</c:v>
                </c:pt>
                <c:pt idx="2">
                  <c:v>1000</c:v>
                </c:pt>
              </c:numCache>
            </c:numRef>
          </c:val>
        </c:ser>
        <c:shape val="box"/>
        <c:axId val="235095936"/>
        <c:axId val="235097472"/>
        <c:axId val="0"/>
      </c:bar3DChart>
      <c:catAx>
        <c:axId val="235095936"/>
        <c:scaling>
          <c:orientation val="minMax"/>
        </c:scaling>
        <c:axPos val="b"/>
        <c:numFmt formatCode="General" sourceLinked="1"/>
        <c:tickLblPos val="low"/>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35097472"/>
        <c:crosses val="autoZero"/>
        <c:auto val="1"/>
        <c:lblAlgn val="ctr"/>
        <c:lblOffset val="100"/>
        <c:tickLblSkip val="1"/>
        <c:tickMarkSkip val="1"/>
      </c:catAx>
      <c:valAx>
        <c:axId val="235097472"/>
        <c:scaling>
          <c:orientation val="minMax"/>
        </c:scaling>
        <c:axPos val="l"/>
        <c:majorGridlines>
          <c:spPr>
            <a:ln w="3175">
              <a:solidFill>
                <a:srgbClr val="000000"/>
              </a:solidFill>
              <a:prstDash val="solid"/>
            </a:ln>
          </c:spPr>
        </c:majorGridlines>
        <c:numFmt formatCode="General" sourceLinked="1"/>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35095936"/>
        <c:crosses val="autoZero"/>
        <c:crossBetween val="between"/>
      </c:valAx>
      <c:spPr>
        <a:noFill/>
        <a:ln w="25400">
          <a:noFill/>
        </a:ln>
      </c:spPr>
    </c:plotArea>
    <c:legend>
      <c:legendPos val="r"/>
      <c:layout>
        <c:manualLayout>
          <c:xMode val="edge"/>
          <c:yMode val="edge"/>
          <c:x val="0.91231964483906758"/>
          <c:y val="0.50897226753670477"/>
          <c:w val="8.3240843507214266E-2"/>
          <c:h val="7.01468189233279E-2"/>
        </c:manualLayout>
      </c:layout>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chart>
  <c:spPr>
    <a:noFill/>
    <a:ln w="9525">
      <a:noFill/>
    </a:ln>
  </c:spPr>
  <c:txPr>
    <a:bodyPr/>
    <a:lstStyle/>
    <a:p>
      <a:pPr>
        <a:defRPr sz="1000" b="0" i="0" u="none" strike="noStrike" baseline="0">
          <a:solidFill>
            <a:srgbClr val="000000"/>
          </a:solidFill>
          <a:latin typeface="Arial"/>
          <a:ea typeface="Arial"/>
          <a:cs typeface="Arial"/>
        </a:defRPr>
      </a:pPr>
      <a:endParaRPr lang="en-US"/>
    </a:p>
  </c:txPr>
</c:chartSpace>
</file>

<file path=xl/charts/chart3.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none" strike="noStrike" baseline="0">
                <a:solidFill>
                  <a:srgbClr val="000000"/>
                </a:solidFill>
                <a:latin typeface="Arial"/>
                <a:ea typeface="Arial"/>
                <a:cs typeface="Arial"/>
              </a:defRPr>
            </a:pPr>
            <a:r>
              <a:rPr lang="en-US"/>
              <a:t>Crude Purchase Costs</a:t>
            </a:r>
          </a:p>
        </c:rich>
      </c:tx>
      <c:layout>
        <c:manualLayout>
          <c:xMode val="edge"/>
          <c:yMode val="edge"/>
          <c:x val="0.40066592674805784"/>
          <c:y val="1.9575856443719449E-2"/>
        </c:manualLayout>
      </c:layout>
      <c:spPr>
        <a:noFill/>
        <a:ln w="25400">
          <a:noFill/>
        </a:ln>
      </c:spPr>
    </c:title>
    <c:view3D>
      <c:hPercent val="61"/>
      <c:depthPercent val="100"/>
      <c:rAngAx val="1"/>
    </c:view3D>
    <c:floor>
      <c:spPr>
        <a:solidFill>
          <a:srgbClr val="C0C0C0"/>
        </a:solidFill>
        <a:ln w="3175">
          <a:solidFill>
            <a:srgbClr val="000000"/>
          </a:solidFill>
          <a:prstDash val="solid"/>
        </a:ln>
      </c:spPr>
    </c:floor>
    <c:sideWall>
      <c:spPr>
        <a:solidFill>
          <a:srgbClr val="C0C0C0"/>
        </a:solidFill>
        <a:ln w="12700">
          <a:solidFill>
            <a:srgbClr val="808080"/>
          </a:solidFill>
          <a:prstDash val="solid"/>
        </a:ln>
      </c:spPr>
    </c:sideWall>
    <c:backWall>
      <c:spPr>
        <a:solidFill>
          <a:srgbClr val="C0C0C0"/>
        </a:solidFill>
        <a:ln w="12700">
          <a:solidFill>
            <a:srgbClr val="808080"/>
          </a:solidFill>
          <a:prstDash val="solid"/>
        </a:ln>
      </c:spPr>
    </c:backWall>
    <c:plotArea>
      <c:layout>
        <c:manualLayout>
          <c:layoutTarget val="inner"/>
          <c:xMode val="edge"/>
          <c:yMode val="edge"/>
          <c:x val="8.1021087680355153E-2"/>
          <c:y val="0.10277324632952706"/>
          <c:w val="0.90788013318534966"/>
          <c:h val="0.83197389885807638"/>
        </c:manualLayout>
      </c:layout>
      <c:bar3DChart>
        <c:barDir val="col"/>
        <c:grouping val="clustered"/>
        <c:ser>
          <c:idx val="0"/>
          <c:order val="0"/>
          <c:spPr>
            <a:solidFill>
              <a:srgbClr val="8080FF"/>
            </a:solidFill>
            <a:ln w="12700">
              <a:solidFill>
                <a:srgbClr val="000000"/>
              </a:solidFill>
              <a:prstDash val="solid"/>
            </a:ln>
          </c:spPr>
          <c:dLbls>
            <c:delete val="1"/>
          </c:dLbls>
          <c:cat>
            <c:strRef>
              <c:f>Report!$B$5:$B$7</c:f>
              <c:strCache>
                <c:ptCount val="3"/>
                <c:pt idx="0">
                  <c:v>Crude 1</c:v>
                </c:pt>
                <c:pt idx="1">
                  <c:v>Crude 2</c:v>
                </c:pt>
                <c:pt idx="2">
                  <c:v>Crude 3</c:v>
                </c:pt>
              </c:strCache>
            </c:strRef>
          </c:cat>
          <c:val>
            <c:numRef>
              <c:f>Report!$E$5:$E$7</c:f>
              <c:numCache>
                <c:formatCode>"$"#,##0;\-"$"#,##0</c:formatCode>
                <c:ptCount val="3"/>
                <c:pt idx="0">
                  <c:v>82500</c:v>
                </c:pt>
                <c:pt idx="1">
                  <c:v>150500</c:v>
                </c:pt>
                <c:pt idx="2">
                  <c:v>5000</c:v>
                </c:pt>
              </c:numCache>
            </c:numRef>
          </c:val>
        </c:ser>
        <c:dLbls>
          <c:showVal val="1"/>
        </c:dLbls>
        <c:shape val="box"/>
        <c:axId val="235409408"/>
        <c:axId val="235410944"/>
        <c:axId val="0"/>
      </c:bar3DChart>
      <c:catAx>
        <c:axId val="235409408"/>
        <c:scaling>
          <c:orientation val="minMax"/>
        </c:scaling>
        <c:axPos val="b"/>
        <c:numFmt formatCode="General" sourceLinked="1"/>
        <c:tickLblPos val="low"/>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35410944"/>
        <c:crosses val="autoZero"/>
        <c:auto val="1"/>
        <c:lblAlgn val="ctr"/>
        <c:lblOffset val="100"/>
        <c:tickLblSkip val="1"/>
        <c:tickMarkSkip val="1"/>
      </c:catAx>
      <c:valAx>
        <c:axId val="235410944"/>
        <c:scaling>
          <c:orientation val="minMax"/>
        </c:scaling>
        <c:axPos val="l"/>
        <c:majorGridlines>
          <c:spPr>
            <a:ln w="3175">
              <a:solidFill>
                <a:srgbClr val="000000"/>
              </a:solidFill>
              <a:prstDash val="solid"/>
            </a:ln>
          </c:spPr>
        </c:majorGridlines>
        <c:numFmt formatCode="&quot;$&quot;#,##0;\-&quot;$&quot;#,##0" sourceLinked="1"/>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35409408"/>
        <c:crosses val="autoZero"/>
        <c:crossBetween val="between"/>
      </c:valAx>
      <c:spPr>
        <a:noFill/>
        <a:ln w="25400">
          <a:noFill/>
        </a:ln>
      </c:spPr>
    </c:plotArea>
    <c:plotVisOnly val="1"/>
    <c:dispBlanksAs val="gap"/>
  </c:chart>
  <c:spPr>
    <a:noFill/>
    <a:ln w="9525">
      <a:noFill/>
    </a:ln>
  </c:spPr>
  <c:txPr>
    <a:bodyPr/>
    <a:lstStyle/>
    <a:p>
      <a:pPr>
        <a:defRPr sz="1000" b="0" i="0" u="none" strike="noStrike" baseline="0">
          <a:solidFill>
            <a:srgbClr val="000000"/>
          </a:solidFill>
          <a:latin typeface="Arial"/>
          <a:ea typeface="Arial"/>
          <a:cs typeface="Arial"/>
        </a:defRPr>
      </a:pPr>
      <a:endParaRPr lang="en-US"/>
    </a:p>
  </c:txPr>
</c:chartSpace>
</file>

<file path=xl/charts/chart4.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none" strike="noStrike" baseline="0">
                <a:solidFill>
                  <a:srgbClr val="000000"/>
                </a:solidFill>
                <a:latin typeface="Arial"/>
                <a:ea typeface="Arial"/>
                <a:cs typeface="Arial"/>
              </a:defRPr>
            </a:pPr>
            <a:r>
              <a:rPr lang="en-US"/>
              <a:t>Production Costs, Revenues from Gasolines</a:t>
            </a:r>
          </a:p>
        </c:rich>
      </c:tx>
      <c:layout>
        <c:manualLayout>
          <c:xMode val="edge"/>
          <c:yMode val="edge"/>
          <c:x val="0.30854605993340783"/>
          <c:y val="1.9575856443719449E-2"/>
        </c:manualLayout>
      </c:layout>
      <c:spPr>
        <a:noFill/>
        <a:ln w="25400">
          <a:noFill/>
        </a:ln>
      </c:spPr>
    </c:title>
    <c:view3D>
      <c:hPercent val="70"/>
      <c:depthPercent val="100"/>
      <c:rAngAx val="1"/>
    </c:view3D>
    <c:floor>
      <c:spPr>
        <a:solidFill>
          <a:srgbClr val="C0C0C0"/>
        </a:solidFill>
        <a:ln w="3175">
          <a:solidFill>
            <a:srgbClr val="000000"/>
          </a:solidFill>
          <a:prstDash val="solid"/>
        </a:ln>
      </c:spPr>
    </c:floor>
    <c:sideWall>
      <c:spPr>
        <a:solidFill>
          <a:srgbClr val="C0C0C0"/>
        </a:solidFill>
        <a:ln w="12700">
          <a:solidFill>
            <a:srgbClr val="808080"/>
          </a:solidFill>
          <a:prstDash val="solid"/>
        </a:ln>
      </c:spPr>
    </c:sideWall>
    <c:backWall>
      <c:spPr>
        <a:solidFill>
          <a:srgbClr val="C0C0C0"/>
        </a:solidFill>
        <a:ln w="12700">
          <a:solidFill>
            <a:srgbClr val="808080"/>
          </a:solidFill>
          <a:prstDash val="solid"/>
        </a:ln>
      </c:spPr>
    </c:backWall>
    <c:plotArea>
      <c:layout>
        <c:manualLayout>
          <c:layoutTarget val="inner"/>
          <c:xMode val="edge"/>
          <c:yMode val="edge"/>
          <c:x val="8.1021087680355153E-2"/>
          <c:y val="0.10277324632952706"/>
          <c:w val="0.77913429522752564"/>
          <c:h val="0.83197389885807638"/>
        </c:manualLayout>
      </c:layout>
      <c:bar3DChart>
        <c:barDir val="col"/>
        <c:grouping val="clustered"/>
        <c:ser>
          <c:idx val="0"/>
          <c:order val="0"/>
          <c:tx>
            <c:strRef>
              <c:f>Report!$J$4</c:f>
              <c:strCache>
                <c:ptCount val="1"/>
                <c:pt idx="0">
                  <c:v>Production cost</c:v>
                </c:pt>
              </c:strCache>
            </c:strRef>
          </c:tx>
          <c:spPr>
            <a:solidFill>
              <a:srgbClr val="8080FF"/>
            </a:solidFill>
            <a:ln w="12700">
              <a:solidFill>
                <a:srgbClr val="000000"/>
              </a:solidFill>
              <a:prstDash val="solid"/>
            </a:ln>
          </c:spPr>
          <c:cat>
            <c:strRef>
              <c:f>Report!$G$5:$G$7</c:f>
              <c:strCache>
                <c:ptCount val="3"/>
                <c:pt idx="0">
                  <c:v>Gas 1</c:v>
                </c:pt>
                <c:pt idx="1">
                  <c:v>Gas 2</c:v>
                </c:pt>
                <c:pt idx="2">
                  <c:v>Gas 3</c:v>
                </c:pt>
              </c:strCache>
            </c:strRef>
          </c:cat>
          <c:val>
            <c:numRef>
              <c:f>Report!$J$5:$J$7</c:f>
              <c:numCache>
                <c:formatCode>"$"#,##0;\-"$"#,##0</c:formatCode>
                <c:ptCount val="3"/>
                <c:pt idx="0">
                  <c:v>15000</c:v>
                </c:pt>
                <c:pt idx="1">
                  <c:v>10000</c:v>
                </c:pt>
                <c:pt idx="2">
                  <c:v>5000</c:v>
                </c:pt>
              </c:numCache>
            </c:numRef>
          </c:val>
        </c:ser>
        <c:ser>
          <c:idx val="1"/>
          <c:order val="1"/>
          <c:tx>
            <c:strRef>
              <c:f>Report!$K$4</c:f>
              <c:strCache>
                <c:ptCount val="1"/>
                <c:pt idx="0">
                  <c:v>Revenue</c:v>
                </c:pt>
              </c:strCache>
            </c:strRef>
          </c:tx>
          <c:spPr>
            <a:solidFill>
              <a:srgbClr val="802060"/>
            </a:solidFill>
            <a:ln w="12700">
              <a:solidFill>
                <a:srgbClr val="000000"/>
              </a:solidFill>
              <a:prstDash val="solid"/>
            </a:ln>
          </c:spPr>
          <c:cat>
            <c:strRef>
              <c:f>Report!$G$5:$G$7</c:f>
              <c:strCache>
                <c:ptCount val="3"/>
                <c:pt idx="0">
                  <c:v>Gas 1</c:v>
                </c:pt>
                <c:pt idx="1">
                  <c:v>Gas 2</c:v>
                </c:pt>
                <c:pt idx="2">
                  <c:v>Gas 3</c:v>
                </c:pt>
              </c:strCache>
            </c:strRef>
          </c:cat>
          <c:val>
            <c:numRef>
              <c:f>Report!$K$5:$K$7</c:f>
              <c:numCache>
                <c:formatCode>"$"#,##0;\-"$"#,##0</c:formatCode>
                <c:ptCount val="3"/>
                <c:pt idx="0">
                  <c:v>210000</c:v>
                </c:pt>
                <c:pt idx="1">
                  <c:v>120000</c:v>
                </c:pt>
                <c:pt idx="2">
                  <c:v>75000</c:v>
                </c:pt>
              </c:numCache>
            </c:numRef>
          </c:val>
        </c:ser>
        <c:shape val="box"/>
        <c:axId val="235886848"/>
        <c:axId val="235892736"/>
        <c:axId val="0"/>
      </c:bar3DChart>
      <c:catAx>
        <c:axId val="235886848"/>
        <c:scaling>
          <c:orientation val="minMax"/>
        </c:scaling>
        <c:axPos val="b"/>
        <c:numFmt formatCode="General" sourceLinked="1"/>
        <c:tickLblPos val="low"/>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35892736"/>
        <c:crosses val="autoZero"/>
        <c:auto val="1"/>
        <c:lblAlgn val="ctr"/>
        <c:lblOffset val="100"/>
        <c:tickLblSkip val="1"/>
        <c:tickMarkSkip val="1"/>
      </c:catAx>
      <c:valAx>
        <c:axId val="235892736"/>
        <c:scaling>
          <c:orientation val="minMax"/>
        </c:scaling>
        <c:axPos val="l"/>
        <c:majorGridlines>
          <c:spPr>
            <a:ln w="3175">
              <a:solidFill>
                <a:srgbClr val="000000"/>
              </a:solidFill>
              <a:prstDash val="solid"/>
            </a:ln>
          </c:spPr>
        </c:majorGridlines>
        <c:numFmt formatCode="&quot;$&quot;#,##0;\-&quot;$&quot;#,##0" sourceLinked="1"/>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35886848"/>
        <c:crosses val="autoZero"/>
        <c:crossBetween val="between"/>
      </c:valAx>
      <c:spPr>
        <a:noFill/>
        <a:ln w="25400">
          <a:noFill/>
        </a:ln>
      </c:spPr>
    </c:plotArea>
    <c:legend>
      <c:legendPos val="r"/>
      <c:layout>
        <c:manualLayout>
          <c:xMode val="edge"/>
          <c:yMode val="edge"/>
          <c:x val="0.87236403995560452"/>
          <c:y val="0.50897226753670477"/>
          <c:w val="0.12319644839067717"/>
          <c:h val="7.01468189233279E-2"/>
        </c:manualLayout>
      </c:layout>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chart>
  <c:spPr>
    <a:noFill/>
    <a:ln w="9525">
      <a:noFill/>
    </a:ln>
  </c:spPr>
  <c:txPr>
    <a:bodyPr/>
    <a:lstStyle/>
    <a:p>
      <a:pPr>
        <a:defRPr sz="1000" b="0" i="0" u="none" strike="noStrike" baseline="0">
          <a:solidFill>
            <a:srgbClr val="000000"/>
          </a:solidFill>
          <a:latin typeface="Arial"/>
          <a:ea typeface="Arial"/>
          <a:cs typeface="Arial"/>
        </a:defRPr>
      </a:pPr>
      <a:endParaRPr lang="en-US"/>
    </a:p>
  </c:txPr>
</c:chartSpace>
</file>

<file path=xl/charts/chart5.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none" strike="noStrike" baseline="0">
                <a:solidFill>
                  <a:srgbClr val="000000"/>
                </a:solidFill>
                <a:latin typeface="Arial"/>
                <a:ea typeface="Arial"/>
                <a:cs typeface="Arial"/>
              </a:defRPr>
            </a:pPr>
            <a:r>
              <a:rPr lang="en-US"/>
              <a:t>Blending Plan: Gallons of Crudes Used in Gasolines</a:t>
            </a:r>
          </a:p>
        </c:rich>
      </c:tx>
      <c:layout>
        <c:manualLayout>
          <c:xMode val="edge"/>
          <c:yMode val="edge"/>
          <c:x val="0.2763596004439513"/>
          <c:y val="1.9575856443719449E-2"/>
        </c:manualLayout>
      </c:layout>
      <c:spPr>
        <a:noFill/>
        <a:ln w="25400">
          <a:noFill/>
        </a:ln>
      </c:spPr>
    </c:title>
    <c:view3D>
      <c:hPercent val="66"/>
      <c:depthPercent val="100"/>
      <c:rAngAx val="1"/>
    </c:view3D>
    <c:floor>
      <c:spPr>
        <a:solidFill>
          <a:srgbClr val="C0C0C0"/>
        </a:solidFill>
        <a:ln w="3175">
          <a:solidFill>
            <a:srgbClr val="000000"/>
          </a:solidFill>
          <a:prstDash val="solid"/>
        </a:ln>
      </c:spPr>
    </c:floor>
    <c:sideWall>
      <c:spPr>
        <a:solidFill>
          <a:srgbClr val="C0C0C0"/>
        </a:solidFill>
        <a:ln w="12700">
          <a:solidFill>
            <a:srgbClr val="808080"/>
          </a:solidFill>
          <a:prstDash val="solid"/>
        </a:ln>
      </c:spPr>
    </c:sideWall>
    <c:backWall>
      <c:spPr>
        <a:solidFill>
          <a:srgbClr val="C0C0C0"/>
        </a:solidFill>
        <a:ln w="12700">
          <a:solidFill>
            <a:srgbClr val="808080"/>
          </a:solidFill>
          <a:prstDash val="solid"/>
        </a:ln>
      </c:spPr>
    </c:backWall>
    <c:plotArea>
      <c:layout>
        <c:manualLayout>
          <c:layoutTarget val="inner"/>
          <c:xMode val="edge"/>
          <c:yMode val="edge"/>
          <c:x val="7.3251942286348501E-2"/>
          <c:y val="0.10114192495921713"/>
          <c:w val="0.76803551609323106"/>
          <c:h val="0.83197389885807638"/>
        </c:manualLayout>
      </c:layout>
      <c:bar3DChart>
        <c:barDir val="col"/>
        <c:grouping val="standard"/>
        <c:ser>
          <c:idx val="0"/>
          <c:order val="0"/>
          <c:tx>
            <c:strRef>
              <c:f>Report!$B$12</c:f>
              <c:strCache>
                <c:ptCount val="1"/>
                <c:pt idx="0">
                  <c:v>Crude 1</c:v>
                </c:pt>
              </c:strCache>
            </c:strRef>
          </c:tx>
          <c:spPr>
            <a:solidFill>
              <a:srgbClr val="8080FF"/>
            </a:solidFill>
            <a:ln w="12700">
              <a:solidFill>
                <a:srgbClr val="000000"/>
              </a:solidFill>
              <a:prstDash val="solid"/>
            </a:ln>
          </c:spPr>
          <c:cat>
            <c:strRef>
              <c:f>Report!$C$11:$E$11</c:f>
              <c:strCache>
                <c:ptCount val="3"/>
                <c:pt idx="0">
                  <c:v>Gas 1</c:v>
                </c:pt>
                <c:pt idx="1">
                  <c:v>Gas 2</c:v>
                </c:pt>
                <c:pt idx="2">
                  <c:v>Gas 3</c:v>
                </c:pt>
              </c:strCache>
            </c:strRef>
          </c:cat>
          <c:val>
            <c:numRef>
              <c:f>Report!$C$12:$E$12</c:f>
              <c:numCache>
                <c:formatCode>0.00</c:formatCode>
                <c:ptCount val="3"/>
                <c:pt idx="0">
                  <c:v>1500</c:v>
                </c:pt>
                <c:pt idx="1">
                  <c:v>1.1368712722098247E-13</c:v>
                </c:pt>
                <c:pt idx="2">
                  <c:v>0</c:v>
                </c:pt>
              </c:numCache>
            </c:numRef>
          </c:val>
        </c:ser>
        <c:ser>
          <c:idx val="1"/>
          <c:order val="1"/>
          <c:tx>
            <c:strRef>
              <c:f>Report!$B$13</c:f>
              <c:strCache>
                <c:ptCount val="1"/>
                <c:pt idx="0">
                  <c:v>Crude 2</c:v>
                </c:pt>
              </c:strCache>
            </c:strRef>
          </c:tx>
          <c:spPr>
            <a:solidFill>
              <a:srgbClr val="802060"/>
            </a:solidFill>
            <a:ln w="12700">
              <a:solidFill>
                <a:srgbClr val="000000"/>
              </a:solidFill>
              <a:prstDash val="solid"/>
            </a:ln>
          </c:spPr>
          <c:cat>
            <c:strRef>
              <c:f>Report!$C$11:$E$11</c:f>
              <c:strCache>
                <c:ptCount val="3"/>
                <c:pt idx="0">
                  <c:v>Gas 1</c:v>
                </c:pt>
                <c:pt idx="1">
                  <c:v>Gas 2</c:v>
                </c:pt>
                <c:pt idx="2">
                  <c:v>Gas 3</c:v>
                </c:pt>
              </c:strCache>
            </c:strRef>
          </c:cat>
          <c:val>
            <c:numRef>
              <c:f>Report!$C$13:$E$13</c:f>
              <c:numCache>
                <c:formatCode>0.00</c:formatCode>
                <c:ptCount val="3"/>
                <c:pt idx="0">
                  <c:v>1500</c:v>
                </c:pt>
                <c:pt idx="1">
                  <c:v>2000</c:v>
                </c:pt>
                <c:pt idx="2">
                  <c:v>800</c:v>
                </c:pt>
              </c:numCache>
            </c:numRef>
          </c:val>
        </c:ser>
        <c:ser>
          <c:idx val="2"/>
          <c:order val="2"/>
          <c:tx>
            <c:strRef>
              <c:f>Report!$B$14</c:f>
              <c:strCache>
                <c:ptCount val="1"/>
                <c:pt idx="0">
                  <c:v>Crude 3</c:v>
                </c:pt>
              </c:strCache>
            </c:strRef>
          </c:tx>
          <c:spPr>
            <a:solidFill>
              <a:srgbClr val="FFFFC0"/>
            </a:solidFill>
            <a:ln w="12700">
              <a:solidFill>
                <a:srgbClr val="000000"/>
              </a:solidFill>
              <a:prstDash val="solid"/>
            </a:ln>
          </c:spPr>
          <c:cat>
            <c:strRef>
              <c:f>Report!$C$11:$E$11</c:f>
              <c:strCache>
                <c:ptCount val="3"/>
                <c:pt idx="0">
                  <c:v>Gas 1</c:v>
                </c:pt>
                <c:pt idx="1">
                  <c:v>Gas 2</c:v>
                </c:pt>
                <c:pt idx="2">
                  <c:v>Gas 3</c:v>
                </c:pt>
              </c:strCache>
            </c:strRef>
          </c:cat>
          <c:val>
            <c:numRef>
              <c:f>Report!$C$14:$E$14</c:f>
              <c:numCache>
                <c:formatCode>0.00</c:formatCode>
                <c:ptCount val="3"/>
                <c:pt idx="0">
                  <c:v>0</c:v>
                </c:pt>
                <c:pt idx="1">
                  <c:v>0</c:v>
                </c:pt>
                <c:pt idx="2">
                  <c:v>200</c:v>
                </c:pt>
              </c:numCache>
            </c:numRef>
          </c:val>
        </c:ser>
        <c:shape val="box"/>
        <c:axId val="235943424"/>
        <c:axId val="235944960"/>
        <c:axId val="235460800"/>
      </c:bar3DChart>
      <c:catAx>
        <c:axId val="235943424"/>
        <c:scaling>
          <c:orientation val="minMax"/>
        </c:scaling>
        <c:axPos val="b"/>
        <c:numFmt formatCode="General" sourceLinked="1"/>
        <c:tickLblPos val="low"/>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35944960"/>
        <c:crosses val="autoZero"/>
        <c:auto val="1"/>
        <c:lblAlgn val="ctr"/>
        <c:lblOffset val="100"/>
        <c:tickLblSkip val="1"/>
        <c:tickMarkSkip val="1"/>
      </c:catAx>
      <c:valAx>
        <c:axId val="235944960"/>
        <c:scaling>
          <c:orientation val="minMax"/>
        </c:scaling>
        <c:axPos val="l"/>
        <c:majorGridlines>
          <c:spPr>
            <a:ln w="3175">
              <a:solidFill>
                <a:srgbClr val="000000"/>
              </a:solidFill>
              <a:prstDash val="solid"/>
            </a:ln>
          </c:spPr>
        </c:majorGridlines>
        <c:numFmt formatCode="0.00" sourceLinked="1"/>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35943424"/>
        <c:crosses val="autoZero"/>
        <c:crossBetween val="between"/>
      </c:valAx>
      <c:serAx>
        <c:axId val="235460800"/>
        <c:scaling>
          <c:orientation val="minMax"/>
        </c:scaling>
        <c:axPos val="b"/>
        <c:numFmt formatCode="General" sourceLinked="1"/>
        <c:tickLblPos val="low"/>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35944960"/>
        <c:crosses val="autoZero"/>
        <c:tickLblSkip val="1"/>
        <c:tickMarkSkip val="1"/>
      </c:serAx>
      <c:spPr>
        <a:noFill/>
        <a:ln w="25400">
          <a:noFill/>
        </a:ln>
      </c:spPr>
    </c:plotArea>
    <c:legend>
      <c:legendPos val="r"/>
      <c:layout>
        <c:manualLayout>
          <c:xMode val="edge"/>
          <c:yMode val="edge"/>
          <c:x val="0.92341842397336249"/>
          <c:y val="0.48939641109298615"/>
          <c:w val="7.658157602663708E-2"/>
          <c:h val="0.10440456769983671"/>
        </c:manualLayout>
      </c:layout>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chart>
  <c:spPr>
    <a:noFill/>
    <a:ln w="9525">
      <a:noFill/>
    </a:ln>
  </c:spPr>
  <c:txPr>
    <a:bodyPr/>
    <a:lstStyle/>
    <a:p>
      <a:pPr>
        <a:defRPr sz="1000" b="0" i="0" u="none" strike="noStrike" baseline="0">
          <a:solidFill>
            <a:srgbClr val="000000"/>
          </a:solidFill>
          <a:latin typeface="Arial"/>
          <a:ea typeface="Arial"/>
          <a:cs typeface="Arial"/>
        </a:defRPr>
      </a:pPr>
      <a:endParaRPr lang="en-US"/>
    </a:p>
  </c:txPr>
</c:chartSpace>
</file>

<file path=xl/charts/chart6.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none" strike="noStrike" baseline="0">
                <a:solidFill>
                  <a:srgbClr val="000000"/>
                </a:solidFill>
                <a:latin typeface="Arial"/>
                <a:ea typeface="Arial"/>
                <a:cs typeface="Arial"/>
              </a:defRPr>
            </a:pPr>
            <a:r>
              <a:rPr lang="en-US"/>
              <a:t>Octane Requirements</a:t>
            </a:r>
          </a:p>
        </c:rich>
      </c:tx>
      <c:layout>
        <c:manualLayout>
          <c:xMode val="edge"/>
          <c:yMode val="edge"/>
          <c:x val="0.40510543840177521"/>
          <c:y val="1.9575856443719449E-2"/>
        </c:manualLayout>
      </c:layout>
      <c:spPr>
        <a:noFill/>
        <a:ln w="25400">
          <a:noFill/>
        </a:ln>
      </c:spPr>
    </c:title>
    <c:view3D>
      <c:hPercent val="69"/>
      <c:depthPercent val="100"/>
      <c:rAngAx val="1"/>
    </c:view3D>
    <c:floor>
      <c:spPr>
        <a:solidFill>
          <a:srgbClr val="C0C0C0"/>
        </a:solidFill>
        <a:ln w="3175">
          <a:solidFill>
            <a:srgbClr val="000000"/>
          </a:solidFill>
          <a:prstDash val="solid"/>
        </a:ln>
      </c:spPr>
    </c:floor>
    <c:sideWall>
      <c:spPr>
        <a:solidFill>
          <a:srgbClr val="C0C0C0"/>
        </a:solidFill>
        <a:ln w="12700">
          <a:solidFill>
            <a:srgbClr val="808080"/>
          </a:solidFill>
          <a:prstDash val="solid"/>
        </a:ln>
      </c:spPr>
    </c:sideWall>
    <c:backWall>
      <c:spPr>
        <a:solidFill>
          <a:srgbClr val="C0C0C0"/>
        </a:solidFill>
        <a:ln w="12700">
          <a:solidFill>
            <a:srgbClr val="808080"/>
          </a:solidFill>
          <a:prstDash val="solid"/>
        </a:ln>
      </c:spPr>
    </c:backWall>
    <c:plotArea>
      <c:layout>
        <c:manualLayout>
          <c:layoutTarget val="inner"/>
          <c:xMode val="edge"/>
          <c:yMode val="edge"/>
          <c:x val="5.7713651498335405E-2"/>
          <c:y val="0.10277324632952706"/>
          <c:w val="0.82463928967813671"/>
          <c:h val="0.83197389885807638"/>
        </c:manualLayout>
      </c:layout>
      <c:bar3DChart>
        <c:barDir val="col"/>
        <c:grouping val="clustered"/>
        <c:ser>
          <c:idx val="0"/>
          <c:order val="0"/>
          <c:tx>
            <c:strRef>
              <c:f>Report!$C$17</c:f>
              <c:strCache>
                <c:ptCount val="1"/>
                <c:pt idx="0">
                  <c:v>Obtained</c:v>
                </c:pt>
              </c:strCache>
            </c:strRef>
          </c:tx>
          <c:spPr>
            <a:solidFill>
              <a:srgbClr val="8080FF"/>
            </a:solidFill>
            <a:ln w="12700">
              <a:solidFill>
                <a:srgbClr val="000000"/>
              </a:solidFill>
              <a:prstDash val="solid"/>
            </a:ln>
          </c:spPr>
          <c:cat>
            <c:strRef>
              <c:f>Report!$B$18:$B$20</c:f>
              <c:strCache>
                <c:ptCount val="3"/>
                <c:pt idx="0">
                  <c:v>Gas 1</c:v>
                </c:pt>
                <c:pt idx="1">
                  <c:v>Gas 2</c:v>
                </c:pt>
                <c:pt idx="2">
                  <c:v>Gas 3</c:v>
                </c:pt>
              </c:strCache>
            </c:strRef>
          </c:cat>
          <c:val>
            <c:numRef>
              <c:f>Report!$C$18:$C$20</c:f>
              <c:numCache>
                <c:formatCode>0.00</c:formatCode>
                <c:ptCount val="3"/>
                <c:pt idx="0">
                  <c:v>11</c:v>
                </c:pt>
                <c:pt idx="1">
                  <c:v>10</c:v>
                </c:pt>
                <c:pt idx="2">
                  <c:v>9.6</c:v>
                </c:pt>
              </c:numCache>
            </c:numRef>
          </c:val>
        </c:ser>
        <c:ser>
          <c:idx val="1"/>
          <c:order val="1"/>
          <c:tx>
            <c:strRef>
              <c:f>Report!$D$17</c:f>
              <c:strCache>
                <c:ptCount val="1"/>
                <c:pt idx="0">
                  <c:v>Min required</c:v>
                </c:pt>
              </c:strCache>
            </c:strRef>
          </c:tx>
          <c:spPr>
            <a:solidFill>
              <a:srgbClr val="802060"/>
            </a:solidFill>
            <a:ln w="12700">
              <a:solidFill>
                <a:srgbClr val="000000"/>
              </a:solidFill>
              <a:prstDash val="solid"/>
            </a:ln>
          </c:spPr>
          <c:cat>
            <c:strRef>
              <c:f>Report!$B$18:$B$20</c:f>
              <c:strCache>
                <c:ptCount val="3"/>
                <c:pt idx="0">
                  <c:v>Gas 1</c:v>
                </c:pt>
                <c:pt idx="1">
                  <c:v>Gas 2</c:v>
                </c:pt>
                <c:pt idx="2">
                  <c:v>Gas 3</c:v>
                </c:pt>
              </c:strCache>
            </c:strRef>
          </c:cat>
          <c:val>
            <c:numRef>
              <c:f>Report!$D$18:$D$20</c:f>
              <c:numCache>
                <c:formatCode>0.00</c:formatCode>
                <c:ptCount val="3"/>
                <c:pt idx="0">
                  <c:v>11</c:v>
                </c:pt>
                <c:pt idx="1">
                  <c:v>10</c:v>
                </c:pt>
                <c:pt idx="2">
                  <c:v>9</c:v>
                </c:pt>
              </c:numCache>
            </c:numRef>
          </c:val>
        </c:ser>
        <c:shape val="box"/>
        <c:axId val="235628032"/>
        <c:axId val="235629568"/>
        <c:axId val="0"/>
      </c:bar3DChart>
      <c:catAx>
        <c:axId val="235628032"/>
        <c:scaling>
          <c:orientation val="minMax"/>
        </c:scaling>
        <c:axPos val="b"/>
        <c:numFmt formatCode="General" sourceLinked="1"/>
        <c:tickLblPos val="low"/>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35629568"/>
        <c:crosses val="autoZero"/>
        <c:auto val="1"/>
        <c:lblAlgn val="ctr"/>
        <c:lblOffset val="100"/>
        <c:tickLblSkip val="1"/>
        <c:tickMarkSkip val="1"/>
      </c:catAx>
      <c:valAx>
        <c:axId val="235629568"/>
        <c:scaling>
          <c:orientation val="minMax"/>
        </c:scaling>
        <c:axPos val="l"/>
        <c:majorGridlines>
          <c:spPr>
            <a:ln w="3175">
              <a:solidFill>
                <a:srgbClr val="000000"/>
              </a:solidFill>
              <a:prstDash val="solid"/>
            </a:ln>
          </c:spPr>
        </c:majorGridlines>
        <c:numFmt formatCode="0.00" sourceLinked="1"/>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35628032"/>
        <c:crosses val="autoZero"/>
        <c:crossBetween val="between"/>
      </c:valAx>
      <c:spPr>
        <a:noFill/>
        <a:ln w="25400">
          <a:noFill/>
        </a:ln>
      </c:spPr>
    </c:plotArea>
    <c:legend>
      <c:legendPos val="r"/>
      <c:layout>
        <c:manualLayout>
          <c:xMode val="edge"/>
          <c:yMode val="edge"/>
          <c:x val="0.89456159822419534"/>
          <c:y val="0.50897226753670477"/>
          <c:w val="0.10099889012208645"/>
          <c:h val="7.01468189233279E-2"/>
        </c:manualLayout>
      </c:layout>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chart>
  <c:spPr>
    <a:noFill/>
    <a:ln w="9525">
      <a:noFill/>
    </a:ln>
  </c:spPr>
  <c:txPr>
    <a:bodyPr/>
    <a:lstStyle/>
    <a:p>
      <a:pPr>
        <a:defRPr sz="1000" b="0" i="0" u="none" strike="noStrike" baseline="0">
          <a:solidFill>
            <a:srgbClr val="000000"/>
          </a:solidFill>
          <a:latin typeface="Arial"/>
          <a:ea typeface="Arial"/>
          <a:cs typeface="Arial"/>
        </a:defRPr>
      </a:pPr>
      <a:endParaRPr lang="en-US"/>
    </a:p>
  </c:txPr>
</c:chartSpace>
</file>

<file path=xl/charts/chart7.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none" strike="noStrike" baseline="0">
                <a:solidFill>
                  <a:srgbClr val="000000"/>
                </a:solidFill>
                <a:latin typeface="Arial"/>
                <a:ea typeface="Arial"/>
                <a:cs typeface="Arial"/>
              </a:defRPr>
            </a:pPr>
            <a:r>
              <a:rPr lang="en-US"/>
              <a:t>Sulfur Requirements</a:t>
            </a:r>
          </a:p>
        </c:rich>
      </c:tx>
      <c:layout>
        <c:manualLayout>
          <c:xMode val="edge"/>
          <c:yMode val="edge"/>
          <c:x val="0.40954495005549391"/>
          <c:y val="1.9575856443719449E-2"/>
        </c:manualLayout>
      </c:layout>
      <c:spPr>
        <a:noFill/>
        <a:ln w="25400">
          <a:noFill/>
        </a:ln>
      </c:spPr>
    </c:title>
    <c:view3D>
      <c:hPercent val="69"/>
      <c:depthPercent val="100"/>
      <c:rAngAx val="1"/>
    </c:view3D>
    <c:floor>
      <c:spPr>
        <a:solidFill>
          <a:srgbClr val="C0C0C0"/>
        </a:solidFill>
        <a:ln w="3175">
          <a:solidFill>
            <a:srgbClr val="000000"/>
          </a:solidFill>
          <a:prstDash val="solid"/>
        </a:ln>
      </c:spPr>
    </c:floor>
    <c:sideWall>
      <c:spPr>
        <a:solidFill>
          <a:srgbClr val="C0C0C0"/>
        </a:solidFill>
        <a:ln w="12700">
          <a:solidFill>
            <a:srgbClr val="808080"/>
          </a:solidFill>
          <a:prstDash val="solid"/>
        </a:ln>
      </c:spPr>
    </c:sideWall>
    <c:backWall>
      <c:spPr>
        <a:solidFill>
          <a:srgbClr val="C0C0C0"/>
        </a:solidFill>
        <a:ln w="12700">
          <a:solidFill>
            <a:srgbClr val="808080"/>
          </a:solidFill>
          <a:prstDash val="solid"/>
        </a:ln>
      </c:spPr>
    </c:backWall>
    <c:plotArea>
      <c:layout>
        <c:manualLayout>
          <c:layoutTarget val="inner"/>
          <c:xMode val="edge"/>
          <c:yMode val="edge"/>
          <c:x val="6.3263041065482792E-2"/>
          <c:y val="0.10277324632952706"/>
          <c:w val="0.81798002219755861"/>
          <c:h val="0.83197389885807638"/>
        </c:manualLayout>
      </c:layout>
      <c:bar3DChart>
        <c:barDir val="col"/>
        <c:grouping val="clustered"/>
        <c:ser>
          <c:idx val="0"/>
          <c:order val="0"/>
          <c:tx>
            <c:strRef>
              <c:f>Report!$G$17</c:f>
              <c:strCache>
                <c:ptCount val="1"/>
                <c:pt idx="0">
                  <c:v>Obtained</c:v>
                </c:pt>
              </c:strCache>
            </c:strRef>
          </c:tx>
          <c:spPr>
            <a:solidFill>
              <a:srgbClr val="8080FF"/>
            </a:solidFill>
            <a:ln w="12700">
              <a:solidFill>
                <a:srgbClr val="000000"/>
              </a:solidFill>
              <a:prstDash val="solid"/>
            </a:ln>
          </c:spPr>
          <c:cat>
            <c:strRef>
              <c:f>Report!$F$18:$F$20</c:f>
              <c:strCache>
                <c:ptCount val="3"/>
                <c:pt idx="0">
                  <c:v>Gas 1</c:v>
                </c:pt>
                <c:pt idx="1">
                  <c:v>Gas 2</c:v>
                </c:pt>
                <c:pt idx="2">
                  <c:v>Gas 3</c:v>
                </c:pt>
              </c:strCache>
            </c:strRef>
          </c:cat>
          <c:val>
            <c:numRef>
              <c:f>Report!$G$18:$G$20</c:f>
              <c:numCache>
                <c:formatCode>0.00%</c:formatCode>
                <c:ptCount val="3"/>
                <c:pt idx="0">
                  <c:v>7.4999999999999997E-3</c:v>
                </c:pt>
                <c:pt idx="1">
                  <c:v>5.000000000000001E-3</c:v>
                </c:pt>
                <c:pt idx="2">
                  <c:v>0.01</c:v>
                </c:pt>
              </c:numCache>
            </c:numRef>
          </c:val>
        </c:ser>
        <c:ser>
          <c:idx val="1"/>
          <c:order val="1"/>
          <c:tx>
            <c:strRef>
              <c:f>Report!$H$17</c:f>
              <c:strCache>
                <c:ptCount val="1"/>
                <c:pt idx="0">
                  <c:v>Max allowed</c:v>
                </c:pt>
              </c:strCache>
            </c:strRef>
          </c:tx>
          <c:spPr>
            <a:solidFill>
              <a:srgbClr val="802060"/>
            </a:solidFill>
            <a:ln w="12700">
              <a:solidFill>
                <a:srgbClr val="000000"/>
              </a:solidFill>
              <a:prstDash val="solid"/>
            </a:ln>
          </c:spPr>
          <c:cat>
            <c:strRef>
              <c:f>Report!$F$18:$F$20</c:f>
              <c:strCache>
                <c:ptCount val="3"/>
                <c:pt idx="0">
                  <c:v>Gas 1</c:v>
                </c:pt>
                <c:pt idx="1">
                  <c:v>Gas 2</c:v>
                </c:pt>
                <c:pt idx="2">
                  <c:v>Gas 3</c:v>
                </c:pt>
              </c:strCache>
            </c:strRef>
          </c:cat>
          <c:val>
            <c:numRef>
              <c:f>Report!$H$18:$H$20</c:f>
              <c:numCache>
                <c:formatCode>0.00%</c:formatCode>
                <c:ptCount val="3"/>
                <c:pt idx="0">
                  <c:v>0.01</c:v>
                </c:pt>
                <c:pt idx="1">
                  <c:v>0.03</c:v>
                </c:pt>
                <c:pt idx="2">
                  <c:v>0.01</c:v>
                </c:pt>
              </c:numCache>
            </c:numRef>
          </c:val>
        </c:ser>
        <c:shape val="box"/>
        <c:axId val="236343680"/>
        <c:axId val="236345216"/>
        <c:axId val="0"/>
      </c:bar3DChart>
      <c:catAx>
        <c:axId val="236343680"/>
        <c:scaling>
          <c:orientation val="minMax"/>
        </c:scaling>
        <c:axPos val="b"/>
        <c:numFmt formatCode="General" sourceLinked="1"/>
        <c:tickLblPos val="low"/>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36345216"/>
        <c:crosses val="autoZero"/>
        <c:auto val="1"/>
        <c:lblAlgn val="ctr"/>
        <c:lblOffset val="100"/>
        <c:tickLblSkip val="1"/>
        <c:tickMarkSkip val="1"/>
      </c:catAx>
      <c:valAx>
        <c:axId val="236345216"/>
        <c:scaling>
          <c:orientation val="minMax"/>
        </c:scaling>
        <c:axPos val="l"/>
        <c:majorGridlines>
          <c:spPr>
            <a:ln w="3175">
              <a:solidFill>
                <a:srgbClr val="000000"/>
              </a:solidFill>
              <a:prstDash val="solid"/>
            </a:ln>
          </c:spPr>
        </c:majorGridlines>
        <c:numFmt formatCode="0.00%" sourceLinked="1"/>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36343680"/>
        <c:crosses val="autoZero"/>
        <c:crossBetween val="between"/>
      </c:valAx>
      <c:spPr>
        <a:noFill/>
        <a:ln w="25400">
          <a:noFill/>
        </a:ln>
      </c:spPr>
    </c:plotArea>
    <c:legend>
      <c:legendPos val="r"/>
      <c:layout>
        <c:manualLayout>
          <c:xMode val="edge"/>
          <c:yMode val="edge"/>
          <c:x val="0.89345172031076558"/>
          <c:y val="0.50897226753670477"/>
          <c:w val="0.10210876803551609"/>
          <c:h val="7.01468189233279E-2"/>
        </c:manualLayout>
      </c:layout>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chart>
  <c:spPr>
    <a:noFill/>
    <a:ln w="9525">
      <a:noFill/>
    </a:ln>
  </c:spPr>
  <c:txPr>
    <a:bodyPr/>
    <a:lstStyle/>
    <a:p>
      <a:pPr>
        <a:defRPr sz="1000" b="0" i="0" u="none" strike="noStrike" baseline="0">
          <a:solidFill>
            <a:srgbClr val="000000"/>
          </a:solidFill>
          <a:latin typeface="Arial"/>
          <a:ea typeface="Arial"/>
          <a:cs typeface="Arial"/>
        </a:defRPr>
      </a:pPr>
      <a:endParaRPr lang="en-US"/>
    </a:p>
  </c:txPr>
</c:chartSpace>
</file>

<file path=xl/chartsheets/_rels/sheet1.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drawing" Target="../drawings/drawing2.xml"/></Relationships>
</file>

<file path=xl/chartsheets/_rels/sheet2.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drawing" Target="../drawings/drawing3.xml"/></Relationships>
</file>

<file path=xl/chartsheets/_rels/sheet3.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drawing" Target="../drawings/drawing4.xml"/></Relationships>
</file>

<file path=xl/chartsheets/_rels/sheet4.xml.rels><?xml version="1.0" encoding="UTF-8" standalone="yes"?>
<Relationships xmlns="http://schemas.openxmlformats.org/package/2006/relationships"><Relationship Id="rId2" Type="http://schemas.openxmlformats.org/officeDocument/2006/relationships/vmlDrawing" Target="../drawings/vmlDrawing6.vml"/><Relationship Id="rId1" Type="http://schemas.openxmlformats.org/officeDocument/2006/relationships/drawing" Target="../drawings/drawing5.xml"/></Relationships>
</file>

<file path=xl/chartsheets/_rels/sheet5.xml.rels><?xml version="1.0" encoding="UTF-8" standalone="yes"?>
<Relationships xmlns="http://schemas.openxmlformats.org/package/2006/relationships"><Relationship Id="rId2" Type="http://schemas.openxmlformats.org/officeDocument/2006/relationships/vmlDrawing" Target="../drawings/vmlDrawing7.vml"/><Relationship Id="rId1" Type="http://schemas.openxmlformats.org/officeDocument/2006/relationships/drawing" Target="../drawings/drawing6.xml"/></Relationships>
</file>

<file path=xl/chartsheets/_rels/sheet6.xml.rels><?xml version="1.0" encoding="UTF-8" standalone="yes"?>
<Relationships xmlns="http://schemas.openxmlformats.org/package/2006/relationships"><Relationship Id="rId2" Type="http://schemas.openxmlformats.org/officeDocument/2006/relationships/vmlDrawing" Target="../drawings/vmlDrawing8.vml"/><Relationship Id="rId1" Type="http://schemas.openxmlformats.org/officeDocument/2006/relationships/drawing" Target="../drawings/drawing7.xml"/></Relationships>
</file>

<file path=xl/chartsheets/_rels/sheet7.xml.rels><?xml version="1.0" encoding="UTF-8" standalone="yes"?>
<Relationships xmlns="http://schemas.openxmlformats.org/package/2006/relationships"><Relationship Id="rId2" Type="http://schemas.openxmlformats.org/officeDocument/2006/relationships/vmlDrawing" Target="../drawings/vmlDrawing9.vml"/><Relationship Id="rId1" Type="http://schemas.openxmlformats.org/officeDocument/2006/relationships/drawing" Target="../drawings/drawing8.xml"/></Relationships>
</file>

<file path=xl/chartsheets/sheet1.xml><?xml version="1.0" encoding="utf-8"?>
<chartsheet xmlns="http://schemas.openxmlformats.org/spreadsheetml/2006/main" xmlns:r="http://schemas.openxmlformats.org/officeDocument/2006/relationships">
  <sheetPr codeName="Chart4"/>
  <sheetViews>
    <sheetView zoomScale="121" workbookViewId="0" zoomToFit="1"/>
  </sheetViews>
  <pageMargins left="0.75" right="0.75" top="1" bottom="1" header="0.5" footer="0.5"/>
  <headerFooter alignWithMargins="0"/>
  <drawing r:id="rId1"/>
  <legacyDrawing r:id="rId2"/>
</chartsheet>
</file>

<file path=xl/chartsheets/sheet2.xml><?xml version="1.0" encoding="utf-8"?>
<chartsheet xmlns="http://schemas.openxmlformats.org/spreadsheetml/2006/main" xmlns:r="http://schemas.openxmlformats.org/officeDocument/2006/relationships">
  <sheetPr codeName="Chart5"/>
  <sheetViews>
    <sheetView zoomScale="121" workbookViewId="0" zoomToFit="1"/>
  </sheetViews>
  <pageMargins left="0.75" right="0.75" top="1" bottom="1" header="0.5" footer="0.5"/>
  <headerFooter alignWithMargins="0"/>
  <drawing r:id="rId1"/>
  <legacyDrawing r:id="rId2"/>
</chartsheet>
</file>

<file path=xl/chartsheets/sheet3.xml><?xml version="1.0" encoding="utf-8"?>
<chartsheet xmlns="http://schemas.openxmlformats.org/spreadsheetml/2006/main" xmlns:r="http://schemas.openxmlformats.org/officeDocument/2006/relationships">
  <sheetPr codeName="Chart6"/>
  <sheetViews>
    <sheetView zoomScale="121" workbookViewId="0" zoomToFit="1"/>
  </sheetViews>
  <pageMargins left="0.75" right="0.75" top="1" bottom="1" header="0.5" footer="0.5"/>
  <headerFooter alignWithMargins="0"/>
  <drawing r:id="rId1"/>
  <legacyDrawing r:id="rId2"/>
</chartsheet>
</file>

<file path=xl/chartsheets/sheet4.xml><?xml version="1.0" encoding="utf-8"?>
<chartsheet xmlns="http://schemas.openxmlformats.org/spreadsheetml/2006/main" xmlns:r="http://schemas.openxmlformats.org/officeDocument/2006/relationships">
  <sheetPr codeName="Chart7"/>
  <sheetViews>
    <sheetView zoomScale="121" workbookViewId="0" zoomToFit="1"/>
  </sheetViews>
  <pageMargins left="0.75" right="0.75" top="1" bottom="1" header="0.5" footer="0.5"/>
  <headerFooter alignWithMargins="0"/>
  <drawing r:id="rId1"/>
  <legacyDrawing r:id="rId2"/>
</chartsheet>
</file>

<file path=xl/chartsheets/sheet5.xml><?xml version="1.0" encoding="utf-8"?>
<chartsheet xmlns="http://schemas.openxmlformats.org/spreadsheetml/2006/main" xmlns:r="http://schemas.openxmlformats.org/officeDocument/2006/relationships">
  <sheetPr codeName="Chart8"/>
  <sheetViews>
    <sheetView zoomScale="121" workbookViewId="0" zoomToFit="1"/>
  </sheetViews>
  <pageMargins left="0.75" right="0.75" top="1" bottom="1" header="0.5" footer="0.5"/>
  <headerFooter alignWithMargins="0"/>
  <drawing r:id="rId1"/>
  <legacyDrawing r:id="rId2"/>
</chartsheet>
</file>

<file path=xl/chartsheets/sheet6.xml><?xml version="1.0" encoding="utf-8"?>
<chartsheet xmlns="http://schemas.openxmlformats.org/spreadsheetml/2006/main" xmlns:r="http://schemas.openxmlformats.org/officeDocument/2006/relationships">
  <sheetPr codeName="Chart9"/>
  <sheetViews>
    <sheetView zoomScale="121" workbookViewId="0" zoomToFit="1"/>
  </sheetViews>
  <pageMargins left="0.75" right="0.75" top="1" bottom="1" header="0.5" footer="0.5"/>
  <headerFooter alignWithMargins="0"/>
  <drawing r:id="rId1"/>
  <legacyDrawing r:id="rId2"/>
</chartsheet>
</file>

<file path=xl/chartsheets/sheet7.xml><?xml version="1.0" encoding="utf-8"?>
<chartsheet xmlns="http://schemas.openxmlformats.org/spreadsheetml/2006/main" xmlns:r="http://schemas.openxmlformats.org/officeDocument/2006/relationships">
  <sheetPr codeName="Chart10"/>
  <sheetViews>
    <sheetView zoomScale="121" workbookViewId="0" zoomToFit="1"/>
  </sheetViews>
  <pageMargins left="0.75" right="0.75" top="1" bottom="1" header="0.5" footer="0.5"/>
  <headerFooter alignWithMargins="0"/>
  <drawing r:id="rId1"/>
  <legacyDrawing r:id="rId2"/>
</chartsheet>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1" Type="http://schemas.openxmlformats.org/officeDocument/2006/relationships/chart" Target="../charts/chart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0</xdr:col>
      <xdr:colOff>447675</xdr:colOff>
      <xdr:row>5</xdr:row>
      <xdr:rowOff>101599</xdr:rowOff>
    </xdr:from>
    <xdr:to>
      <xdr:col>10</xdr:col>
      <xdr:colOff>381000</xdr:colOff>
      <xdr:row>24</xdr:row>
      <xdr:rowOff>9524</xdr:rowOff>
    </xdr:to>
    <xdr:sp macro="" textlink="">
      <xdr:nvSpPr>
        <xdr:cNvPr id="3" name="TextBox 2"/>
        <xdr:cNvSpPr txBox="1"/>
      </xdr:nvSpPr>
      <xdr:spPr>
        <a:xfrm>
          <a:off x="447675" y="1101724"/>
          <a:ext cx="6029325" cy="3527425"/>
        </a:xfrm>
        <a:prstGeom prst="rect">
          <a:avLst/>
        </a:prstGeom>
        <a:solidFill>
          <a:schemeClr val="accent1">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horz" rtlCol="0" anchor="t"/>
        <a:lstStyle/>
        <a:p>
          <a:r>
            <a:rPr lang="en-US" sz="1100"/>
            <a:t>This application finds the optimal blending plan for a problem of a fixed size. The "fixed size" means that the problem always has three crude oils being blended into three gasoline types. Because of this fixed size, the optimization model and all reports, including charts, can be set up with Excel -- no VBA required -- at design time.  Then the application uses VBA to show the current inputs to the user and allows the user to change any of these.  It then runs Solver with these inputs and displays the results in a report, with several optional charts that can be viewed.
The inputs come in three groups:
(1) Monetary inputs: the cost per gallon of purchasing each type of crude, the selling price per gallon for each type of gasoline, and the cost of transforming a gallon of any crude into any type of gasoline.
(2) Data related to octanes and sulfur percentages. Each crude has a certain octane rating and sulfur percentage. Each gasoline has a minimum required octane rating and a maximum allowable sulfur percentage.
(3) Data related to demands, availabilities, and production capacity. As for demand, this is the maximum amount of each type of gasoline that can be sold. (There is no incentive, therefore, to produce more than this.)</a:t>
          </a:r>
        </a:p>
      </xdr:txBody>
    </xdr:sp>
    <xdr:clientData/>
  </xdr:twoCellAnchor>
</xdr:wsDr>
</file>

<file path=xl/drawings/drawing2.xml><?xml version="1.0" encoding="utf-8"?>
<xdr:wsDr xmlns:xdr="http://schemas.openxmlformats.org/drawingml/2006/spreadsheetDrawing" xmlns:a="http://schemas.openxmlformats.org/drawingml/2006/main">
  <xdr:absoluteAnchor>
    <xdr:pos x="0" y="0"/>
    <xdr:ext cx="8582025" cy="5838825"/>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xdr:wsDr xmlns:xdr="http://schemas.openxmlformats.org/drawingml/2006/spreadsheetDrawing" xmlns:a="http://schemas.openxmlformats.org/drawingml/2006/main">
  <xdr:absoluteAnchor>
    <xdr:pos x="0" y="0"/>
    <xdr:ext cx="8582025" cy="5838825"/>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4.xml><?xml version="1.0" encoding="utf-8"?>
<xdr:wsDr xmlns:xdr="http://schemas.openxmlformats.org/drawingml/2006/spreadsheetDrawing" xmlns:a="http://schemas.openxmlformats.org/drawingml/2006/main">
  <xdr:absoluteAnchor>
    <xdr:pos x="0" y="0"/>
    <xdr:ext cx="8582025" cy="5838825"/>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5.xml><?xml version="1.0" encoding="utf-8"?>
<xdr:wsDr xmlns:xdr="http://schemas.openxmlformats.org/drawingml/2006/spreadsheetDrawing" xmlns:a="http://schemas.openxmlformats.org/drawingml/2006/main">
  <xdr:absoluteAnchor>
    <xdr:pos x="0" y="0"/>
    <xdr:ext cx="8582025" cy="5838825"/>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xdr:wsDr xmlns:xdr="http://schemas.openxmlformats.org/drawingml/2006/spreadsheetDrawing" xmlns:a="http://schemas.openxmlformats.org/drawingml/2006/main">
  <xdr:absoluteAnchor>
    <xdr:pos x="0" y="0"/>
    <xdr:ext cx="8582025" cy="5838825"/>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7.xml><?xml version="1.0" encoding="utf-8"?>
<xdr:wsDr xmlns:xdr="http://schemas.openxmlformats.org/drawingml/2006/spreadsheetDrawing" xmlns:a="http://schemas.openxmlformats.org/drawingml/2006/main">
  <xdr:absoluteAnchor>
    <xdr:pos x="0" y="0"/>
    <xdr:ext cx="8582025" cy="5838825"/>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8.xml><?xml version="1.0" encoding="utf-8"?>
<xdr:wsDr xmlns:xdr="http://schemas.openxmlformats.org/drawingml/2006/spreadsheetDrawing" xmlns:a="http://schemas.openxmlformats.org/drawingml/2006/main">
  <xdr:absoluteAnchor>
    <xdr:pos x="0" y="0"/>
    <xdr:ext cx="8582025" cy="5838825"/>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sheetPr codeName="Sheet2">
    <pageSetUpPr fitToPage="1"/>
  </sheetPr>
  <dimension ref="C2:I2"/>
  <sheetViews>
    <sheetView showGridLines="0" tabSelected="1" workbookViewId="0">
      <selection activeCell="F4" sqref="F4"/>
    </sheetView>
  </sheetViews>
  <sheetFormatPr defaultRowHeight="15"/>
  <cols>
    <col min="1" max="16384" width="9.140625" style="38"/>
  </cols>
  <sheetData>
    <row r="2" spans="3:9" ht="18.75">
      <c r="C2" s="45" t="s">
        <v>52</v>
      </c>
      <c r="D2" s="45"/>
      <c r="E2" s="45"/>
      <c r="F2" s="45"/>
      <c r="G2" s="45"/>
      <c r="H2" s="45"/>
      <c r="I2" s="45"/>
    </row>
  </sheetData>
  <mergeCells count="1">
    <mergeCell ref="C2:I2"/>
  </mergeCells>
  <phoneticPr fontId="0" type="noConversion"/>
  <pageMargins left="0.75" right="0.75" top="1" bottom="1" header="0.5" footer="0.5"/>
  <pageSetup scale="81" orientation="portrait" r:id="rId1"/>
  <headerFooter alignWithMargins="0"/>
  <drawing r:id="rId2"/>
  <legacyDrawing r:id="rId3"/>
</worksheet>
</file>

<file path=xl/worksheets/sheet2.xml><?xml version="1.0" encoding="utf-8"?>
<worksheet xmlns="http://schemas.openxmlformats.org/spreadsheetml/2006/main" xmlns:r="http://schemas.openxmlformats.org/officeDocument/2006/relationships">
  <sheetPr codeName="Sheet1">
    <pageSetUpPr fitToPage="1"/>
  </sheetPr>
  <dimension ref="A1:G51"/>
  <sheetViews>
    <sheetView zoomScale="75" workbookViewId="0">
      <selection activeCell="B53" sqref="B53"/>
    </sheetView>
  </sheetViews>
  <sheetFormatPr defaultRowHeight="15"/>
  <cols>
    <col min="1" max="1" width="19.28515625" customWidth="1"/>
    <col min="2" max="2" width="12.85546875" customWidth="1"/>
    <col min="3" max="4" width="12.5703125" customWidth="1"/>
    <col min="5" max="5" width="15.140625" customWidth="1"/>
    <col min="7" max="7" width="14" customWidth="1"/>
  </cols>
  <sheetData>
    <row r="1" spans="1:6">
      <c r="A1" s="1" t="s">
        <v>53</v>
      </c>
    </row>
    <row r="3" spans="1:6">
      <c r="A3" t="s">
        <v>0</v>
      </c>
      <c r="D3" t="s">
        <v>1</v>
      </c>
    </row>
    <row r="4" spans="1:6">
      <c r="A4" t="s">
        <v>2</v>
      </c>
      <c r="B4" s="39">
        <v>55</v>
      </c>
      <c r="D4" s="3" t="s">
        <v>3</v>
      </c>
      <c r="E4" s="3" t="s">
        <v>4</v>
      </c>
      <c r="F4" s="3" t="s">
        <v>5</v>
      </c>
    </row>
    <row r="5" spans="1:6">
      <c r="A5" t="s">
        <v>6</v>
      </c>
      <c r="B5" s="39">
        <v>35</v>
      </c>
      <c r="D5" s="39">
        <v>70</v>
      </c>
      <c r="E5" s="39">
        <v>60</v>
      </c>
      <c r="F5" s="39">
        <v>75</v>
      </c>
    </row>
    <row r="6" spans="1:6">
      <c r="A6" t="s">
        <v>7</v>
      </c>
      <c r="B6" s="39">
        <v>25</v>
      </c>
    </row>
    <row r="8" spans="1:6">
      <c r="A8" t="s">
        <v>8</v>
      </c>
    </row>
    <row r="9" spans="1:6">
      <c r="B9" s="39">
        <v>5</v>
      </c>
    </row>
    <row r="11" spans="1:6">
      <c r="A11" t="s">
        <v>28</v>
      </c>
    </row>
    <row r="12" spans="1:6">
      <c r="B12" s="3" t="s">
        <v>3</v>
      </c>
      <c r="C12" s="3" t="s">
        <v>4</v>
      </c>
      <c r="D12" s="3" t="s">
        <v>5</v>
      </c>
    </row>
    <row r="13" spans="1:6">
      <c r="A13" t="s">
        <v>9</v>
      </c>
      <c r="B13" s="40">
        <v>11</v>
      </c>
      <c r="C13" s="40">
        <v>10</v>
      </c>
      <c r="D13" s="40">
        <v>9</v>
      </c>
    </row>
    <row r="14" spans="1:6">
      <c r="A14" t="s">
        <v>49</v>
      </c>
      <c r="B14" s="41">
        <v>0.01</v>
      </c>
      <c r="C14" s="41">
        <v>0.03</v>
      </c>
      <c r="D14" s="41">
        <v>0.01</v>
      </c>
    </row>
    <row r="15" spans="1:6">
      <c r="B15" s="6"/>
      <c r="C15" s="6"/>
      <c r="D15" s="6"/>
    </row>
    <row r="16" spans="1:6">
      <c r="A16" t="s">
        <v>18</v>
      </c>
      <c r="D16" t="s">
        <v>50</v>
      </c>
    </row>
    <row r="17" spans="1:7">
      <c r="A17" t="s">
        <v>2</v>
      </c>
      <c r="B17" s="40">
        <v>12</v>
      </c>
      <c r="D17" t="s">
        <v>2</v>
      </c>
      <c r="E17" s="42">
        <v>0.01</v>
      </c>
    </row>
    <row r="18" spans="1:7">
      <c r="A18" t="s">
        <v>6</v>
      </c>
      <c r="B18" s="40">
        <v>10</v>
      </c>
      <c r="D18" t="s">
        <v>6</v>
      </c>
      <c r="E18" s="42">
        <v>5.0000000000000001E-3</v>
      </c>
    </row>
    <row r="19" spans="1:7">
      <c r="A19" t="s">
        <v>7</v>
      </c>
      <c r="B19" s="40">
        <v>8</v>
      </c>
      <c r="D19" t="s">
        <v>7</v>
      </c>
      <c r="E19" s="42">
        <v>0.03</v>
      </c>
    </row>
    <row r="21" spans="1:7">
      <c r="A21" t="s">
        <v>10</v>
      </c>
    </row>
    <row r="22" spans="1:7" s="3" customFormat="1">
      <c r="B22" s="3" t="s">
        <v>3</v>
      </c>
      <c r="C22" s="3" t="s">
        <v>4</v>
      </c>
      <c r="D22" s="3" t="s">
        <v>5</v>
      </c>
      <c r="E22" s="3" t="s">
        <v>11</v>
      </c>
      <c r="G22" s="3" t="s">
        <v>12</v>
      </c>
    </row>
    <row r="23" spans="1:7">
      <c r="A23" t="s">
        <v>2</v>
      </c>
      <c r="B23" s="43">
        <v>1500</v>
      </c>
      <c r="C23" s="43">
        <v>1.1368712722098247E-13</v>
      </c>
      <c r="D23" s="43">
        <v>0</v>
      </c>
      <c r="E23">
        <f>SUM(B23:D23)</f>
        <v>1500</v>
      </c>
      <c r="F23" s="5" t="s">
        <v>13</v>
      </c>
      <c r="G23" s="40">
        <v>5000</v>
      </c>
    </row>
    <row r="24" spans="1:7">
      <c r="A24" t="s">
        <v>6</v>
      </c>
      <c r="B24" s="43">
        <v>1500</v>
      </c>
      <c r="C24" s="43">
        <v>2000</v>
      </c>
      <c r="D24" s="43">
        <v>800</v>
      </c>
      <c r="E24">
        <f>SUM(B24:D24)</f>
        <v>4300</v>
      </c>
      <c r="F24" s="5" t="s">
        <v>13</v>
      </c>
      <c r="G24" s="40">
        <v>5000</v>
      </c>
    </row>
    <row r="25" spans="1:7">
      <c r="A25" t="s">
        <v>7</v>
      </c>
      <c r="B25" s="43">
        <v>0</v>
      </c>
      <c r="C25" s="43">
        <v>0</v>
      </c>
      <c r="D25" s="43">
        <v>200</v>
      </c>
      <c r="E25">
        <f>SUM(B25:D25)</f>
        <v>200</v>
      </c>
      <c r="F25" s="5" t="s">
        <v>13</v>
      </c>
      <c r="G25" s="40">
        <v>5000</v>
      </c>
    </row>
    <row r="26" spans="1:7">
      <c r="B26" s="4"/>
      <c r="C26" s="4"/>
      <c r="D26" s="4"/>
      <c r="F26" s="5"/>
    </row>
    <row r="27" spans="1:7">
      <c r="A27" t="s">
        <v>14</v>
      </c>
      <c r="F27" s="5"/>
    </row>
    <row r="28" spans="1:7">
      <c r="B28" s="3" t="s">
        <v>3</v>
      </c>
      <c r="C28" s="3" t="s">
        <v>4</v>
      </c>
      <c r="D28" s="3" t="s">
        <v>5</v>
      </c>
      <c r="F28" s="5"/>
    </row>
    <row r="29" spans="1:7">
      <c r="A29" t="s">
        <v>17</v>
      </c>
      <c r="B29">
        <f>SUM(B23:B25)</f>
        <v>3000</v>
      </c>
      <c r="C29">
        <f>SUM(C23:C25)</f>
        <v>2000</v>
      </c>
      <c r="D29">
        <f>SUM(D23:D25)</f>
        <v>1000</v>
      </c>
    </row>
    <row r="30" spans="1:7">
      <c r="B30" s="3" t="s">
        <v>13</v>
      </c>
      <c r="C30" s="3" t="s">
        <v>13</v>
      </c>
      <c r="D30" s="3" t="s">
        <v>13</v>
      </c>
    </row>
    <row r="31" spans="1:7">
      <c r="A31" t="s">
        <v>46</v>
      </c>
      <c r="B31" s="40">
        <v>3000</v>
      </c>
      <c r="C31" s="40">
        <v>2000</v>
      </c>
      <c r="D31" s="40">
        <v>1000</v>
      </c>
    </row>
    <row r="33" spans="1:7">
      <c r="A33" t="s">
        <v>27</v>
      </c>
      <c r="F33" s="5"/>
      <c r="G33" s="4"/>
    </row>
    <row r="34" spans="1:7">
      <c r="B34" s="3" t="s">
        <v>15</v>
      </c>
      <c r="D34" s="3" t="s">
        <v>16</v>
      </c>
      <c r="F34" s="5"/>
      <c r="G34" s="4"/>
    </row>
    <row r="35" spans="1:7">
      <c r="B35">
        <f>SUM(B29:D29)</f>
        <v>6000</v>
      </c>
      <c r="C35" s="5" t="s">
        <v>13</v>
      </c>
      <c r="D35" s="40">
        <v>15000</v>
      </c>
      <c r="F35" s="5"/>
      <c r="G35" s="4"/>
    </row>
    <row r="37" spans="1:7">
      <c r="A37" t="s">
        <v>19</v>
      </c>
      <c r="B37" s="3" t="s">
        <v>3</v>
      </c>
      <c r="C37" s="3" t="s">
        <v>4</v>
      </c>
      <c r="D37" s="3" t="s">
        <v>5</v>
      </c>
    </row>
    <row r="38" spans="1:7">
      <c r="A38" t="s">
        <v>20</v>
      </c>
      <c r="B38">
        <f>SUMPRODUCT($B$17:$B$19,B23:B25)</f>
        <v>33000</v>
      </c>
      <c r="C38">
        <f>SUMPRODUCT($B$17:$B$19,C23:C25)</f>
        <v>20000</v>
      </c>
      <c r="D38">
        <f>SUMPRODUCT($B$17:$B$19,D23:D25)</f>
        <v>9600</v>
      </c>
    </row>
    <row r="39" spans="1:7">
      <c r="B39" s="3" t="s">
        <v>21</v>
      </c>
      <c r="C39" s="3" t="s">
        <v>21</v>
      </c>
      <c r="D39" s="3" t="s">
        <v>21</v>
      </c>
    </row>
    <row r="40" spans="1:7">
      <c r="A40" t="s">
        <v>22</v>
      </c>
      <c r="B40">
        <f>B13*B29</f>
        <v>33000</v>
      </c>
      <c r="C40">
        <f>C13*C29</f>
        <v>20000</v>
      </c>
      <c r="D40">
        <f>D13*D29</f>
        <v>9000</v>
      </c>
    </row>
    <row r="42" spans="1:7">
      <c r="A42" t="s">
        <v>47</v>
      </c>
      <c r="B42" s="3" t="s">
        <v>3</v>
      </c>
      <c r="C42" s="3" t="s">
        <v>4</v>
      </c>
      <c r="D42" s="3" t="s">
        <v>5</v>
      </c>
    </row>
    <row r="43" spans="1:7">
      <c r="A43" t="s">
        <v>48</v>
      </c>
      <c r="B43">
        <f>SUMPRODUCT($E$17:$E$19,B23:B25)</f>
        <v>22.5</v>
      </c>
      <c r="C43">
        <f>SUMPRODUCT($E$17:$E$19,C23:C25)</f>
        <v>10.000000000000002</v>
      </c>
      <c r="D43">
        <f>SUMPRODUCT($E$17:$E$19,D23:D25)</f>
        <v>10</v>
      </c>
    </row>
    <row r="44" spans="1:7">
      <c r="B44" s="3" t="s">
        <v>13</v>
      </c>
      <c r="C44" s="3" t="s">
        <v>13</v>
      </c>
      <c r="D44" s="3" t="s">
        <v>13</v>
      </c>
    </row>
    <row r="45" spans="1:7">
      <c r="A45" t="s">
        <v>22</v>
      </c>
      <c r="B45" s="3">
        <f>B14*B29</f>
        <v>30</v>
      </c>
      <c r="C45" s="3">
        <f>C14*C29</f>
        <v>60</v>
      </c>
      <c r="D45" s="3">
        <f>D14*D29</f>
        <v>10</v>
      </c>
    </row>
    <row r="47" spans="1:7">
      <c r="A47" t="s">
        <v>23</v>
      </c>
      <c r="B47" s="2">
        <f>SUMPRODUCT(B4:B6,E23:E25)</f>
        <v>238000</v>
      </c>
    </row>
    <row r="48" spans="1:7">
      <c r="A48" t="s">
        <v>24</v>
      </c>
      <c r="B48" s="2">
        <f>B9*B35</f>
        <v>30000</v>
      </c>
    </row>
    <row r="49" spans="1:2">
      <c r="A49" t="s">
        <v>25</v>
      </c>
      <c r="B49" s="2">
        <f>SUMPRODUCT(D5:F5,B29:D29)</f>
        <v>405000</v>
      </c>
    </row>
    <row r="51" spans="1:2">
      <c r="A51" t="s">
        <v>26</v>
      </c>
      <c r="B51" s="44">
        <f>B49-SUM(B47:B48)</f>
        <v>137000</v>
      </c>
    </row>
  </sheetData>
  <phoneticPr fontId="0" type="noConversion"/>
  <printOptions headings="1" gridLines="1" gridLinesSet="0"/>
  <pageMargins left="0.75" right="0.75" top="1" bottom="1" header="0.5" footer="0.5"/>
  <pageSetup scale="86" orientation="portrait" horizontalDpi="300" verticalDpi="300" r:id="rId1"/>
  <headerFooter alignWithMargins="0"/>
</worksheet>
</file>

<file path=xl/worksheets/sheet3.xml><?xml version="1.0" encoding="utf-8"?>
<worksheet xmlns="http://schemas.openxmlformats.org/spreadsheetml/2006/main" xmlns:r="http://schemas.openxmlformats.org/officeDocument/2006/relationships">
  <sheetPr codeName="Sheet3"/>
  <dimension ref="B1:K26"/>
  <sheetViews>
    <sheetView workbookViewId="0">
      <selection activeCell="B2" sqref="B2"/>
    </sheetView>
  </sheetViews>
  <sheetFormatPr defaultRowHeight="15"/>
  <cols>
    <col min="1" max="1" width="1.7109375" style="7" customWidth="1"/>
    <col min="2" max="2" width="17.85546875" style="7" customWidth="1"/>
    <col min="3" max="3" width="10.42578125" style="7" customWidth="1"/>
    <col min="4" max="4" width="15.7109375" style="7" customWidth="1"/>
    <col min="5" max="5" width="18" style="7" customWidth="1"/>
    <col min="6" max="6" width="6" style="7" customWidth="1"/>
    <col min="7" max="7" width="12.140625" style="7" customWidth="1"/>
    <col min="8" max="8" width="14.7109375" style="7" customWidth="1"/>
    <col min="9" max="9" width="11.42578125" style="7" customWidth="1"/>
    <col min="10" max="10" width="18.42578125" style="7" customWidth="1"/>
    <col min="11" max="11" width="12" style="7" customWidth="1"/>
    <col min="12" max="16384" width="9.140625" style="7"/>
  </cols>
  <sheetData>
    <row r="1" spans="2:11" ht="18">
      <c r="B1" s="8" t="s">
        <v>30</v>
      </c>
      <c r="C1" s="9"/>
    </row>
    <row r="3" spans="2:11" ht="15.75" thickBot="1">
      <c r="B3" s="10" t="s">
        <v>31</v>
      </c>
      <c r="G3" s="10" t="s">
        <v>41</v>
      </c>
    </row>
    <row r="4" spans="2:11">
      <c r="B4" s="16"/>
      <c r="C4" s="21" t="s">
        <v>39</v>
      </c>
      <c r="D4" s="21" t="s">
        <v>40</v>
      </c>
      <c r="E4" s="22" t="s">
        <v>43</v>
      </c>
      <c r="G4" s="16"/>
      <c r="H4" s="21" t="s">
        <v>42</v>
      </c>
      <c r="I4" s="21" t="s">
        <v>29</v>
      </c>
      <c r="J4" s="21" t="s">
        <v>44</v>
      </c>
      <c r="K4" s="22" t="s">
        <v>45</v>
      </c>
    </row>
    <row r="5" spans="2:11">
      <c r="B5" s="17" t="s">
        <v>2</v>
      </c>
      <c r="C5" s="13">
        <f>Model!E23</f>
        <v>1500</v>
      </c>
      <c r="D5" s="13">
        <f>Model!G23</f>
        <v>5000</v>
      </c>
      <c r="E5" s="14">
        <f>C5*Model!B4</f>
        <v>82500</v>
      </c>
      <c r="G5" s="17" t="s">
        <v>3</v>
      </c>
      <c r="H5" s="13">
        <f t="array" ref="H5:H7">TRANSPOSE(Model!B29:D29)</f>
        <v>3000</v>
      </c>
      <c r="I5" s="13">
        <f t="array" ref="I5:I7">TRANSPOSE(Model!B31:D31)</f>
        <v>3000</v>
      </c>
      <c r="J5" s="23">
        <f>H5*Model!$B$9</f>
        <v>15000</v>
      </c>
      <c r="K5" s="14">
        <f t="array" ref="K5:K7">TRANSPOSE(Model!B29:D29*Model!D5:F5)</f>
        <v>210000</v>
      </c>
    </row>
    <row r="6" spans="2:11">
      <c r="B6" s="17" t="s">
        <v>6</v>
      </c>
      <c r="C6" s="13">
        <f>Model!E24</f>
        <v>4300</v>
      </c>
      <c r="D6" s="13">
        <f>Model!G24</f>
        <v>5000</v>
      </c>
      <c r="E6" s="14">
        <f>C6*Model!B5</f>
        <v>150500</v>
      </c>
      <c r="G6" s="17" t="s">
        <v>4</v>
      </c>
      <c r="H6" s="13">
        <v>2000</v>
      </c>
      <c r="I6" s="13">
        <v>2000</v>
      </c>
      <c r="J6" s="23">
        <f>H6*Model!$B$9</f>
        <v>10000</v>
      </c>
      <c r="K6" s="14">
        <v>120000</v>
      </c>
    </row>
    <row r="7" spans="2:11" ht="15.75" thickBot="1">
      <c r="B7" s="17" t="s">
        <v>7</v>
      </c>
      <c r="C7" s="13">
        <f>Model!E25</f>
        <v>200</v>
      </c>
      <c r="D7" s="13">
        <f>Model!G25</f>
        <v>5000</v>
      </c>
      <c r="E7" s="14">
        <f>C7*Model!B6</f>
        <v>5000</v>
      </c>
      <c r="G7" s="17" t="s">
        <v>5</v>
      </c>
      <c r="H7" s="13">
        <v>1000</v>
      </c>
      <c r="I7" s="13">
        <v>1000</v>
      </c>
      <c r="J7" s="23">
        <f>H7*Model!$B$9</f>
        <v>5000</v>
      </c>
      <c r="K7" s="14">
        <v>75000</v>
      </c>
    </row>
    <row r="8" spans="2:11" ht="15.75" thickBot="1">
      <c r="B8" s="20" t="s">
        <v>32</v>
      </c>
      <c r="C8" s="18">
        <f>SUM(C5:C7)</f>
        <v>6000</v>
      </c>
      <c r="D8" s="18">
        <f>SUM(D5:D7)</f>
        <v>15000</v>
      </c>
      <c r="E8" s="19">
        <f>SUM(E5:E7)</f>
        <v>238000</v>
      </c>
      <c r="G8" s="20" t="s">
        <v>32</v>
      </c>
      <c r="H8" s="18">
        <f>SUM(H5:H7)</f>
        <v>6000</v>
      </c>
      <c r="I8" s="18">
        <f>SUM(I5:I7)</f>
        <v>6000</v>
      </c>
      <c r="J8" s="24">
        <f>SUM(J5:J7)</f>
        <v>30000</v>
      </c>
      <c r="K8" s="19">
        <f>SUM(K5:K7)</f>
        <v>405000</v>
      </c>
    </row>
    <row r="10" spans="2:11" ht="15.75" thickBot="1">
      <c r="B10" s="10" t="s">
        <v>33</v>
      </c>
    </row>
    <row r="11" spans="2:11">
      <c r="B11" s="29"/>
      <c r="C11" s="21" t="s">
        <v>3</v>
      </c>
      <c r="D11" s="21" t="s">
        <v>4</v>
      </c>
      <c r="E11" s="22" t="s">
        <v>5</v>
      </c>
    </row>
    <row r="12" spans="2:11">
      <c r="B12" s="12" t="s">
        <v>2</v>
      </c>
      <c r="C12" s="25">
        <f>Model!B23</f>
        <v>1500</v>
      </c>
      <c r="D12" s="25">
        <f>Model!C23</f>
        <v>1.1368712722098247E-13</v>
      </c>
      <c r="E12" s="26">
        <f>Model!D23</f>
        <v>0</v>
      </c>
    </row>
    <row r="13" spans="2:11">
      <c r="B13" s="12" t="s">
        <v>6</v>
      </c>
      <c r="C13" s="25">
        <f>Model!B24</f>
        <v>1500</v>
      </c>
      <c r="D13" s="25">
        <f>Model!C24</f>
        <v>2000</v>
      </c>
      <c r="E13" s="26">
        <f>Model!D24</f>
        <v>800</v>
      </c>
    </row>
    <row r="14" spans="2:11" ht="15.75" thickBot="1">
      <c r="B14" s="15" t="s">
        <v>7</v>
      </c>
      <c r="C14" s="27">
        <f>Model!B25</f>
        <v>0</v>
      </c>
      <c r="D14" s="27">
        <f>Model!C25</f>
        <v>0</v>
      </c>
      <c r="E14" s="28">
        <f>Model!D25</f>
        <v>200</v>
      </c>
    </row>
    <row r="16" spans="2:11" ht="15.75" thickBot="1">
      <c r="B16" s="10" t="s">
        <v>34</v>
      </c>
      <c r="F16" s="10" t="s">
        <v>36</v>
      </c>
    </row>
    <row r="17" spans="2:8">
      <c r="B17" s="29"/>
      <c r="C17" s="21" t="s">
        <v>35</v>
      </c>
      <c r="D17" s="22" t="s">
        <v>37</v>
      </c>
      <c r="F17" s="29"/>
      <c r="G17" s="21" t="s">
        <v>35</v>
      </c>
      <c r="H17" s="22" t="s">
        <v>38</v>
      </c>
    </row>
    <row r="18" spans="2:8">
      <c r="B18" s="12" t="s">
        <v>3</v>
      </c>
      <c r="C18" s="32">
        <f>IF(Model!B29=0,"NA",Model!B38/Model!B29)</f>
        <v>11</v>
      </c>
      <c r="D18" s="26">
        <f t="array" ref="D18:D20">TRANSPOSE(Model!B13:D13)</f>
        <v>11</v>
      </c>
      <c r="F18" s="12" t="s">
        <v>3</v>
      </c>
      <c r="G18" s="34">
        <f>IF(Model!B29=0,"NA",Model!B43/Model!B29)</f>
        <v>7.4999999999999997E-3</v>
      </c>
      <c r="H18" s="30">
        <f t="array" ref="H18:H20">TRANSPOSE(Model!B14:D14)</f>
        <v>0.01</v>
      </c>
    </row>
    <row r="19" spans="2:8">
      <c r="B19" s="12" t="s">
        <v>4</v>
      </c>
      <c r="C19" s="32">
        <f>IF(Model!C29=0,"NA",Model!C38/Model!C29)</f>
        <v>10</v>
      </c>
      <c r="D19" s="26">
        <v>10</v>
      </c>
      <c r="F19" s="12" t="s">
        <v>4</v>
      </c>
      <c r="G19" s="34">
        <f>IF(Model!C29=0,"NA",Model!C43/Model!C29)</f>
        <v>5.000000000000001E-3</v>
      </c>
      <c r="H19" s="30">
        <v>0.03</v>
      </c>
    </row>
    <row r="20" spans="2:8" ht="15.75" thickBot="1">
      <c r="B20" s="15" t="s">
        <v>5</v>
      </c>
      <c r="C20" s="33">
        <f>IF(Model!D29=0,"NA",Model!D38/Model!D29)</f>
        <v>9.6</v>
      </c>
      <c r="D20" s="28">
        <v>9</v>
      </c>
      <c r="F20" s="15" t="s">
        <v>5</v>
      </c>
      <c r="G20" s="35">
        <f>IF(Model!D29=0,"NA",Model!D43/Model!D29)</f>
        <v>0.01</v>
      </c>
      <c r="H20" s="31">
        <v>0.01</v>
      </c>
    </row>
    <row r="22" spans="2:8" ht="15.75" thickBot="1">
      <c r="B22" s="10" t="s">
        <v>51</v>
      </c>
      <c r="F22" s="11"/>
    </row>
    <row r="23" spans="2:8">
      <c r="B23" s="37" t="s">
        <v>43</v>
      </c>
      <c r="C23" s="36">
        <f>E8</f>
        <v>238000</v>
      </c>
    </row>
    <row r="24" spans="2:8">
      <c r="B24" s="17" t="s">
        <v>44</v>
      </c>
      <c r="C24" s="14">
        <f>J8</f>
        <v>30000</v>
      </c>
    </row>
    <row r="25" spans="2:8" ht="15.75" thickBot="1">
      <c r="B25" s="17" t="s">
        <v>25</v>
      </c>
      <c r="C25" s="14">
        <f>K8</f>
        <v>405000</v>
      </c>
    </row>
    <row r="26" spans="2:8" ht="15.75" thickBot="1">
      <c r="B26" s="20" t="s">
        <v>26</v>
      </c>
      <c r="C26" s="19">
        <f>C25-C23-C24</f>
        <v>137000</v>
      </c>
    </row>
  </sheetData>
  <phoneticPr fontId="0" type="noConversion"/>
  <pageMargins left="0.75" right="0.75" top="1" bottom="1" header="0.5" footer="0.5"/>
  <headerFooter alignWithMargins="0"/>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3</vt:i4>
      </vt:variant>
      <vt:variant>
        <vt:lpstr>Charts</vt:lpstr>
      </vt:variant>
      <vt:variant>
        <vt:i4>7</vt:i4>
      </vt:variant>
      <vt:variant>
        <vt:lpstr>Named Ranges</vt:lpstr>
      </vt:variant>
      <vt:variant>
        <vt:i4>12</vt:i4>
      </vt:variant>
    </vt:vector>
  </HeadingPairs>
  <TitlesOfParts>
    <vt:vector size="22" baseType="lpstr">
      <vt:lpstr>Explanation</vt:lpstr>
      <vt:lpstr>Model</vt:lpstr>
      <vt:lpstr>Report</vt:lpstr>
      <vt:lpstr>CrudePurch</vt:lpstr>
      <vt:lpstr>GasProduced</vt:lpstr>
      <vt:lpstr>CrudeCosts</vt:lpstr>
      <vt:lpstr>ProdCostsRevs</vt:lpstr>
      <vt:lpstr>BlendPlan</vt:lpstr>
      <vt:lpstr>Octane</vt:lpstr>
      <vt:lpstr>Sulfur</vt:lpstr>
      <vt:lpstr>Avails</vt:lpstr>
      <vt:lpstr>Capacity</vt:lpstr>
      <vt:lpstr>Demands</vt:lpstr>
      <vt:lpstr>MaxSulfurs</vt:lpstr>
      <vt:lpstr>MinOctanes</vt:lpstr>
      <vt:lpstr>Octanes</vt:lpstr>
      <vt:lpstr>Explanation!Print_Area</vt:lpstr>
      <vt:lpstr>Model!Print_Area</vt:lpstr>
      <vt:lpstr>ProdCost</vt:lpstr>
      <vt:lpstr>PurchCosts</vt:lpstr>
      <vt:lpstr>SellPrices</vt:lpstr>
      <vt:lpstr>Sulfurs</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 Albright</dc:creator>
  <cp:lastModifiedBy> Chris Albright</cp:lastModifiedBy>
  <cp:lastPrinted>2008-10-29T14:52:03Z</cp:lastPrinted>
  <dcterms:created xsi:type="dcterms:W3CDTF">1999-12-10T01:46:14Z</dcterms:created>
  <dcterms:modified xsi:type="dcterms:W3CDTF">2009-05-16T19:45:11Z</dcterms:modified>
</cp:coreProperties>
</file>