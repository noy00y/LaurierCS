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405" yWindow="120" windowWidth="8415" windowHeight="4455" tabRatio="601"/>
  </bookViews>
  <sheets>
    <sheet name="Explanation" sheetId="1" r:id="rId1"/>
    <sheet name="Report" sheetId="19" r:id="rId2"/>
    <sheet name="Model" sheetId="16" state="hidden" r:id="rId3"/>
    <sheet name="Module1" sheetId="7" state="veryHidden" r:id=""/>
  </sheets>
  <definedNames>
    <definedName name="Begin">"R4C2"</definedName>
    <definedName name="Capacities">Model!$P$5:$P$9</definedName>
    <definedName name="Demands">Model!$D$11:$N$11</definedName>
    <definedName name="Plants">#REF!</definedName>
    <definedName name="_xlnm.Print_Area" localSheetId="0">Explanation!$A$1:$K$20</definedName>
    <definedName name="_xlnm.Print_Area" localSheetId="2">Model!$A$1:$E$6</definedName>
    <definedName name="_xlnm.Print_Area" localSheetId="1">Report!$A$1:$I$8</definedName>
    <definedName name="Retailers">#REF!</definedName>
    <definedName name="SentIn">Model!$D$19:$N$19</definedName>
    <definedName name="SentOut">Model!$O$14:$O$18</definedName>
    <definedName name="Shipments">Model!$D$14:$N$18</definedName>
    <definedName name="solver_adj" localSheetId="2" hidden="1">Model!$D$14:$N$18</definedName>
    <definedName name="solver_cvg" localSheetId="2" hidden="1">0.0001</definedName>
    <definedName name="solver_drv" localSheetId="2" hidden="1">1</definedName>
    <definedName name="solver_eng" localSheetId="2" hidden="1">2</definedName>
    <definedName name="solver_est" localSheetId="2" hidden="1">1</definedName>
    <definedName name="solver_ibd" localSheetId="2" hidden="1">2</definedName>
    <definedName name="solver_itr" localSheetId="2" hidden="1">100</definedName>
    <definedName name="solver_lhs1" localSheetId="2" hidden="1">Model!$D$14:$N$18</definedName>
    <definedName name="solver_lhs2" localSheetId="2" hidden="1">Model!$O$14:$O$18</definedName>
    <definedName name="solver_lhs3" localSheetId="2" hidden="1">Model!$D$19:$N$19</definedName>
    <definedName name="solver_lin" localSheetId="2" hidden="1">1</definedName>
    <definedName name="solver_lva" localSheetId="2" hidden="1">2</definedName>
    <definedName name="solver_mip" localSheetId="2" hidden="1">1000</definedName>
    <definedName name="solver_neg" localSheetId="2" hidden="1">1</definedName>
    <definedName name="solver_nod" localSheetId="2" hidden="1">1000</definedName>
    <definedName name="solver_num" localSheetId="2" hidden="1">3</definedName>
    <definedName name="solver_nwt" localSheetId="2" hidden="1">1</definedName>
    <definedName name="solver_ofx" localSheetId="2" hidden="1">2</definedName>
    <definedName name="solver_opt" localSheetId="2" hidden="1">Model!$D$21</definedName>
    <definedName name="solver_piv" localSheetId="2" hidden="1">0.000001</definedName>
    <definedName name="solver_pre" localSheetId="2" hidden="1">0.000001</definedName>
    <definedName name="solver_pro" localSheetId="2" hidden="1">2</definedName>
    <definedName name="solver_red" localSheetId="2" hidden="1">0.000001</definedName>
    <definedName name="solver_rel1" localSheetId="2" hidden="1">3</definedName>
    <definedName name="solver_rel2" localSheetId="2" hidden="1">1</definedName>
    <definedName name="solver_rel3" localSheetId="2" hidden="1">3</definedName>
    <definedName name="solver_reo" localSheetId="2" hidden="1">2</definedName>
    <definedName name="solver_rep" localSheetId="2" hidden="1">2</definedName>
    <definedName name="solver_rhs1" localSheetId="2" hidden="1">0</definedName>
    <definedName name="solver_rhs2" localSheetId="2" hidden="1">Capacities</definedName>
    <definedName name="solver_rhs3" localSheetId="2" hidden="1">Demands</definedName>
    <definedName name="solver_rlx" localSheetId="2" hidden="1">2</definedName>
    <definedName name="solver_scl" localSheetId="2" hidden="1">2</definedName>
    <definedName name="solver_sho" localSheetId="2" hidden="1">2</definedName>
    <definedName name="solver_std" localSheetId="2" hidden="1">0</definedName>
    <definedName name="solver_tim" localSheetId="2" hidden="1">100</definedName>
    <definedName name="solver_tol" localSheetId="2" hidden="1">0.05</definedName>
    <definedName name="solver_typ" localSheetId="2" hidden="1">2</definedName>
    <definedName name="solver_val" localSheetId="2" hidden="1">0</definedName>
    <definedName name="solver_ver" localSheetId="2" hidden="1">2</definedName>
    <definedName name="TotalCost">Model!$D$21</definedName>
    <definedName name="UnitCosts">Model!$D$5:$N$9</definedName>
  </definedNames>
  <calcPr calcId="125725"/>
</workbook>
</file>

<file path=xl/calcChain.xml><?xml version="1.0" encoding="utf-8"?>
<calcChain xmlns="http://schemas.openxmlformats.org/spreadsheetml/2006/main">
  <c r="D21" i="16"/>
  <c r="D19"/>
  <c r="E19"/>
  <c r="F19"/>
  <c r="G19"/>
  <c r="H19"/>
  <c r="I19"/>
  <c r="J19"/>
  <c r="K19"/>
  <c r="L19"/>
  <c r="M19"/>
  <c r="N19"/>
  <c r="O14"/>
  <c r="O15"/>
  <c r="O16"/>
  <c r="O17"/>
  <c r="O18"/>
</calcChain>
</file>

<file path=xl/sharedStrings.xml><?xml version="1.0" encoding="utf-8"?>
<sst xmlns="http://schemas.openxmlformats.org/spreadsheetml/2006/main" count="45" uniqueCount="45">
  <si>
    <t>Transportation Model Application</t>
  </si>
  <si>
    <t>Transportation Model</t>
  </si>
  <si>
    <t>Unit Costs</t>
  </si>
  <si>
    <t>Plants</t>
  </si>
  <si>
    <t>Retailers</t>
  </si>
  <si>
    <t>Capacity</t>
  </si>
  <si>
    <t>Demand</t>
  </si>
  <si>
    <t>Shipments</t>
  </si>
  <si>
    <t>Sent out</t>
  </si>
  <si>
    <t>Sent in</t>
  </si>
  <si>
    <t>Total Cost</t>
  </si>
  <si>
    <t>Optimal Solution</t>
  </si>
  <si>
    <t>Oakland</t>
  </si>
  <si>
    <t>Los Angeles</t>
  </si>
  <si>
    <t>San Diego</t>
  </si>
  <si>
    <t>Phoenix</t>
  </si>
  <si>
    <t>Milwaukee</t>
  </si>
  <si>
    <t>Detroit</t>
  </si>
  <si>
    <t>Cleveland</t>
  </si>
  <si>
    <t>Toronto</t>
  </si>
  <si>
    <t>Baltimore</t>
  </si>
  <si>
    <t>New York</t>
  </si>
  <si>
    <t>Boston</t>
  </si>
  <si>
    <t>Indianapolis</t>
  </si>
  <si>
    <t>Chicago</t>
  </si>
  <si>
    <t>Minneapolis</t>
  </si>
  <si>
    <t>Seattle</t>
  </si>
  <si>
    <t>Shipments from Oakland</t>
  </si>
  <si>
    <t>500 units to Toronto</t>
  </si>
  <si>
    <t>500 units to New York</t>
  </si>
  <si>
    <t>500 units to Minneapolis</t>
  </si>
  <si>
    <t>400 units to Milwaukee</t>
  </si>
  <si>
    <t>Shipments from Phoenix</t>
  </si>
  <si>
    <t>300 units to Boston</t>
  </si>
  <si>
    <t>450 units to Detroit</t>
  </si>
  <si>
    <t>200 units to Cleveland</t>
  </si>
  <si>
    <t>400 units to Baltimore</t>
  </si>
  <si>
    <t>Shipments from San Diego</t>
  </si>
  <si>
    <t>450 units to Indianapolis</t>
  </si>
  <si>
    <t>Shipments from Seattle</t>
  </si>
  <si>
    <t>Kansas City</t>
  </si>
  <si>
    <t>300 units to Kansas City</t>
  </si>
  <si>
    <t>Shipments from Los Angeles</t>
  </si>
  <si>
    <t>500 units to Chicago</t>
  </si>
  <si>
    <t>Total shipping cost is $64,953</t>
  </si>
</sst>
</file>

<file path=xl/styles.xml><?xml version="1.0" encoding="utf-8"?>
<styleSheet xmlns="http://schemas.openxmlformats.org/spreadsheetml/2006/main">
  <numFmts count="2">
    <numFmt numFmtId="5" formatCode="&quot;$&quot;#,##0_);\(&quot;$&quot;#,##0\)"/>
    <numFmt numFmtId="7" formatCode="&quot;$&quot;#,##0.00_);\(&quot;$&quot;#,##0.00\)"/>
  </numFmts>
  <fonts count="10">
    <font>
      <sz val="11"/>
      <name val="Calibri"/>
      <family val="2"/>
      <scheme val="minor"/>
    </font>
    <font>
      <b/>
      <sz val="10"/>
      <name val="Arial"/>
      <family val="2"/>
    </font>
    <font>
      <b/>
      <sz val="10"/>
      <name val="Arial"/>
      <family val="2"/>
    </font>
    <font>
      <sz val="8"/>
      <name val="Arial"/>
      <family val="2"/>
    </font>
    <font>
      <b/>
      <sz val="14"/>
      <color indexed="8"/>
      <name val="Calibri"/>
      <family val="2"/>
      <scheme val="minor"/>
    </font>
    <font>
      <sz val="11"/>
      <color indexed="8"/>
      <name val="Calibri"/>
      <family val="2"/>
      <scheme val="minor"/>
    </font>
    <font>
      <sz val="11"/>
      <color indexed="12"/>
      <name val="Calibri"/>
      <family val="2"/>
      <scheme val="minor"/>
    </font>
    <font>
      <b/>
      <sz val="11"/>
      <color indexed="8"/>
      <name val="Calibri"/>
      <family val="2"/>
      <scheme val="minor"/>
    </font>
    <font>
      <b/>
      <sz val="11"/>
      <name val="Calibri"/>
      <family val="2"/>
      <scheme val="minor"/>
    </font>
    <font>
      <b/>
      <sz val="14"/>
      <name val="Calibri"/>
      <family val="2"/>
      <scheme val="minor"/>
    </font>
  </fonts>
  <fills count="3">
    <fill>
      <patternFill patternType="none"/>
    </fill>
    <fill>
      <patternFill patternType="gray125"/>
    </fill>
    <fill>
      <patternFill patternType="solid">
        <fgColor indexed="47"/>
        <bgColor indexed="64"/>
      </patternFill>
    </fill>
  </fills>
  <borders count="9">
    <border>
      <left/>
      <right/>
      <top/>
      <bottom/>
      <diagonal/>
    </border>
    <border>
      <left style="medium">
        <color indexed="10"/>
      </left>
      <right/>
      <top style="medium">
        <color indexed="10"/>
      </top>
      <bottom/>
      <diagonal/>
    </border>
    <border>
      <left/>
      <right/>
      <top style="medium">
        <color indexed="10"/>
      </top>
      <bottom/>
      <diagonal/>
    </border>
    <border>
      <left/>
      <right style="medium">
        <color indexed="10"/>
      </right>
      <top style="medium">
        <color indexed="10"/>
      </top>
      <bottom/>
      <diagonal/>
    </border>
    <border>
      <left style="medium">
        <color indexed="10"/>
      </left>
      <right/>
      <top/>
      <bottom/>
      <diagonal/>
    </border>
    <border>
      <left/>
      <right style="medium">
        <color indexed="10"/>
      </right>
      <top/>
      <bottom/>
      <diagonal/>
    </border>
    <border>
      <left style="medium">
        <color indexed="10"/>
      </left>
      <right/>
      <top/>
      <bottom style="medium">
        <color indexed="10"/>
      </bottom>
      <diagonal/>
    </border>
    <border>
      <left/>
      <right/>
      <top/>
      <bottom style="medium">
        <color indexed="10"/>
      </bottom>
      <diagonal/>
    </border>
    <border>
      <left/>
      <right style="medium">
        <color indexed="10"/>
      </right>
      <top/>
      <bottom style="medium">
        <color indexed="10"/>
      </bottom>
      <diagonal/>
    </border>
  </borders>
  <cellStyleXfs count="1">
    <xf numFmtId="0" fontId="0" fillId="0" borderId="0"/>
  </cellStyleXfs>
  <cellXfs count="24">
    <xf numFmtId="0" fontId="0" fillId="0" borderId="0" xfId="0"/>
    <xf numFmtId="0" fontId="0" fillId="2" borderId="0" xfId="0" applyFill="1"/>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0" fillId="0" borderId="6" xfId="0" applyBorder="1"/>
    <xf numFmtId="0" fontId="0" fillId="0" borderId="7" xfId="0" applyBorder="1"/>
    <xf numFmtId="0" fontId="0" fillId="0" borderId="8" xfId="0" applyBorder="1"/>
    <xf numFmtId="5" fontId="0" fillId="0" borderId="0" xfId="0" applyNumberFormat="1"/>
    <xf numFmtId="7" fontId="0" fillId="0" borderId="0" xfId="0" applyNumberFormat="1"/>
    <xf numFmtId="0" fontId="4" fillId="2" borderId="0" xfId="0" applyFont="1" applyFill="1"/>
    <xf numFmtId="0" fontId="5" fillId="2" borderId="0" xfId="0" applyFont="1" applyFill="1"/>
    <xf numFmtId="0" fontId="6" fillId="2" borderId="0" xfId="0" applyFont="1" applyFill="1"/>
    <xf numFmtId="0" fontId="7" fillId="2" borderId="0" xfId="0" applyFont="1" applyFill="1"/>
    <xf numFmtId="0" fontId="8" fillId="2" borderId="0" xfId="0" applyFont="1" applyFill="1"/>
    <xf numFmtId="0" fontId="0" fillId="0" borderId="0" xfId="0" applyFill="1"/>
    <xf numFmtId="0" fontId="1" fillId="0" borderId="0" xfId="0" applyFont="1" applyFill="1" applyAlignment="1">
      <alignment horizontal="centerContinuous"/>
    </xf>
    <xf numFmtId="0" fontId="8" fillId="0" borderId="0" xfId="0" applyFont="1" applyFill="1" applyAlignment="1">
      <alignment horizontal="centerContinuous"/>
    </xf>
    <xf numFmtId="0" fontId="9" fillId="0" borderId="0" xfId="0" applyFont="1" applyFill="1" applyAlignment="1">
      <alignment horizontal="centerContinuous"/>
    </xf>
    <xf numFmtId="0" fontId="2" fillId="0" borderId="0" xfId="0" applyFont="1" applyFill="1"/>
    <xf numFmtId="0" fontId="0" fillId="0" borderId="0" xfId="0" applyFill="1" applyBorder="1" applyAlignment="1">
      <alignment horizontal="center" vertical="center"/>
    </xf>
  </cellXfs>
  <cellStyles count="1">
    <cellStyle name="Normal" xfId="0" builtinId="0" customBuilti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457200</xdr:colOff>
      <xdr:row>6</xdr:row>
      <xdr:rowOff>28576</xdr:rowOff>
    </xdr:from>
    <xdr:to>
      <xdr:col>9</xdr:col>
      <xdr:colOff>511809</xdr:colOff>
      <xdr:row>18</xdr:row>
      <xdr:rowOff>142876</xdr:rowOff>
    </xdr:to>
    <xdr:sp macro="" textlink="">
      <xdr:nvSpPr>
        <xdr:cNvPr id="3" name="TextBox 2"/>
        <xdr:cNvSpPr txBox="1"/>
      </xdr:nvSpPr>
      <xdr:spPr>
        <a:xfrm>
          <a:off x="1066800" y="1181101"/>
          <a:ext cx="4931409" cy="2400300"/>
        </a:xfrm>
        <a:prstGeom prst="rect">
          <a:avLst/>
        </a:prstGeom>
        <a:solidFill>
          <a:schemeClr val="accent1">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horz" rtlCol="0" anchor="t"/>
        <a:lstStyle/>
        <a:p>
          <a:r>
            <a:rPr lang="en-US" sz="1100"/>
            <a:t>This application uses VBA code to get inputs for a user-selected set of plants and retailers. It imports the data an Access database and then solves a transportation model with these inputs.
The data are in three tables of the Access database. The Capacity table has capacities for each plant. The Demand table has demands for each retailer. The UnitCost table has unit shipping costs for each plant-retailer combination. The user specifies which plants and retailers to use in the model. Then the application imports the appropriate data from the database, enters this data into an optimization model, sets up the model formulas, and runs Solver to optimize.
The final report lists the total transportation cost, along with the quantities to ship between each selected plant and each selected retailer.</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pageSetUpPr fitToPage="1"/>
  </sheetPr>
  <dimension ref="A1:F21"/>
  <sheetViews>
    <sheetView showGridLines="0" tabSelected="1" workbookViewId="0">
      <selection activeCell="N20" sqref="N20"/>
    </sheetView>
  </sheetViews>
  <sheetFormatPr defaultRowHeight="15"/>
  <cols>
    <col min="1" max="9" width="9.140625" style="18"/>
    <col min="10" max="10" width="14" style="18" customWidth="1"/>
    <col min="11" max="16384" width="9.140625" style="18"/>
  </cols>
  <sheetData>
    <row r="1" spans="1:6" ht="12.75" customHeight="1">
      <c r="B1" s="23"/>
      <c r="C1" s="23"/>
      <c r="D1" s="23"/>
      <c r="E1" s="23"/>
    </row>
    <row r="2" spans="1:6" ht="18.75">
      <c r="B2" s="19"/>
      <c r="D2" s="20"/>
      <c r="F2" s="21" t="s">
        <v>0</v>
      </c>
    </row>
    <row r="3" spans="1:6" ht="12.75" customHeight="1"/>
    <row r="4" spans="1:6" ht="16.5" customHeight="1">
      <c r="A4" s="22"/>
    </row>
    <row r="5" spans="1:6">
      <c r="A5" s="22"/>
    </row>
    <row r="6" spans="1:6">
      <c r="A6" s="22"/>
    </row>
    <row r="7" spans="1:6">
      <c r="A7" s="22"/>
    </row>
    <row r="8" spans="1:6">
      <c r="A8" s="22"/>
    </row>
    <row r="9" spans="1:6">
      <c r="A9" s="22"/>
    </row>
    <row r="10" spans="1:6">
      <c r="A10" s="22"/>
    </row>
    <row r="11" spans="1:6">
      <c r="A11" s="22"/>
    </row>
    <row r="12" spans="1:6">
      <c r="A12" s="22"/>
    </row>
    <row r="13" spans="1:6">
      <c r="A13" s="22"/>
    </row>
    <row r="15" spans="1:6">
      <c r="A15" s="22"/>
    </row>
    <row r="16" spans="1:6">
      <c r="A16" s="22"/>
    </row>
    <row r="17" spans="1:1">
      <c r="A17" s="22"/>
    </row>
    <row r="18" spans="1:1">
      <c r="A18" s="22"/>
    </row>
    <row r="19" spans="1:1">
      <c r="A19" s="22"/>
    </row>
    <row r="20" spans="1:1">
      <c r="A20" s="22"/>
    </row>
    <row r="21" spans="1:1">
      <c r="A21" s="22"/>
    </row>
  </sheetData>
  <mergeCells count="1">
    <mergeCell ref="B1:E1"/>
  </mergeCells>
  <phoneticPr fontId="3" type="noConversion"/>
  <printOptions gridLinesSet="0"/>
  <pageMargins left="0.75" right="0.75" top="1" bottom="1" header="0.5" footer="0.5"/>
  <pageSetup scale="84" orientation="portrait"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sheetPr codeName="Sheet3">
    <pageSetUpPr fitToPage="1"/>
  </sheetPr>
  <dimension ref="B1:G22"/>
  <sheetViews>
    <sheetView showGridLines="0" showRowColHeaders="0" workbookViewId="0"/>
  </sheetViews>
  <sheetFormatPr defaultRowHeight="15"/>
  <cols>
    <col min="1" max="1" width="9.140625" style="1"/>
    <col min="2" max="2" width="9.140625" style="14"/>
    <col min="3" max="3" width="9.140625" style="15"/>
    <col min="4" max="16384" width="9.140625" style="1"/>
  </cols>
  <sheetData>
    <row r="1" spans="2:7" ht="18.75">
      <c r="B1" s="13" t="s">
        <v>11</v>
      </c>
    </row>
    <row r="3" spans="2:7">
      <c r="B3" s="16" t="s">
        <v>39</v>
      </c>
      <c r="G3" s="17" t="s">
        <v>44</v>
      </c>
    </row>
    <row r="4" spans="2:7">
      <c r="C4" s="15" t="s">
        <v>41</v>
      </c>
    </row>
    <row r="5" spans="2:7">
      <c r="C5" s="15" t="s">
        <v>31</v>
      </c>
    </row>
    <row r="6" spans="2:7">
      <c r="C6" s="15" t="s">
        <v>35</v>
      </c>
    </row>
    <row r="8" spans="2:7">
      <c r="B8" s="16" t="s">
        <v>27</v>
      </c>
    </row>
    <row r="9" spans="2:7">
      <c r="C9" s="15" t="s">
        <v>43</v>
      </c>
    </row>
    <row r="10" spans="2:7">
      <c r="C10" s="15" t="s">
        <v>29</v>
      </c>
    </row>
    <row r="12" spans="2:7">
      <c r="B12" s="16" t="s">
        <v>42</v>
      </c>
    </row>
    <row r="13" spans="2:7">
      <c r="C13" s="15" t="s">
        <v>30</v>
      </c>
    </row>
    <row r="14" spans="2:7">
      <c r="C14" s="15" t="s">
        <v>36</v>
      </c>
    </row>
    <row r="16" spans="2:7">
      <c r="B16" s="16" t="s">
        <v>37</v>
      </c>
    </row>
    <row r="17" spans="2:3">
      <c r="C17" s="15" t="s">
        <v>34</v>
      </c>
    </row>
    <row r="18" spans="2:3">
      <c r="C18" s="15" t="s">
        <v>28</v>
      </c>
    </row>
    <row r="19" spans="2:3">
      <c r="C19" s="15" t="s">
        <v>38</v>
      </c>
    </row>
    <row r="21" spans="2:3">
      <c r="B21" s="16" t="s">
        <v>32</v>
      </c>
    </row>
    <row r="22" spans="2:3">
      <c r="C22" s="15" t="s">
        <v>33</v>
      </c>
    </row>
  </sheetData>
  <phoneticPr fontId="3" type="noConversion"/>
  <printOptions headings="1" gridLines="1"/>
  <pageMargins left="0.75" right="0.75" top="1" bottom="1" header="0.5" footer="0.5"/>
  <pageSetup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sheetPr codeName="Sheet2">
    <pageSetUpPr fitToPage="1"/>
  </sheetPr>
  <dimension ref="A1:P21"/>
  <sheetViews>
    <sheetView workbookViewId="0"/>
  </sheetViews>
  <sheetFormatPr defaultRowHeight="15"/>
  <cols>
    <col min="3" max="3" width="12.7109375" customWidth="1"/>
    <col min="4" max="4" width="8.140625" customWidth="1"/>
  </cols>
  <sheetData>
    <row r="1" spans="1:16">
      <c r="A1" t="s">
        <v>1</v>
      </c>
    </row>
    <row r="3" spans="1:16">
      <c r="B3" t="s">
        <v>2</v>
      </c>
      <c r="D3" t="s">
        <v>4</v>
      </c>
    </row>
    <row r="4" spans="1:16">
      <c r="D4" t="s">
        <v>40</v>
      </c>
      <c r="E4" t="s">
        <v>25</v>
      </c>
      <c r="F4" t="s">
        <v>24</v>
      </c>
      <c r="G4" t="s">
        <v>16</v>
      </c>
      <c r="H4" t="s">
        <v>17</v>
      </c>
      <c r="I4" t="s">
        <v>18</v>
      </c>
      <c r="J4" t="s">
        <v>19</v>
      </c>
      <c r="K4" t="s">
        <v>20</v>
      </c>
      <c r="L4" t="s">
        <v>21</v>
      </c>
      <c r="M4" t="s">
        <v>22</v>
      </c>
      <c r="N4" t="s">
        <v>23</v>
      </c>
      <c r="P4" t="s">
        <v>5</v>
      </c>
    </row>
    <row r="5" spans="1:16">
      <c r="B5" t="s">
        <v>3</v>
      </c>
      <c r="C5" t="s">
        <v>26</v>
      </c>
      <c r="D5" s="12">
        <v>13.24</v>
      </c>
      <c r="E5" s="12">
        <v>20.04</v>
      </c>
      <c r="F5" s="12">
        <v>23.34</v>
      </c>
      <c r="G5" s="12">
        <v>14.3</v>
      </c>
      <c r="H5" s="12">
        <v>27.14</v>
      </c>
      <c r="I5" s="12">
        <v>14.38</v>
      </c>
      <c r="J5" s="12">
        <v>19.760000000000002</v>
      </c>
      <c r="K5" s="12">
        <v>21.31</v>
      </c>
      <c r="L5" s="12">
        <v>18.46</v>
      </c>
      <c r="M5" s="12">
        <v>24.64</v>
      </c>
      <c r="N5" s="12">
        <v>30.39</v>
      </c>
      <c r="P5">
        <v>1300</v>
      </c>
    </row>
    <row r="6" spans="1:16">
      <c r="C6" t="s">
        <v>12</v>
      </c>
      <c r="D6" s="12">
        <v>21.43</v>
      </c>
      <c r="E6" s="12">
        <v>22.37</v>
      </c>
      <c r="F6" s="12">
        <v>16.670000000000002</v>
      </c>
      <c r="G6" s="12">
        <v>20.37</v>
      </c>
      <c r="H6" s="12">
        <v>22.42</v>
      </c>
      <c r="I6" s="12">
        <v>24.09</v>
      </c>
      <c r="J6" s="12">
        <v>12.23</v>
      </c>
      <c r="K6" s="12">
        <v>19.989999999999998</v>
      </c>
      <c r="L6" s="12">
        <v>10.48</v>
      </c>
      <c r="M6" s="12">
        <v>21.97</v>
      </c>
      <c r="N6" s="12">
        <v>25.16</v>
      </c>
      <c r="P6">
        <v>1200</v>
      </c>
    </row>
    <row r="7" spans="1:16">
      <c r="C7" t="s">
        <v>13</v>
      </c>
      <c r="D7" s="12">
        <v>16.03</v>
      </c>
      <c r="E7" s="12">
        <v>13.71</v>
      </c>
      <c r="F7" s="12">
        <v>25.45</v>
      </c>
      <c r="G7" s="12">
        <v>15.87</v>
      </c>
      <c r="H7" s="12">
        <v>31.54</v>
      </c>
      <c r="I7" s="12">
        <v>26.49</v>
      </c>
      <c r="J7" s="12">
        <v>27.7</v>
      </c>
      <c r="K7" s="12">
        <v>17.04</v>
      </c>
      <c r="L7" s="12">
        <v>16.7</v>
      </c>
      <c r="M7" s="12">
        <v>25.81</v>
      </c>
      <c r="N7" s="12">
        <v>16.09</v>
      </c>
      <c r="P7">
        <v>1000</v>
      </c>
    </row>
    <row r="8" spans="1:16">
      <c r="C8" t="s">
        <v>14</v>
      </c>
      <c r="D8" s="12">
        <v>23.89</v>
      </c>
      <c r="E8" s="12">
        <v>21.35</v>
      </c>
      <c r="F8" s="12">
        <v>26.41</v>
      </c>
      <c r="G8" s="12">
        <v>18.86</v>
      </c>
      <c r="H8" s="12">
        <v>20.58</v>
      </c>
      <c r="I8" s="12">
        <v>21.7</v>
      </c>
      <c r="J8" s="12">
        <v>10.68</v>
      </c>
      <c r="K8" s="12">
        <v>21.16</v>
      </c>
      <c r="L8" s="12">
        <v>17.670000000000002</v>
      </c>
      <c r="M8" s="12">
        <v>21.15</v>
      </c>
      <c r="N8" s="12">
        <v>15.25</v>
      </c>
      <c r="P8">
        <v>1500</v>
      </c>
    </row>
    <row r="9" spans="1:16">
      <c r="C9" t="s">
        <v>15</v>
      </c>
      <c r="D9" s="12">
        <v>18.850000000000001</v>
      </c>
      <c r="E9" s="12">
        <v>19.05</v>
      </c>
      <c r="F9" s="12">
        <v>23.36</v>
      </c>
      <c r="G9" s="12">
        <v>20.8</v>
      </c>
      <c r="H9" s="12">
        <v>23.03</v>
      </c>
      <c r="I9" s="12">
        <v>22.62</v>
      </c>
      <c r="J9" s="12">
        <v>14.83</v>
      </c>
      <c r="K9" s="12">
        <v>21.89</v>
      </c>
      <c r="L9" s="12">
        <v>14.31</v>
      </c>
      <c r="M9" s="12">
        <v>12.25</v>
      </c>
      <c r="N9" s="12">
        <v>20.55</v>
      </c>
      <c r="P9">
        <v>1300</v>
      </c>
    </row>
    <row r="11" spans="1:16">
      <c r="C11" t="s">
        <v>6</v>
      </c>
      <c r="D11">
        <v>300</v>
      </c>
      <c r="E11">
        <v>500</v>
      </c>
      <c r="F11">
        <v>500</v>
      </c>
      <c r="G11">
        <v>400</v>
      </c>
      <c r="H11">
        <v>450</v>
      </c>
      <c r="I11">
        <v>200</v>
      </c>
      <c r="J11">
        <v>500</v>
      </c>
      <c r="K11">
        <v>400</v>
      </c>
      <c r="L11">
        <v>500</v>
      </c>
      <c r="M11">
        <v>300</v>
      </c>
      <c r="N11">
        <v>450</v>
      </c>
    </row>
    <row r="13" spans="1:16" ht="15.75" thickBot="1">
      <c r="B13" t="s">
        <v>7</v>
      </c>
      <c r="O13" t="s">
        <v>8</v>
      </c>
    </row>
    <row r="14" spans="1:16">
      <c r="D14" s="2">
        <v>300</v>
      </c>
      <c r="E14" s="3">
        <v>0</v>
      </c>
      <c r="F14" s="3">
        <v>0</v>
      </c>
      <c r="G14" s="3">
        <v>400</v>
      </c>
      <c r="H14" s="3">
        <v>0</v>
      </c>
      <c r="I14" s="3">
        <v>200</v>
      </c>
      <c r="J14" s="3">
        <v>0</v>
      </c>
      <c r="K14" s="3">
        <v>0</v>
      </c>
      <c r="L14" s="3">
        <v>0</v>
      </c>
      <c r="M14" s="3">
        <v>0</v>
      </c>
      <c r="N14" s="4">
        <v>0</v>
      </c>
      <c r="O14">
        <f t="shared" ref="O14:O18" si="0">SUM(D14:N14)</f>
        <v>900</v>
      </c>
    </row>
    <row r="15" spans="1:16">
      <c r="D15" s="5">
        <v>0</v>
      </c>
      <c r="E15" s="6">
        <v>0</v>
      </c>
      <c r="F15" s="6">
        <v>500</v>
      </c>
      <c r="G15" s="6">
        <v>0</v>
      </c>
      <c r="H15" s="6">
        <v>0</v>
      </c>
      <c r="I15" s="6">
        <v>0</v>
      </c>
      <c r="J15" s="6">
        <v>0</v>
      </c>
      <c r="K15" s="6">
        <v>0</v>
      </c>
      <c r="L15" s="6">
        <v>500</v>
      </c>
      <c r="M15" s="6">
        <v>0</v>
      </c>
      <c r="N15" s="7">
        <v>0</v>
      </c>
      <c r="O15">
        <f t="shared" si="0"/>
        <v>1000</v>
      </c>
    </row>
    <row r="16" spans="1:16">
      <c r="D16" s="5">
        <v>0</v>
      </c>
      <c r="E16" s="6">
        <v>500</v>
      </c>
      <c r="F16" s="6">
        <v>0</v>
      </c>
      <c r="G16" s="6">
        <v>0</v>
      </c>
      <c r="H16" s="6">
        <v>0</v>
      </c>
      <c r="I16" s="6">
        <v>0</v>
      </c>
      <c r="J16" s="6">
        <v>0</v>
      </c>
      <c r="K16" s="6">
        <v>400</v>
      </c>
      <c r="L16" s="6">
        <v>0</v>
      </c>
      <c r="M16" s="6">
        <v>0</v>
      </c>
      <c r="N16" s="7">
        <v>0</v>
      </c>
      <c r="O16">
        <f t="shared" si="0"/>
        <v>900</v>
      </c>
    </row>
    <row r="17" spans="2:15">
      <c r="D17" s="5">
        <v>0</v>
      </c>
      <c r="E17" s="6">
        <v>0</v>
      </c>
      <c r="F17" s="6">
        <v>0</v>
      </c>
      <c r="G17" s="6">
        <v>0</v>
      </c>
      <c r="H17" s="6">
        <v>450</v>
      </c>
      <c r="I17" s="6">
        <v>0</v>
      </c>
      <c r="J17" s="6">
        <v>500</v>
      </c>
      <c r="K17" s="6">
        <v>0</v>
      </c>
      <c r="L17" s="6">
        <v>0</v>
      </c>
      <c r="M17" s="6">
        <v>0</v>
      </c>
      <c r="N17" s="7">
        <v>450</v>
      </c>
      <c r="O17">
        <f t="shared" si="0"/>
        <v>1400</v>
      </c>
    </row>
    <row r="18" spans="2:15" ht="15.75" thickBot="1">
      <c r="D18" s="8">
        <v>0</v>
      </c>
      <c r="E18" s="9">
        <v>0</v>
      </c>
      <c r="F18" s="9">
        <v>0</v>
      </c>
      <c r="G18" s="9">
        <v>0</v>
      </c>
      <c r="H18" s="9">
        <v>0</v>
      </c>
      <c r="I18" s="9">
        <v>0</v>
      </c>
      <c r="J18" s="9">
        <v>0</v>
      </c>
      <c r="K18" s="9">
        <v>0</v>
      </c>
      <c r="L18" s="9">
        <v>0</v>
      </c>
      <c r="M18" s="9">
        <v>300</v>
      </c>
      <c r="N18" s="10">
        <v>0</v>
      </c>
      <c r="O18">
        <f t="shared" si="0"/>
        <v>300</v>
      </c>
    </row>
    <row r="19" spans="2:15">
      <c r="C19" t="s">
        <v>9</v>
      </c>
      <c r="D19">
        <f t="shared" ref="D19:N19" si="1">SUM(D14:D18)</f>
        <v>300</v>
      </c>
      <c r="E19">
        <f t="shared" si="1"/>
        <v>500</v>
      </c>
      <c r="F19">
        <f t="shared" si="1"/>
        <v>500</v>
      </c>
      <c r="G19">
        <f t="shared" si="1"/>
        <v>400</v>
      </c>
      <c r="H19">
        <f t="shared" si="1"/>
        <v>450</v>
      </c>
      <c r="I19">
        <f t="shared" si="1"/>
        <v>200</v>
      </c>
      <c r="J19">
        <f t="shared" si="1"/>
        <v>500</v>
      </c>
      <c r="K19">
        <f t="shared" si="1"/>
        <v>400</v>
      </c>
      <c r="L19">
        <f t="shared" si="1"/>
        <v>500</v>
      </c>
      <c r="M19">
        <f t="shared" si="1"/>
        <v>300</v>
      </c>
      <c r="N19">
        <f t="shared" si="1"/>
        <v>450</v>
      </c>
    </row>
    <row r="21" spans="2:15">
      <c r="B21" t="s">
        <v>10</v>
      </c>
      <c r="D21" s="11">
        <f>SUMPRODUCT(UnitCosts,Shipments)</f>
        <v>64952.5</v>
      </c>
    </row>
  </sheetData>
  <phoneticPr fontId="3" type="noConversion"/>
  <printOptions headings="1" gridLines="1"/>
  <pageMargins left="0.75" right="0.75" top="1" bottom="1" header="0.5" footer="0.5"/>
  <pageSetup orientation="portrait" horizontalDpi="1200" verticalDpi="12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10</vt:i4>
      </vt:variant>
    </vt:vector>
  </HeadingPairs>
  <TitlesOfParts>
    <vt:vector size="13" baseType="lpstr">
      <vt:lpstr>Explanation</vt:lpstr>
      <vt:lpstr>Report</vt:lpstr>
      <vt:lpstr>Model</vt:lpstr>
      <vt:lpstr>Capacities</vt:lpstr>
      <vt:lpstr>Demands</vt:lpstr>
      <vt:lpstr>Explanation!Print_Area</vt:lpstr>
      <vt:lpstr>Model!Print_Area</vt:lpstr>
      <vt:lpstr>Report!Print_Area</vt:lpstr>
      <vt:lpstr>SentIn</vt:lpstr>
      <vt:lpstr>SentOut</vt:lpstr>
      <vt:lpstr>Shipments</vt:lpstr>
      <vt:lpstr>TotalCost</vt:lpstr>
      <vt:lpstr>UnitCosts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IU School of Business</dc:creator>
  <cp:lastModifiedBy> Chris Albright</cp:lastModifiedBy>
  <cp:lastPrinted>2008-11-08T15:01:03Z</cp:lastPrinted>
  <dcterms:created xsi:type="dcterms:W3CDTF">1996-10-09T01:06:03Z</dcterms:created>
  <dcterms:modified xsi:type="dcterms:W3CDTF">2009-05-17T23:34:15Z</dcterms:modified>
</cp:coreProperties>
</file>