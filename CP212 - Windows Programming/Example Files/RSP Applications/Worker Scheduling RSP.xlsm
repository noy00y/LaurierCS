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360" yWindow="120" windowWidth="11340" windowHeight="5520"/>
  </bookViews>
  <sheets>
    <sheet name="Explanation" sheetId="2" r:id="rId1"/>
    <sheet name="Model" sheetId="1" state="hidden" r:id="rId2"/>
    <sheet name="Report" sheetId="3" state="hidden" r:id="rId3"/>
    <sheet name="Chart" sheetId="4" state="hidden" r:id="rId4"/>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Assignments">Model!$C$8:$C$28</definedName>
    <definedName name="Available">Model!$B$32:$H$32</definedName>
    <definedName name="AvailFri">Model!$C$8:$C$10,Model!$C$12:$C$15,Model!$C$17:$C$19,Model!$C$21:$C$22,Model!$C$24:$C$25,Model!$C$28</definedName>
    <definedName name="AvailMon">Model!$C$14:$C$28</definedName>
    <definedName name="AvailSat">Model!$C$8:$C$11,Model!$C$13:$C$16,Model!$C$18:$C$20,Model!$C$22:$C$23,Model!$C$25,Model!$C$27</definedName>
    <definedName name="AvailSun">Model!$C$8:$C$12,Model!$C$14:$C$17,Model!$C$19:$C$21,Model!$C$23:$C$24,Model!$C$26</definedName>
    <definedName name="AvailThu">Model!$C$8:$C$9,Model!$C$11:$C$14,Model!$C$16:$C$18,Model!$C$20:$C$22,Model!$C$26:$C$28</definedName>
    <definedName name="AvailTue">Model!$C$9:$C$13,Model!$C$19:$C$28</definedName>
    <definedName name="AvailWed">Model!$C$8,Model!$C$10:$C$13,Model!$C$15:$C$18,Model!$C$23:$C$28</definedName>
    <definedName name="coin_cuttype" localSheetId="1" hidden="1">1</definedName>
    <definedName name="coin_dualtol" localSheetId="1" hidden="1">0.0000001</definedName>
    <definedName name="coin_heurs" localSheetId="1" hidden="1">1</definedName>
    <definedName name="coin_integerpresolve" localSheetId="1" hidden="1">1</definedName>
    <definedName name="coin_presolve1" localSheetId="1" hidden="1">1</definedName>
    <definedName name="coin_primaltol" localSheetId="1" hidden="1">0.0000001</definedName>
    <definedName name="Consecutive">Model!$B$8:$B$28</definedName>
    <definedName name="MaxNonconsec">Model!$B$39</definedName>
    <definedName name="MaxPct">Model!$B$4</definedName>
    <definedName name="Nonconsec">Model!$B$37</definedName>
    <definedName name="_xlnm.Print_Area" localSheetId="0">Explanation!$A$1:$J$19</definedName>
    <definedName name="_xlnm.Print_Area" localSheetId="1">Model!$AA$1:$AC$13</definedName>
    <definedName name="_xlnm.Print_Area" localSheetId="2">Report!$A$1:$J$15</definedName>
    <definedName name="Required">Model!$B$34:$H$34</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TRUE</definedName>
    <definedName name="solver_adj" localSheetId="1" hidden="1">Model!$C$8:$C$28</definedName>
    <definedName name="solver_adj_ob" localSheetId="1" hidden="1">1</definedName>
    <definedName name="solver_cha" localSheetId="1" hidden="1">0</definedName>
    <definedName name="solver_chc1" localSheetId="1" hidden="1">0</definedName>
    <definedName name="solver_chc2" localSheetId="1" hidden="1">0</definedName>
    <definedName name="solver_chc3" localSheetId="1" hidden="1">0</definedName>
    <definedName name="solver_chn" localSheetId="1" hidden="1">4</definedName>
    <definedName name="solver_chp1" localSheetId="1" hidden="1">0</definedName>
    <definedName name="solver_chp2" localSheetId="1" hidden="1">0</definedName>
    <definedName name="solver_chp3" localSheetId="1" hidden="1">0</definedName>
    <definedName name="solver_cht" localSheetId="1" hidden="1">0</definedName>
    <definedName name="solver_cir1" localSheetId="1" hidden="1">1</definedName>
    <definedName name="solver_cir2" localSheetId="1" hidden="1">1</definedName>
    <definedName name="solver_cir3" localSheetId="1" hidden="1">1</definedName>
    <definedName name="solver_con" localSheetId="1" hidden="1">" "</definedName>
    <definedName name="solver_con1" localSheetId="1" hidden="1">" "</definedName>
    <definedName name="solver_con2" localSheetId="1" hidden="1">" "</definedName>
    <definedName name="solver_con3" localSheetId="1" hidden="1">" "</definedName>
    <definedName name="solver_cvg" localSheetId="1" hidden="1">0.0001</definedName>
    <definedName name="solver_dia" localSheetId="1" hidden="1">5</definedName>
    <definedName name="solver_drv" localSheetId="1" hidden="1">1</definedName>
    <definedName name="solver_eng" localSheetId="1" hidden="1">2</definedName>
    <definedName name="solver_est" localSheetId="1" hidden="1">1</definedName>
    <definedName name="solver_iao" localSheetId="1" hidden="1">0</definedName>
    <definedName name="solver_ibd" localSheetId="1" hidden="1">2</definedName>
    <definedName name="solver_int" localSheetId="1" hidden="1">0</definedName>
    <definedName name="solver_irs" localSheetId="1" hidden="1">0</definedName>
    <definedName name="solver_ism" localSheetId="1" hidden="1">0</definedName>
    <definedName name="solver_itr" localSheetId="1" hidden="1">1000</definedName>
    <definedName name="solver_kiv" localSheetId="1" hidden="1">2E+30</definedName>
    <definedName name="solver_lhs_ob1" localSheetId="1" hidden="1">0</definedName>
    <definedName name="solver_lhs_ob2" localSheetId="1" hidden="1">0</definedName>
    <definedName name="solver_lhs_ob3" localSheetId="1" hidden="1">0</definedName>
    <definedName name="solver_lhs1" localSheetId="1" hidden="1">Assignments</definedName>
    <definedName name="solver_lhs2" localSheetId="1" hidden="1">Available</definedName>
    <definedName name="solver_lhs3" localSheetId="1" hidden="1">Nonconsec</definedName>
    <definedName name="solver_lin" localSheetId="1" hidden="1">1</definedName>
    <definedName name="solver_lva" localSheetId="1" hidden="1">2</definedName>
    <definedName name="solver_mda" localSheetId="1" hidden="1">4</definedName>
    <definedName name="solver_mip" localSheetId="1" hidden="1">5000</definedName>
    <definedName name="solver_mni" localSheetId="1" hidden="1">30</definedName>
    <definedName name="solver_mod" localSheetId="1" hidden="1">3</definedName>
    <definedName name="solver_mrt" localSheetId="1" hidden="1">0.075</definedName>
    <definedName name="solver_neg" localSheetId="1" hidden="1">1</definedName>
    <definedName name="solver_nod" localSheetId="1" hidden="1">5000</definedName>
    <definedName name="solver_ntr" localSheetId="1" hidden="1">2</definedName>
    <definedName name="solver_ntri" hidden="1">1000</definedName>
    <definedName name="solver_num" localSheetId="1" hidden="1">3</definedName>
    <definedName name="solver_nwt" localSheetId="1" hidden="1">1</definedName>
    <definedName name="solver_obc" localSheetId="1" hidden="1">0</definedName>
    <definedName name="solver_obp" localSheetId="1" hidden="1">0</definedName>
    <definedName name="solver_ofx" localSheetId="1" hidden="1">2</definedName>
    <definedName name="solver_opt" localSheetId="1" hidden="1">TotalCost</definedName>
    <definedName name="solver_opt_ob" localSheetId="1" hidden="1">1</definedName>
    <definedName name="solver_piv" localSheetId="1" hidden="1">0.000001</definedName>
    <definedName name="solver_pre" localSheetId="1" hidden="1">0.000001</definedName>
    <definedName name="solver_pro" localSheetId="1" hidden="1">2</definedName>
    <definedName name="solver_psi" localSheetId="1" hidden="1">0</definedName>
    <definedName name="solver_rbv" localSheetId="1" hidden="1">1</definedName>
    <definedName name="solver_rdp" localSheetId="1" hidden="1">0</definedName>
    <definedName name="solver_red" localSheetId="1" hidden="1">0.000001</definedName>
    <definedName name="solver_rel1" localSheetId="1" hidden="1">4</definedName>
    <definedName name="solver_rel2" localSheetId="1" hidden="1">3</definedName>
    <definedName name="solver_rel3" localSheetId="1" hidden="1">1</definedName>
    <definedName name="solver_reo" localSheetId="1" hidden="1">2</definedName>
    <definedName name="solver_rep" localSheetId="1" hidden="1">2</definedName>
    <definedName name="solver_rhs1" localSheetId="1" hidden="1">integer</definedName>
    <definedName name="solver_rhs2" localSheetId="1" hidden="1">Required</definedName>
    <definedName name="solver_rhs3" localSheetId="1" hidden="1">MaxNonconsec</definedName>
    <definedName name="solver_rlx" localSheetId="1" hidden="1">0</definedName>
    <definedName name="solver_rsmp" hidden="1">1</definedName>
    <definedName name="solver_rtr" localSheetId="1" hidden="1">0</definedName>
    <definedName name="solver_rxc1" localSheetId="1" hidden="1">1</definedName>
    <definedName name="solver_rxc2" localSheetId="1" hidden="1">1</definedName>
    <definedName name="solver_rxc3" localSheetId="1" hidden="1">1</definedName>
    <definedName name="solver_rxv" localSheetId="1" hidden="1">1</definedName>
    <definedName name="solver_scl" localSheetId="1" hidden="1">2</definedName>
    <definedName name="solver_seed" hidden="1">0</definedName>
    <definedName name="solver_sel" localSheetId="1" hidden="1">1</definedName>
    <definedName name="solver_sho" localSheetId="1" hidden="1">2</definedName>
    <definedName name="solver_slv" localSheetId="1" hidden="1">0</definedName>
    <definedName name="solver_slvu" localSheetId="1" hidden="1">0</definedName>
    <definedName name="solver_ssz" localSheetId="1" hidden="1">100</definedName>
    <definedName name="solver_std" localSheetId="1" hidden="1">1</definedName>
    <definedName name="solver_tim" localSheetId="1" hidden="1">100</definedName>
    <definedName name="solver_tol" localSheetId="1" hidden="1">0.01</definedName>
    <definedName name="solver_typ" localSheetId="1" hidden="1">2</definedName>
    <definedName name="solver_umod" localSheetId="1" hidden="1">1</definedName>
    <definedName name="solver_urs" localSheetId="1" hidden="1">0</definedName>
    <definedName name="solver_val" localSheetId="1" hidden="1">0</definedName>
    <definedName name="solver_var" localSheetId="1" hidden="1">" "</definedName>
    <definedName name="solver_ver" localSheetId="1" hidden="1">9</definedName>
    <definedName name="solver_vir" localSheetId="1" hidden="1">1</definedName>
    <definedName name="solver_vol" localSheetId="1" hidden="1">0</definedName>
    <definedName name="solver_vst" localSheetId="1" hidden="1">0</definedName>
    <definedName name="TotalCost">Model!$B$44</definedName>
    <definedName name="TotalWorkers">Model!$C$29</definedName>
    <definedName name="WeekdayRate">Model!$G$4</definedName>
    <definedName name="WeekendRate">Model!$G$5</definedName>
  </definedNames>
  <calcPr calcId="144525"/>
</workbook>
</file>

<file path=xl/calcChain.xml><?xml version="1.0" encoding="utf-8"?>
<calcChain xmlns="http://schemas.openxmlformats.org/spreadsheetml/2006/main">
  <c r="C32" i="1" l="1"/>
  <c r="C29" i="1"/>
  <c r="B39" i="1" s="1"/>
  <c r="B32" i="1"/>
  <c r="D32" i="1"/>
  <c r="E32" i="1"/>
  <c r="F32" i="1"/>
  <c r="G32" i="1"/>
  <c r="H32" i="1"/>
  <c r="F5" i="3" a="1"/>
  <c r="F5" i="3" s="1"/>
  <c r="B37" i="1" l="1"/>
  <c r="J5" i="3" s="1"/>
  <c r="J6" i="3"/>
  <c r="B43" i="1"/>
  <c r="B5" i="3" s="1"/>
  <c r="F10" i="3"/>
  <c r="F8" i="3"/>
  <c r="F6" i="3"/>
  <c r="F11" i="3"/>
  <c r="F9" i="3"/>
  <c r="F7" i="3"/>
  <c r="E5" i="3" a="1"/>
  <c r="E7" i="3" s="1"/>
  <c r="B42" i="1"/>
  <c r="J4" i="3" l="1"/>
  <c r="B44" i="1"/>
  <c r="B6" i="3" s="1"/>
  <c r="B4" i="3"/>
  <c r="E9" i="3"/>
  <c r="E8" i="3"/>
  <c r="E11" i="3"/>
  <c r="E5" i="3"/>
  <c r="E10" i="3"/>
  <c r="E6" i="3"/>
</calcChain>
</file>

<file path=xl/comments1.xml><?xml version="1.0" encoding="utf-8"?>
<comments xmlns="http://schemas.openxmlformats.org/spreadsheetml/2006/main">
  <authors>
    <author>Chris Albright</author>
  </authors>
  <commentList>
    <comment ref="B7" authorId="0">
      <text>
        <r>
          <rPr>
            <b/>
            <sz val="8"/>
            <color indexed="81"/>
            <rFont val="Tahoma"/>
            <family val="2"/>
          </rPr>
          <t>1 if days off are consecutive; 0 otherwise</t>
        </r>
        <r>
          <rPr>
            <sz val="8"/>
            <color indexed="81"/>
            <rFont val="Tahoma"/>
            <family val="2"/>
          </rPr>
          <t xml:space="preserve">
</t>
        </r>
      </text>
    </comment>
    <comment ref="C7" authorId="0">
      <text>
        <r>
          <rPr>
            <b/>
            <sz val="8"/>
            <color indexed="81"/>
            <rFont val="Tahoma"/>
            <family val="2"/>
          </rPr>
          <t>Number of workers with this days-off pair</t>
        </r>
        <r>
          <rPr>
            <sz val="8"/>
            <color indexed="81"/>
            <rFont val="Tahoma"/>
            <family val="2"/>
          </rPr>
          <t xml:space="preserve">
</t>
        </r>
      </text>
    </comment>
  </commentList>
</comments>
</file>

<file path=xl/sharedStrings.xml><?xml version="1.0" encoding="utf-8"?>
<sst xmlns="http://schemas.openxmlformats.org/spreadsheetml/2006/main" count="91" uniqueCount="62">
  <si>
    <t>Mon, Tue</t>
  </si>
  <si>
    <t>Mon, Wed</t>
  </si>
  <si>
    <t>Days off</t>
  </si>
  <si>
    <t>Consecutive</t>
  </si>
  <si>
    <t>Mon, Thu</t>
  </si>
  <si>
    <t>Mon, Fri</t>
  </si>
  <si>
    <t>Mon, Sat</t>
  </si>
  <si>
    <t>Mon, Sun</t>
  </si>
  <si>
    <t>Tue, Wed</t>
  </si>
  <si>
    <t>Tue, Thu</t>
  </si>
  <si>
    <t>Tue, Fri</t>
  </si>
  <si>
    <t>Tue, Sat</t>
  </si>
  <si>
    <t>Tue, Sun</t>
  </si>
  <si>
    <t>Wed, Thu</t>
  </si>
  <si>
    <t>Wed, Fri</t>
  </si>
  <si>
    <t>Wed, Sat</t>
  </si>
  <si>
    <t>Wed</t>
  </si>
  <si>
    <t>Wed, Sun</t>
  </si>
  <si>
    <t>Thu, Fri</t>
  </si>
  <si>
    <t>Thu, Sat</t>
  </si>
  <si>
    <t>Thu, Sun</t>
  </si>
  <si>
    <t>Fri, Sat</t>
  </si>
  <si>
    <t>Fri, Sun</t>
  </si>
  <si>
    <t>Sat, Sun</t>
  </si>
  <si>
    <t>Daily constraints on workers</t>
  </si>
  <si>
    <t>Available</t>
  </si>
  <si>
    <t>Required</t>
  </si>
  <si>
    <t>Mon</t>
  </si>
  <si>
    <t>Tue</t>
  </si>
  <si>
    <t>Thu</t>
  </si>
  <si>
    <t>Fri</t>
  </si>
  <si>
    <t>Sat</t>
  </si>
  <si>
    <t>Sun</t>
  </si>
  <si>
    <t>&gt;=</t>
  </si>
  <si>
    <t>Maximum percent with nonconsecutive days off</t>
  </si>
  <si>
    <t>Consecutive days off constraint</t>
  </si>
  <si>
    <t>Number nonconsecutive</t>
  </si>
  <si>
    <t>Maximum</t>
  </si>
  <si>
    <t>Assignments</t>
  </si>
  <si>
    <t>Assignment of workers to days off pairs</t>
  </si>
  <si>
    <t>&lt;=</t>
  </si>
  <si>
    <t>Report of optimal solution</t>
  </si>
  <si>
    <t>Worker availabilities</t>
  </si>
  <si>
    <t>Day</t>
  </si>
  <si>
    <t>Number assigned</t>
  </si>
  <si>
    <t>Optimal assignments (positive assignments only)</t>
  </si>
  <si>
    <t xml:space="preserve">Number of workers: </t>
  </si>
  <si>
    <t>Sensitivity of solutions to maxpct</t>
  </si>
  <si>
    <t>MaxPct</t>
  </si>
  <si>
    <t>Total</t>
  </si>
  <si>
    <t>Scheduling Workers</t>
  </si>
  <si>
    <t>Weekly costs</t>
  </si>
  <si>
    <t>Weekday</t>
  </si>
  <si>
    <t>Weekend</t>
  </si>
  <si>
    <t>With consecutive days off</t>
  </si>
  <si>
    <t>With nonconsecutive days off</t>
  </si>
  <si>
    <t>Payroll</t>
  </si>
  <si>
    <t>Hourly wage rates</t>
  </si>
  <si>
    <t>&lt;-- Total workers</t>
  </si>
  <si>
    <t>Worker scheduling problem</t>
  </si>
  <si>
    <t>Nonconsec</t>
  </si>
  <si>
    <t>Total workers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</si>
</sst>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quot;$&quot;#,##0;\-&quot;$&quot;#,##0"/>
    <numFmt numFmtId="165" formatCode="&quot;$&quot;#,##0.00;\-&quot;$&quot;#,##0.00"/>
  </numFmts>
  <fonts count="8" x14ac:knownFonts="1">
    <font>
      <sz val="10"/>
      <name val="Arial"/>
    </font>
    <font>
      <sz val="11"/>
      <name val="Calibri"/>
      <family val="2"/>
    </font>
    <font>
      <sz val="10"/>
      <name val="Arial"/>
      <family val="2"/>
    </font>
    <font>
      <sz val="8"/>
      <color indexed="81"/>
      <name val="Tahoma"/>
      <family val="2"/>
    </font>
    <font>
      <b/>
      <sz val="8"/>
      <color indexed="81"/>
      <name val="Tahoma"/>
      <family val="2"/>
    </font>
    <font>
      <b/>
      <sz val="11"/>
      <name val="Calibri"/>
      <family val="2"/>
      <scheme val="minor"/>
    </font>
    <font>
      <sz val="11"/>
      <name val="Calibri"/>
      <family val="2"/>
      <scheme val="minor"/>
    </font>
    <font>
      <b/>
      <sz val="14"/>
      <name val="Calibri"/>
      <family val="2"/>
      <scheme val="minor"/>
    </font>
  </fonts>
  <fills count="5">
    <fill>
      <patternFill patternType="none"/>
    </fill>
    <fill>
      <patternFill patternType="gray125"/>
    </fill>
    <fill>
      <patternFill patternType="solid">
        <fgColor theme="4" tint="0.59996337778862885"/>
        <bgColor indexed="64"/>
      </patternFill>
    </fill>
    <fill>
      <patternFill patternType="solid">
        <fgColor theme="5" tint="0.59996337778862885"/>
        <bgColor indexed="64"/>
      </patternFill>
    </fill>
    <fill>
      <patternFill patternType="solid">
        <fgColor theme="0" tint="-0.24994659260841701"/>
        <bgColor indexed="64"/>
      </patternFill>
    </fill>
  </fills>
  <borders count="1">
    <border>
      <left/>
      <right/>
      <top/>
      <bottom/>
      <diagonal/>
    </border>
  </borders>
  <cellStyleXfs count="2">
    <xf numFmtId="0" fontId="0" fillId="0" borderId="0"/>
    <xf numFmtId="9" fontId="2" fillId="0" borderId="0" applyFont="0" applyFill="0" applyBorder="0" applyAlignment="0" applyProtection="0"/>
  </cellStyleXfs>
  <cellXfs count="27">
    <xf numFmtId="0" fontId="0" fillId="0" borderId="0" xfId="0"/>
    <xf numFmtId="0" fontId="6" fillId="0" borderId="0" xfId="0" applyFont="1" applyFill="1"/>
    <xf numFmtId="0" fontId="5" fillId="0" borderId="0" xfId="0" applyFont="1" applyFill="1" applyAlignment="1">
      <alignment horizontal="left"/>
    </xf>
    <xf numFmtId="0" fontId="5" fillId="0" borderId="0" xfId="0" applyFont="1" applyFill="1" applyAlignment="1">
      <alignment horizontal="center"/>
    </xf>
    <xf numFmtId="0" fontId="5" fillId="0" borderId="0" xfId="0" applyFont="1" applyFill="1"/>
    <xf numFmtId="164" fontId="6" fillId="0" borderId="0" xfId="0" applyNumberFormat="1" applyFont="1" applyFill="1"/>
    <xf numFmtId="1" fontId="6" fillId="0" borderId="0" xfId="0" applyNumberFormat="1" applyFont="1" applyFill="1"/>
    <xf numFmtId="0" fontId="6" fillId="0" borderId="0" xfId="0" applyFont="1" applyFill="1" applyAlignment="1">
      <alignment horizontal="left"/>
    </xf>
    <xf numFmtId="0" fontId="6" fillId="0" borderId="0" xfId="0" applyFont="1" applyFill="1" applyAlignment="1">
      <alignment horizontal="right"/>
    </xf>
    <xf numFmtId="0" fontId="5" fillId="0" borderId="0" xfId="0" applyFont="1"/>
    <xf numFmtId="0" fontId="6" fillId="0" borderId="0" xfId="0" applyFont="1"/>
    <xf numFmtId="0" fontId="6" fillId="0" borderId="0" xfId="0" applyFont="1" applyAlignment="1">
      <alignment horizontal="right"/>
    </xf>
    <xf numFmtId="9" fontId="6" fillId="0" borderId="0" xfId="1" applyFont="1"/>
    <xf numFmtId="9" fontId="6" fillId="2" borderId="0" xfId="0" applyNumberFormat="1" applyFont="1" applyFill="1" applyBorder="1"/>
    <xf numFmtId="165" fontId="6" fillId="2" borderId="0" xfId="0" applyNumberFormat="1" applyFont="1" applyFill="1" applyBorder="1"/>
    <xf numFmtId="0" fontId="6" fillId="0" borderId="0" xfId="0" applyFont="1" applyAlignment="1">
      <alignment horizontal="left"/>
    </xf>
    <xf numFmtId="1" fontId="6" fillId="3" borderId="0" xfId="0" applyNumberFormat="1" applyFont="1" applyFill="1" applyBorder="1"/>
    <xf numFmtId="0" fontId="6" fillId="0" borderId="0" xfId="0" applyFont="1" applyBorder="1"/>
    <xf numFmtId="0" fontId="6" fillId="0" borderId="0" xfId="0" applyFont="1" applyAlignment="1">
      <alignment horizontal="left" indent="1"/>
    </xf>
    <xf numFmtId="1" fontId="6" fillId="0" borderId="0" xfId="0" applyNumberFormat="1" applyFont="1"/>
    <xf numFmtId="0" fontId="6" fillId="2" borderId="0" xfId="0" applyFont="1" applyFill="1" applyBorder="1"/>
    <xf numFmtId="0" fontId="6" fillId="0" borderId="0" xfId="0" applyFont="1" applyBorder="1" applyAlignment="1">
      <alignment horizontal="right"/>
    </xf>
    <xf numFmtId="2" fontId="6" fillId="0" borderId="0" xfId="0" applyNumberFormat="1" applyFont="1" applyBorder="1"/>
    <xf numFmtId="164" fontId="6" fillId="0" borderId="0" xfId="0" applyNumberFormat="1" applyFont="1" applyBorder="1"/>
    <xf numFmtId="164" fontId="6" fillId="0" borderId="0" xfId="0" applyNumberFormat="1" applyFont="1"/>
    <xf numFmtId="164" fontId="6" fillId="4" borderId="0" xfId="0" applyNumberFormat="1" applyFont="1" applyFill="1" applyBorder="1"/>
    <xf numFmtId="0" fontId="7" fillId="0" borderId="0" xfId="0" applyFont="1" applyFill="1" applyAlignment="1">
      <alignment horizontal="center"/>
    </xf>
  </cellXfs>
  <cellStyles count="2">
    <cellStyle name="Normal" xfId="0" builtinId="0"/>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chartsheet" Target="chartsheets/sheet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Sensitivity to Max Pct Nonconsecutive Constraint</a:t>
            </a:r>
          </a:p>
        </c:rich>
      </c:tx>
      <c:layout>
        <c:manualLayout>
          <c:xMode val="edge"/>
          <c:yMode val="edge"/>
          <c:x val="0.28856825749167592"/>
          <c:y val="1.9575856443719432E-2"/>
        </c:manualLayout>
      </c:layout>
      <c:overlay val="0"/>
      <c:spPr>
        <a:noFill/>
        <a:ln w="25400">
          <a:noFill/>
        </a:ln>
      </c:spPr>
    </c:title>
    <c:autoTitleDeleted val="0"/>
    <c:plotArea>
      <c:layout>
        <c:manualLayout>
          <c:layoutTarget val="inner"/>
          <c:xMode val="edge"/>
          <c:yMode val="edge"/>
          <c:x val="6.5482796892341974E-2"/>
          <c:y val="0.1223491027732464"/>
          <c:w val="0.79467258601553825"/>
          <c:h val="0.77324632952691652"/>
        </c:manualLayout>
      </c:layout>
      <c:barChart>
        <c:barDir val="col"/>
        <c:grouping val="clustered"/>
        <c:varyColors val="0"/>
        <c:ser>
          <c:idx val="1"/>
          <c:order val="0"/>
          <c:tx>
            <c:v>Nonconsecutive</c:v>
          </c:tx>
          <c:spPr>
            <a:solidFill>
              <a:srgbClr val="993366"/>
            </a:soli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Model!$AA$3:$AA$13</c:f>
              <c:numCache>
                <c:formatCode>0%</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Model!$AB$3:$AB$13</c:f>
              <c:numCache>
                <c:formatCode>General</c:formatCode>
                <c:ptCount val="11"/>
                <c:pt idx="0">
                  <c:v>2</c:v>
                </c:pt>
                <c:pt idx="1">
                  <c:v>4</c:v>
                </c:pt>
                <c:pt idx="2">
                  <c:v>7</c:v>
                </c:pt>
                <c:pt idx="3">
                  <c:v>9</c:v>
                </c:pt>
                <c:pt idx="4">
                  <c:v>9</c:v>
                </c:pt>
                <c:pt idx="5">
                  <c:v>9</c:v>
                </c:pt>
                <c:pt idx="6">
                  <c:v>9</c:v>
                </c:pt>
                <c:pt idx="7">
                  <c:v>17</c:v>
                </c:pt>
                <c:pt idx="8">
                  <c:v>17</c:v>
                </c:pt>
                <c:pt idx="9">
                  <c:v>9</c:v>
                </c:pt>
                <c:pt idx="10">
                  <c:v>19</c:v>
                </c:pt>
              </c:numCache>
            </c:numRef>
          </c:val>
        </c:ser>
        <c:ser>
          <c:idx val="2"/>
          <c:order val="1"/>
          <c:tx>
            <c:v>Total</c:v>
          </c:tx>
          <c:spPr>
            <a:solidFill>
              <a:srgbClr val="FFFFCC"/>
            </a:soli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Model!$AA$3:$AA$13</c:f>
              <c:numCache>
                <c:formatCode>0%</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Model!$AC$3:$AC$13</c:f>
              <c:numCache>
                <c:formatCode>General</c:formatCode>
                <c:ptCount val="11"/>
                <c:pt idx="0">
                  <c:v>28</c:v>
                </c:pt>
                <c:pt idx="1">
                  <c:v>27</c:v>
                </c:pt>
                <c:pt idx="2">
                  <c:v>26</c:v>
                </c:pt>
                <c:pt idx="3">
                  <c:v>26</c:v>
                </c:pt>
                <c:pt idx="4">
                  <c:v>26</c:v>
                </c:pt>
                <c:pt idx="5">
                  <c:v>26</c:v>
                </c:pt>
                <c:pt idx="6">
                  <c:v>26</c:v>
                </c:pt>
                <c:pt idx="7">
                  <c:v>26</c:v>
                </c:pt>
                <c:pt idx="8">
                  <c:v>26</c:v>
                </c:pt>
                <c:pt idx="9">
                  <c:v>26</c:v>
                </c:pt>
                <c:pt idx="10">
                  <c:v>26</c:v>
                </c:pt>
              </c:numCache>
            </c:numRef>
          </c:val>
        </c:ser>
        <c:dLbls>
          <c:showLegendKey val="0"/>
          <c:showVal val="0"/>
          <c:showCatName val="0"/>
          <c:showSerName val="0"/>
          <c:showPercent val="0"/>
          <c:showBubbleSize val="0"/>
        </c:dLbls>
        <c:gapWidth val="150"/>
        <c:axId val="187806464"/>
        <c:axId val="187808768"/>
      </c:barChart>
      <c:catAx>
        <c:axId val="187806464"/>
        <c:scaling>
          <c:orientation val="minMax"/>
        </c:scaling>
        <c:delete val="0"/>
        <c:axPos val="b"/>
        <c:title>
          <c:tx>
            <c:rich>
              <a:bodyPr/>
              <a:lstStyle/>
              <a:p>
                <a:pPr>
                  <a:defRPr sz="925" b="1" i="0" u="none" strike="noStrike" baseline="0">
                    <a:solidFill>
                      <a:srgbClr val="000000"/>
                    </a:solidFill>
                    <a:latin typeface="Arial"/>
                    <a:ea typeface="Arial"/>
                    <a:cs typeface="Arial"/>
                  </a:defRPr>
                </a:pPr>
                <a:r>
                  <a:rPr lang="en-US"/>
                  <a:t>Maximum Pct Nonconsecutive Allowed</a:t>
                </a:r>
              </a:p>
            </c:rich>
          </c:tx>
          <c:layout>
            <c:manualLayout>
              <c:xMode val="edge"/>
              <c:yMode val="edge"/>
              <c:x val="0.33851276359600502"/>
              <c:y val="0.9461663947797714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7808768"/>
        <c:crosses val="autoZero"/>
        <c:auto val="1"/>
        <c:lblAlgn val="ctr"/>
        <c:lblOffset val="100"/>
        <c:tickLblSkip val="1"/>
        <c:tickMarkSkip val="1"/>
        <c:noMultiLvlLbl val="0"/>
      </c:catAx>
      <c:valAx>
        <c:axId val="187808768"/>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US"/>
                  <a:t>Number of workers</a:t>
                </a:r>
              </a:p>
            </c:rich>
          </c:tx>
          <c:layout>
            <c:manualLayout>
              <c:xMode val="edge"/>
              <c:yMode val="edge"/>
              <c:x val="1.2208657047724751E-2"/>
              <c:y val="0.4159869494290379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7806464"/>
        <c:crosses val="autoZero"/>
        <c:crossBetween val="between"/>
      </c:valAx>
      <c:spPr>
        <a:solidFill>
          <a:srgbClr val="C0C0C0"/>
        </a:solidFill>
        <a:ln w="12700">
          <a:solidFill>
            <a:srgbClr val="808080"/>
          </a:solidFill>
          <a:prstDash val="solid"/>
        </a:ln>
      </c:spPr>
    </c:plotArea>
    <c:legend>
      <c:legendPos val="r"/>
      <c:layout>
        <c:manualLayout>
          <c:xMode val="edge"/>
          <c:yMode val="edge"/>
          <c:x val="0.87236403995560452"/>
          <c:y val="0.47471451876019577"/>
          <c:w val="0.12319644839067712"/>
          <c:h val="7.01468189233279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chartsheets/sheet1.xml><?xml version="1.0" encoding="utf-8"?>
<chartsheet xmlns="http://schemas.openxmlformats.org/spreadsheetml/2006/main" xmlns:r="http://schemas.openxmlformats.org/officeDocument/2006/relationships">
  <sheetPr codeName="Chart1"/>
  <sheetViews>
    <sheetView zoomScale="140" workbookViewId="0" zoomToFit="1"/>
  </sheetViews>
  <pageMargins left="0.75" right="0.75" top="1" bottom="1" header="0.5" footer="0.5"/>
  <pageSetup orientation="landscape" horizontalDpi="1200" verticalDpi="1200" r:id="rId1"/>
  <headerFooter alignWithMargins="0"/>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495300</xdr:colOff>
      <xdr:row>5</xdr:row>
      <xdr:rowOff>101600</xdr:rowOff>
    </xdr:from>
    <xdr:to>
      <xdr:col>9</xdr:col>
      <xdr:colOff>295275</xdr:colOff>
      <xdr:row>17</xdr:row>
      <xdr:rowOff>19050</xdr:rowOff>
    </xdr:to>
    <xdr:sp macro="" textlink="">
      <xdr:nvSpPr>
        <xdr:cNvPr id="3" name="TextBox 2"/>
        <xdr:cNvSpPr txBox="1"/>
      </xdr:nvSpPr>
      <xdr:spPr>
        <a:xfrm>
          <a:off x="495300" y="1101725"/>
          <a:ext cx="5286375" cy="220345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horz" rtlCol="0" anchor="t"/>
        <a:lstStyle/>
        <a:p>
          <a:r>
            <a:rPr lang="en-US" sz="1100"/>
            <a:t>The purpose of this application is to determine an optimal schedule for workers.  All workers must work 5 days out of every 7-day week, and their 2 days off can be either consecutive or nonconsecutive.  However, there is a constraint (an upper limit) on the percentage of workers who can have nonconsecutive days off.  The model also allows the weekday wage rate to be different from the weekend rate.  The objective is to meet given daily requirements at minimal weekly payroll cost.  
The application allows you to view/change the inputs (daily requirements, hourly wage rates for weekdays and weekends, and maximum percentage of nonconsecutive days off) and then optimize the model with these inputs. Then you can perform a sensitivity analysis, with this maximum percentage nonconsecutive as the input varied, in which case the results are shown in graphical form.</a:t>
          </a:r>
        </a:p>
      </xdr:txBody>
    </xdr:sp>
    <xdr:clientData/>
  </xdr:twoCellAnchor>
  <mc:AlternateContent xmlns:mc="http://schemas.openxmlformats.org/markup-compatibility/2006">
    <mc:Choice xmlns:a14="http://schemas.microsoft.com/office/drawing/2010/main" Requires="a14">
      <xdr:twoCellAnchor>
        <xdr:from>
          <xdr:col>3</xdr:col>
          <xdr:colOff>504825</xdr:colOff>
          <xdr:row>2</xdr:row>
          <xdr:rowOff>104775</xdr:rowOff>
        </xdr:from>
        <xdr:to>
          <xdr:col>6</xdr:col>
          <xdr:colOff>142875</xdr:colOff>
          <xdr:row>4</xdr:row>
          <xdr:rowOff>47625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the application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342900</xdr:colOff>
          <xdr:row>12</xdr:row>
          <xdr:rowOff>95250</xdr:rowOff>
        </xdr:from>
        <xdr:to>
          <xdr:col>5</xdr:col>
          <xdr:colOff>619125</xdr:colOff>
          <xdr:row>13</xdr:row>
          <xdr:rowOff>152400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Explanation Sheet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85725</xdr:colOff>
          <xdr:row>12</xdr:row>
          <xdr:rowOff>85725</xdr:rowOff>
        </xdr:from>
        <xdr:to>
          <xdr:col>8</xdr:col>
          <xdr:colOff>152400</xdr:colOff>
          <xdr:row>13</xdr:row>
          <xdr:rowOff>142875</xdr:rowOff>
        </xdr:to>
        <xdr:sp macro="" textlink="">
          <xdr:nvSpPr>
            <xdr:cNvPr id="3079" name="Button 7" hidden="1">
              <a:extLst>
                <a:ext uri="{63B3BB69-23CF-44E3-9099-C40C66FF867C}">
                  <a14:compatExt spid="_x0000_s307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Perform Sensitivity Analysis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0.0075</cdr:x>
      <cdr:y>0</cdr:y>
    </cdr:from>
    <cdr:to>
      <cdr:x>0.2495</cdr:x>
      <cdr:y>0.06525</cdr:y>
    </cdr:to>
    <cdr:sp macro="" textlink="">
      <cdr:nvSpPr>
        <cdr:cNvPr id="4098" name="Text Box 2"/>
        <cdr:cNvSpPr txBox="1">
          <a:spLocks xmlns:a="http://schemas.openxmlformats.org/drawingml/2006/main" noChangeArrowheads="1"/>
        </cdr:cNvSpPr>
      </cdr:nvSpPr>
      <cdr:spPr bwMode="auto">
        <a:xfrm xmlns:a="http://schemas.openxmlformats.org/drawingml/2006/main">
          <a:off x="64365" y="0"/>
          <a:ext cx="2076850" cy="380983"/>
        </a:xfrm>
        <a:prstGeom xmlns:a="http://schemas.openxmlformats.org/drawingml/2006/main" prst="rect">
          <a:avLst/>
        </a:prstGeom>
        <a:noFill xmlns:a="http://schemas.openxmlformats.org/drawingml/2006/main"/>
        <a:ln xmlns:a="http://schemas.openxmlformats.org/drawingml/2006/main" w="9525">
          <a:noFill/>
          <a:miter lim="800000"/>
          <a:headEnd/>
          <a:tailEnd/>
        </a:ln>
      </cdr:spPr>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B2:I2"/>
  <sheetViews>
    <sheetView showGridLines="0" tabSelected="1" workbookViewId="0">
      <selection activeCell="E4" sqref="E4"/>
    </sheetView>
  </sheetViews>
  <sheetFormatPr defaultRowHeight="15" x14ac:dyDescent="0.25"/>
  <cols>
    <col min="1" max="16384" width="9.140625" style="1"/>
  </cols>
  <sheetData>
    <row r="2" spans="2:9" ht="18.75" x14ac:dyDescent="0.3">
      <c r="B2" s="26" t="s">
        <v>50</v>
      </c>
      <c r="C2" s="26"/>
      <c r="D2" s="26"/>
      <c r="E2" s="26"/>
      <c r="F2" s="26"/>
      <c r="G2" s="26"/>
      <c r="H2" s="26"/>
      <c r="I2" s="26"/>
    </row>
  </sheetData>
  <mergeCells count="1">
    <mergeCell ref="B2:I2"/>
  </mergeCells>
  <phoneticPr fontId="0" type="noConversion"/>
  <pageMargins left="0.75" right="0.75" top="1" bottom="1" header="0.5" footer="0.5"/>
  <pageSetup scale="97"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autoFill="0" autoPict="0" macro="[0]!MainScheduling">
                <anchor moveWithCells="1" sizeWithCells="1">
                  <from>
                    <xdr:col>3</xdr:col>
                    <xdr:colOff>504825</xdr:colOff>
                    <xdr:row>2</xdr:row>
                    <xdr:rowOff>104775</xdr:rowOff>
                  </from>
                  <to>
                    <xdr:col>6</xdr:col>
                    <xdr:colOff>142875</xdr:colOff>
                    <xdr:row>4</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C44"/>
  <sheetViews>
    <sheetView workbookViewId="0">
      <selection activeCell="A2" sqref="A2"/>
    </sheetView>
  </sheetViews>
  <sheetFormatPr defaultRowHeight="15" x14ac:dyDescent="0.25"/>
  <cols>
    <col min="1" max="1" width="22.5703125" style="10" customWidth="1"/>
    <col min="2" max="2" width="11.85546875" style="10" bestFit="1" customWidth="1"/>
    <col min="3" max="3" width="11.85546875" style="10" customWidth="1"/>
    <col min="4" max="5" width="9.140625" style="10"/>
    <col min="6" max="6" width="10.140625" style="10" customWidth="1"/>
    <col min="7" max="7" width="11.42578125" style="10" customWidth="1"/>
    <col min="8" max="26" width="9.140625" style="10"/>
    <col min="27" max="27" width="10.7109375" style="10" customWidth="1"/>
    <col min="28" max="28" width="10.7109375" style="10" bestFit="1" customWidth="1"/>
    <col min="29" max="29" width="13.140625" style="10" bestFit="1" customWidth="1"/>
    <col min="30" max="16384" width="9.140625" style="10"/>
  </cols>
  <sheetData>
    <row r="1" spans="1:29" x14ac:dyDescent="0.25">
      <c r="A1" s="9" t="s">
        <v>59</v>
      </c>
      <c r="AA1" s="9" t="s">
        <v>47</v>
      </c>
    </row>
    <row r="2" spans="1:29" x14ac:dyDescent="0.25">
      <c r="AA2" s="11" t="s">
        <v>48</v>
      </c>
      <c r="AB2" s="11" t="s">
        <v>60</v>
      </c>
      <c r="AC2" s="11" t="s">
        <v>61</v>
      </c>
    </row>
    <row r="3" spans="1:29" x14ac:dyDescent="0.25">
      <c r="A3" s="9" t="s">
        <v>34</v>
      </c>
      <c r="F3" s="9" t="s">
        <v>57</v>
      </c>
      <c r="AA3" s="12">
        <v>0</v>
      </c>
      <c r="AB3" s="10">
        <v>2</v>
      </c>
      <c r="AC3" s="10">
        <v>28</v>
      </c>
    </row>
    <row r="4" spans="1:29" x14ac:dyDescent="0.25">
      <c r="B4" s="13">
        <v>1</v>
      </c>
      <c r="F4" s="10" t="s">
        <v>52</v>
      </c>
      <c r="G4" s="14">
        <v>8</v>
      </c>
      <c r="AA4" s="12">
        <v>0.1</v>
      </c>
      <c r="AB4" s="10">
        <v>4</v>
      </c>
      <c r="AC4" s="10">
        <v>27</v>
      </c>
    </row>
    <row r="5" spans="1:29" x14ac:dyDescent="0.25">
      <c r="F5" s="10" t="s">
        <v>53</v>
      </c>
      <c r="G5" s="14">
        <v>12</v>
      </c>
      <c r="AA5" s="12">
        <v>0.2</v>
      </c>
      <c r="AB5" s="10">
        <v>7</v>
      </c>
      <c r="AC5" s="10">
        <v>26</v>
      </c>
    </row>
    <row r="6" spans="1:29" x14ac:dyDescent="0.25">
      <c r="A6" s="9" t="s">
        <v>39</v>
      </c>
      <c r="AA6" s="12">
        <v>0.3</v>
      </c>
      <c r="AB6" s="10">
        <v>9</v>
      </c>
      <c r="AC6" s="10">
        <v>26</v>
      </c>
    </row>
    <row r="7" spans="1:29" x14ac:dyDescent="0.25">
      <c r="A7" s="15" t="s">
        <v>2</v>
      </c>
      <c r="B7" s="11" t="s">
        <v>3</v>
      </c>
      <c r="C7" s="11" t="s">
        <v>38</v>
      </c>
      <c r="AA7" s="12">
        <v>0.4</v>
      </c>
      <c r="AB7" s="10">
        <v>9</v>
      </c>
      <c r="AC7" s="10">
        <v>26</v>
      </c>
    </row>
    <row r="8" spans="1:29" x14ac:dyDescent="0.25">
      <c r="A8" s="10" t="s">
        <v>0</v>
      </c>
      <c r="B8" s="10">
        <v>1</v>
      </c>
      <c r="C8" s="16">
        <v>2</v>
      </c>
      <c r="F8" s="17"/>
      <c r="AA8" s="12">
        <v>0.5</v>
      </c>
      <c r="AB8" s="10">
        <v>9</v>
      </c>
      <c r="AC8" s="10">
        <v>26</v>
      </c>
    </row>
    <row r="9" spans="1:29" x14ac:dyDescent="0.25">
      <c r="A9" s="10" t="s">
        <v>1</v>
      </c>
      <c r="B9" s="10">
        <v>0</v>
      </c>
      <c r="C9" s="16">
        <v>0</v>
      </c>
      <c r="F9" s="17"/>
      <c r="AA9" s="12">
        <v>0.6</v>
      </c>
      <c r="AB9" s="10">
        <v>9</v>
      </c>
      <c r="AC9" s="10">
        <v>26</v>
      </c>
    </row>
    <row r="10" spans="1:29" x14ac:dyDescent="0.25">
      <c r="A10" s="10" t="s">
        <v>4</v>
      </c>
      <c r="B10" s="10">
        <v>0</v>
      </c>
      <c r="C10" s="16">
        <v>0</v>
      </c>
      <c r="F10" s="17"/>
      <c r="AA10" s="12">
        <v>0.7</v>
      </c>
      <c r="AB10" s="10">
        <v>17</v>
      </c>
      <c r="AC10" s="10">
        <v>26</v>
      </c>
    </row>
    <row r="11" spans="1:29" x14ac:dyDescent="0.25">
      <c r="A11" s="10" t="s">
        <v>5</v>
      </c>
      <c r="B11" s="10">
        <v>0</v>
      </c>
      <c r="C11" s="16">
        <v>1</v>
      </c>
      <c r="F11" s="17"/>
      <c r="AA11" s="12">
        <v>0.8</v>
      </c>
      <c r="AB11" s="10">
        <v>17</v>
      </c>
      <c r="AC11" s="10">
        <v>26</v>
      </c>
    </row>
    <row r="12" spans="1:29" x14ac:dyDescent="0.25">
      <c r="A12" s="10" t="s">
        <v>6</v>
      </c>
      <c r="B12" s="10">
        <v>0</v>
      </c>
      <c r="C12" s="16">
        <v>0</v>
      </c>
      <c r="F12" s="17"/>
      <c r="AA12" s="12">
        <v>0.9</v>
      </c>
      <c r="AB12" s="10">
        <v>9</v>
      </c>
      <c r="AC12" s="10">
        <v>26</v>
      </c>
    </row>
    <row r="13" spans="1:29" x14ac:dyDescent="0.25">
      <c r="A13" s="10" t="s">
        <v>7</v>
      </c>
      <c r="B13" s="10">
        <v>1</v>
      </c>
      <c r="C13" s="16">
        <v>3</v>
      </c>
      <c r="F13" s="17"/>
      <c r="AA13" s="12">
        <v>1</v>
      </c>
      <c r="AB13" s="10">
        <v>19</v>
      </c>
      <c r="AC13" s="10">
        <v>26</v>
      </c>
    </row>
    <row r="14" spans="1:29" x14ac:dyDescent="0.25">
      <c r="A14" s="10" t="s">
        <v>8</v>
      </c>
      <c r="B14" s="10">
        <v>1</v>
      </c>
      <c r="C14" s="16">
        <v>1</v>
      </c>
      <c r="F14" s="17"/>
      <c r="AA14" s="12"/>
    </row>
    <row r="15" spans="1:29" x14ac:dyDescent="0.25">
      <c r="A15" s="10" t="s">
        <v>9</v>
      </c>
      <c r="B15" s="10">
        <v>0</v>
      </c>
      <c r="C15" s="16">
        <v>6</v>
      </c>
      <c r="F15" s="17"/>
      <c r="AA15" s="12"/>
    </row>
    <row r="16" spans="1:29" x14ac:dyDescent="0.25">
      <c r="A16" s="10" t="s">
        <v>10</v>
      </c>
      <c r="B16" s="10">
        <v>0</v>
      </c>
      <c r="C16" s="16">
        <v>0</v>
      </c>
      <c r="F16" s="17"/>
      <c r="AA16" s="12"/>
    </row>
    <row r="17" spans="1:27" x14ac:dyDescent="0.25">
      <c r="A17" s="10" t="s">
        <v>11</v>
      </c>
      <c r="B17" s="10">
        <v>0</v>
      </c>
      <c r="C17" s="16">
        <v>0</v>
      </c>
      <c r="F17" s="17"/>
      <c r="AA17" s="12"/>
    </row>
    <row r="18" spans="1:27" x14ac:dyDescent="0.25">
      <c r="A18" s="10" t="s">
        <v>12</v>
      </c>
      <c r="B18" s="10">
        <v>0</v>
      </c>
      <c r="C18" s="16">
        <v>2</v>
      </c>
      <c r="F18" s="17"/>
      <c r="AA18" s="12"/>
    </row>
    <row r="19" spans="1:27" x14ac:dyDescent="0.25">
      <c r="A19" s="10" t="s">
        <v>13</v>
      </c>
      <c r="B19" s="10">
        <v>1</v>
      </c>
      <c r="C19" s="16">
        <v>0</v>
      </c>
      <c r="F19" s="17"/>
      <c r="AA19" s="12"/>
    </row>
    <row r="20" spans="1:27" x14ac:dyDescent="0.25">
      <c r="A20" s="10" t="s">
        <v>14</v>
      </c>
      <c r="B20" s="10">
        <v>0</v>
      </c>
      <c r="C20" s="16">
        <v>0</v>
      </c>
      <c r="F20" s="17"/>
      <c r="AA20" s="12"/>
    </row>
    <row r="21" spans="1:27" x14ac:dyDescent="0.25">
      <c r="A21" s="10" t="s">
        <v>15</v>
      </c>
      <c r="B21" s="10">
        <v>0</v>
      </c>
      <c r="C21" s="16">
        <v>0</v>
      </c>
      <c r="F21" s="17"/>
      <c r="AA21" s="12"/>
    </row>
    <row r="22" spans="1:27" x14ac:dyDescent="0.25">
      <c r="A22" s="10" t="s">
        <v>17</v>
      </c>
      <c r="B22" s="10">
        <v>0</v>
      </c>
      <c r="C22" s="16">
        <v>0</v>
      </c>
      <c r="F22" s="17"/>
      <c r="AA22" s="12"/>
    </row>
    <row r="23" spans="1:27" x14ac:dyDescent="0.25">
      <c r="A23" s="10" t="s">
        <v>18</v>
      </c>
      <c r="B23" s="10">
        <v>1</v>
      </c>
      <c r="C23" s="16">
        <v>0</v>
      </c>
      <c r="F23" s="17"/>
      <c r="AA23" s="12"/>
    </row>
    <row r="24" spans="1:27" x14ac:dyDescent="0.25">
      <c r="A24" s="10" t="s">
        <v>19</v>
      </c>
      <c r="B24" s="10">
        <v>0</v>
      </c>
      <c r="C24" s="16">
        <v>0</v>
      </c>
      <c r="F24" s="17"/>
    </row>
    <row r="25" spans="1:27" x14ac:dyDescent="0.25">
      <c r="A25" s="10" t="s">
        <v>20</v>
      </c>
      <c r="B25" s="10">
        <v>0</v>
      </c>
      <c r="C25" s="16">
        <v>0</v>
      </c>
      <c r="F25" s="17"/>
    </row>
    <row r="26" spans="1:27" x14ac:dyDescent="0.25">
      <c r="A26" s="10" t="s">
        <v>21</v>
      </c>
      <c r="B26" s="10">
        <v>1</v>
      </c>
      <c r="C26" s="16">
        <v>0</v>
      </c>
      <c r="F26" s="17"/>
    </row>
    <row r="27" spans="1:27" x14ac:dyDescent="0.25">
      <c r="A27" s="10" t="s">
        <v>22</v>
      </c>
      <c r="B27" s="10">
        <v>0</v>
      </c>
      <c r="C27" s="16">
        <v>0</v>
      </c>
      <c r="F27" s="17"/>
    </row>
    <row r="28" spans="1:27" x14ac:dyDescent="0.25">
      <c r="A28" s="10" t="s">
        <v>23</v>
      </c>
      <c r="B28" s="10">
        <v>1</v>
      </c>
      <c r="C28" s="16">
        <v>11</v>
      </c>
      <c r="F28" s="17"/>
    </row>
    <row r="29" spans="1:27" x14ac:dyDescent="0.25">
      <c r="C29" s="10">
        <f>SUM(Assignments)</f>
        <v>26</v>
      </c>
      <c r="D29" s="18" t="s">
        <v>58</v>
      </c>
    </row>
    <row r="30" spans="1:27" x14ac:dyDescent="0.25">
      <c r="A30" s="9" t="s">
        <v>24</v>
      </c>
    </row>
    <row r="31" spans="1:27" x14ac:dyDescent="0.25">
      <c r="A31" s="9"/>
      <c r="B31" s="11" t="s">
        <v>27</v>
      </c>
      <c r="C31" s="11" t="s">
        <v>28</v>
      </c>
      <c r="D31" s="11" t="s">
        <v>16</v>
      </c>
      <c r="E31" s="11" t="s">
        <v>29</v>
      </c>
      <c r="F31" s="11" t="s">
        <v>30</v>
      </c>
      <c r="G31" s="11" t="s">
        <v>31</v>
      </c>
      <c r="H31" s="11" t="s">
        <v>32</v>
      </c>
    </row>
    <row r="32" spans="1:27" x14ac:dyDescent="0.25">
      <c r="A32" s="10" t="s">
        <v>25</v>
      </c>
      <c r="B32" s="19">
        <f>SUM(AvailMon)</f>
        <v>20</v>
      </c>
      <c r="C32" s="19">
        <f>SUM(AvailTue)</f>
        <v>15</v>
      </c>
      <c r="D32" s="19">
        <f>SUM(AvailWed)</f>
        <v>25</v>
      </c>
      <c r="E32" s="19">
        <f>SUM(AvailThu)</f>
        <v>20</v>
      </c>
      <c r="F32" s="19">
        <f>SUM(AvailFri)</f>
        <v>25</v>
      </c>
      <c r="G32" s="19">
        <f>SUM(AvailSat)</f>
        <v>15</v>
      </c>
      <c r="H32" s="19">
        <f>SUM(AvailSun)</f>
        <v>10</v>
      </c>
    </row>
    <row r="33" spans="1:8" x14ac:dyDescent="0.25">
      <c r="B33" s="11" t="s">
        <v>33</v>
      </c>
      <c r="C33" s="11" t="s">
        <v>33</v>
      </c>
      <c r="D33" s="11" t="s">
        <v>33</v>
      </c>
      <c r="E33" s="11" t="s">
        <v>33</v>
      </c>
      <c r="F33" s="11" t="s">
        <v>33</v>
      </c>
      <c r="G33" s="11" t="s">
        <v>33</v>
      </c>
      <c r="H33" s="11" t="s">
        <v>33</v>
      </c>
    </row>
    <row r="34" spans="1:8" x14ac:dyDescent="0.25">
      <c r="A34" s="10" t="s">
        <v>26</v>
      </c>
      <c r="B34" s="20">
        <v>20</v>
      </c>
      <c r="C34" s="20">
        <v>15</v>
      </c>
      <c r="D34" s="20">
        <v>25</v>
      </c>
      <c r="E34" s="20">
        <v>20</v>
      </c>
      <c r="F34" s="20">
        <v>25</v>
      </c>
      <c r="G34" s="20">
        <v>15</v>
      </c>
      <c r="H34" s="20">
        <v>10</v>
      </c>
    </row>
    <row r="35" spans="1:8" x14ac:dyDescent="0.25">
      <c r="B35" s="17"/>
      <c r="C35" s="17"/>
      <c r="D35" s="17"/>
      <c r="E35" s="17"/>
      <c r="F35" s="17"/>
      <c r="G35" s="17"/>
      <c r="H35" s="17"/>
    </row>
    <row r="36" spans="1:8" x14ac:dyDescent="0.25">
      <c r="A36" s="9" t="s">
        <v>35</v>
      </c>
      <c r="B36" s="17"/>
      <c r="C36" s="17"/>
      <c r="D36" s="17"/>
      <c r="E36" s="17"/>
      <c r="F36" s="17"/>
      <c r="G36" s="17"/>
      <c r="H36" s="17"/>
    </row>
    <row r="37" spans="1:8" x14ac:dyDescent="0.25">
      <c r="A37" s="10" t="s">
        <v>36</v>
      </c>
      <c r="B37" s="17">
        <f>TotalWorkers-SUMPRODUCT(Consecutive,Assignments)</f>
        <v>9</v>
      </c>
      <c r="C37" s="17"/>
      <c r="D37" s="17"/>
      <c r="E37" s="17"/>
      <c r="F37" s="17"/>
      <c r="G37" s="17"/>
      <c r="H37" s="17"/>
    </row>
    <row r="38" spans="1:8" x14ac:dyDescent="0.25">
      <c r="B38" s="21" t="s">
        <v>40</v>
      </c>
      <c r="C38" s="17"/>
      <c r="D38" s="17"/>
      <c r="E38" s="17"/>
      <c r="F38" s="17"/>
      <c r="G38" s="17"/>
      <c r="H38" s="17"/>
    </row>
    <row r="39" spans="1:8" x14ac:dyDescent="0.25">
      <c r="A39" s="10" t="s">
        <v>37</v>
      </c>
      <c r="B39" s="22">
        <f>MaxPct*TotalWorkers</f>
        <v>26</v>
      </c>
      <c r="C39" s="17"/>
      <c r="D39" s="17"/>
      <c r="E39" s="17"/>
      <c r="F39" s="17"/>
      <c r="G39" s="17"/>
      <c r="H39" s="17"/>
    </row>
    <row r="41" spans="1:8" x14ac:dyDescent="0.25">
      <c r="A41" s="9" t="s">
        <v>56</v>
      </c>
    </row>
    <row r="42" spans="1:8" x14ac:dyDescent="0.25">
      <c r="A42" s="10" t="s">
        <v>52</v>
      </c>
      <c r="B42" s="23">
        <f>8*WeekdayRate*SUM(B32:F32)</f>
        <v>6720</v>
      </c>
    </row>
    <row r="43" spans="1:8" x14ac:dyDescent="0.25">
      <c r="A43" s="10" t="s">
        <v>53</v>
      </c>
      <c r="B43" s="24">
        <f>8*WeekendRate*SUM(G32:H32)</f>
        <v>2400</v>
      </c>
    </row>
    <row r="44" spans="1:8" x14ac:dyDescent="0.25">
      <c r="A44" s="10" t="s">
        <v>49</v>
      </c>
      <c r="B44" s="25">
        <f>SUM(B42:B43)</f>
        <v>9120</v>
      </c>
    </row>
  </sheetData>
  <phoneticPr fontId="0" type="noConversion"/>
  <printOptions headings="1" gridLines="1"/>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J26"/>
  <sheetViews>
    <sheetView workbookViewId="0"/>
  </sheetViews>
  <sheetFormatPr defaultRowHeight="15" x14ac:dyDescent="0.25"/>
  <cols>
    <col min="1" max="1" width="18.140625" style="1" customWidth="1"/>
    <col min="2" max="2" width="16.5703125" style="1" bestFit="1" customWidth="1"/>
    <col min="3" max="3" width="12.7109375" style="1" customWidth="1"/>
    <col min="4" max="4" width="11.5703125" style="1" customWidth="1"/>
    <col min="5" max="5" width="12.140625" style="1" customWidth="1"/>
    <col min="6" max="6" width="9.5703125" style="1" bestFit="1" customWidth="1"/>
    <col min="7" max="7" width="9.140625" style="1"/>
    <col min="8" max="8" width="13.140625" style="1" customWidth="1"/>
    <col min="9" max="9" width="14.85546875" style="1" customWidth="1"/>
    <col min="10" max="16384" width="9.140625" style="1"/>
  </cols>
  <sheetData>
    <row r="1" spans="1:10" x14ac:dyDescent="0.25">
      <c r="A1" s="2" t="s">
        <v>41</v>
      </c>
      <c r="B1" s="3"/>
      <c r="C1" s="3"/>
      <c r="D1" s="3"/>
      <c r="E1" s="3"/>
      <c r="F1" s="3"/>
    </row>
    <row r="3" spans="1:10" x14ac:dyDescent="0.25">
      <c r="A3" s="2" t="s">
        <v>51</v>
      </c>
      <c r="D3" s="4" t="s">
        <v>42</v>
      </c>
      <c r="H3" s="4" t="s">
        <v>46</v>
      </c>
    </row>
    <row r="4" spans="1:10" x14ac:dyDescent="0.25">
      <c r="A4" s="1" t="s">
        <v>52</v>
      </c>
      <c r="B4" s="5">
        <f>Model!B42</f>
        <v>6720</v>
      </c>
      <c r="D4" s="1" t="s">
        <v>43</v>
      </c>
      <c r="E4" s="8" t="s">
        <v>25</v>
      </c>
      <c r="F4" s="8" t="s">
        <v>26</v>
      </c>
      <c r="H4" s="1" t="s">
        <v>54</v>
      </c>
      <c r="J4" s="6">
        <f>TotalWorkers-Nonconsec</f>
        <v>17</v>
      </c>
    </row>
    <row r="5" spans="1:10" x14ac:dyDescent="0.25">
      <c r="A5" s="1" t="s">
        <v>53</v>
      </c>
      <c r="B5" s="5">
        <f>Model!B43</f>
        <v>2400</v>
      </c>
      <c r="D5" s="1" t="s">
        <v>27</v>
      </c>
      <c r="E5" s="6">
        <f t="array" ref="E5:E11">TRANSPOSE(Model!B32:H32)</f>
        <v>20</v>
      </c>
      <c r="F5" s="6">
        <f t="array" ref="F5:F11">TRANSPOSE(Model!B34:H34)</f>
        <v>20</v>
      </c>
      <c r="H5" s="1" t="s">
        <v>55</v>
      </c>
      <c r="J5" s="6">
        <f>Nonconsec</f>
        <v>9</v>
      </c>
    </row>
    <row r="6" spans="1:10" x14ac:dyDescent="0.25">
      <c r="A6" s="1" t="s">
        <v>49</v>
      </c>
      <c r="B6" s="5">
        <f>Model!B44</f>
        <v>9120</v>
      </c>
      <c r="D6" s="1" t="s">
        <v>28</v>
      </c>
      <c r="E6" s="6">
        <v>15</v>
      </c>
      <c r="F6" s="6">
        <v>15</v>
      </c>
      <c r="H6" s="1" t="s">
        <v>49</v>
      </c>
      <c r="J6" s="6">
        <f>TotalWorkers</f>
        <v>26</v>
      </c>
    </row>
    <row r="7" spans="1:10" x14ac:dyDescent="0.25">
      <c r="D7" s="1" t="s">
        <v>16</v>
      </c>
      <c r="E7" s="6">
        <v>25</v>
      </c>
      <c r="F7" s="6">
        <v>25</v>
      </c>
    </row>
    <row r="8" spans="1:10" x14ac:dyDescent="0.25">
      <c r="A8" s="4" t="s">
        <v>45</v>
      </c>
      <c r="D8" s="1" t="s">
        <v>29</v>
      </c>
      <c r="E8" s="6">
        <v>20</v>
      </c>
      <c r="F8" s="6">
        <v>20</v>
      </c>
    </row>
    <row r="9" spans="1:10" x14ac:dyDescent="0.25">
      <c r="A9" s="7" t="s">
        <v>2</v>
      </c>
      <c r="B9" s="8" t="s">
        <v>44</v>
      </c>
      <c r="D9" s="1" t="s">
        <v>30</v>
      </c>
      <c r="E9" s="6">
        <v>25</v>
      </c>
      <c r="F9" s="6">
        <v>25</v>
      </c>
    </row>
    <row r="10" spans="1:10" x14ac:dyDescent="0.25">
      <c r="A10" s="1" t="s">
        <v>0</v>
      </c>
      <c r="B10" s="6">
        <v>2</v>
      </c>
      <c r="D10" s="1" t="s">
        <v>31</v>
      </c>
      <c r="E10" s="6">
        <v>15</v>
      </c>
      <c r="F10" s="6">
        <v>15</v>
      </c>
    </row>
    <row r="11" spans="1:10" x14ac:dyDescent="0.25">
      <c r="A11" s="1" t="s">
        <v>5</v>
      </c>
      <c r="B11" s="6">
        <v>1</v>
      </c>
      <c r="D11" s="1" t="s">
        <v>32</v>
      </c>
      <c r="E11" s="6">
        <v>10</v>
      </c>
      <c r="F11" s="6">
        <v>10</v>
      </c>
    </row>
    <row r="12" spans="1:10" x14ac:dyDescent="0.25">
      <c r="A12" s="1" t="s">
        <v>7</v>
      </c>
      <c r="B12" s="6">
        <v>3</v>
      </c>
    </row>
    <row r="13" spans="1:10" x14ac:dyDescent="0.25">
      <c r="A13" s="1" t="s">
        <v>8</v>
      </c>
      <c r="B13" s="6">
        <v>1</v>
      </c>
    </row>
    <row r="14" spans="1:10" x14ac:dyDescent="0.25">
      <c r="A14" s="1" t="s">
        <v>9</v>
      </c>
      <c r="B14" s="6">
        <v>6</v>
      </c>
    </row>
    <row r="15" spans="1:10" x14ac:dyDescent="0.25">
      <c r="A15" s="1" t="s">
        <v>12</v>
      </c>
      <c r="B15" s="6">
        <v>2</v>
      </c>
    </row>
    <row r="16" spans="1:10" x14ac:dyDescent="0.25">
      <c r="A16" s="1" t="s">
        <v>23</v>
      </c>
      <c r="B16" s="6">
        <v>11</v>
      </c>
    </row>
    <row r="17" spans="2:3" x14ac:dyDescent="0.25">
      <c r="B17" s="6"/>
    </row>
    <row r="18" spans="2:3" x14ac:dyDescent="0.25">
      <c r="B18" s="6"/>
    </row>
    <row r="19" spans="2:3" x14ac:dyDescent="0.25">
      <c r="C19" s="6"/>
    </row>
    <row r="20" spans="2:3" x14ac:dyDescent="0.25">
      <c r="C20" s="6"/>
    </row>
    <row r="21" spans="2:3" x14ac:dyDescent="0.25">
      <c r="C21" s="6"/>
    </row>
    <row r="22" spans="2:3" x14ac:dyDescent="0.25">
      <c r="C22" s="6"/>
    </row>
    <row r="23" spans="2:3" x14ac:dyDescent="0.25">
      <c r="C23" s="6"/>
    </row>
    <row r="24" spans="2:3" x14ac:dyDescent="0.25">
      <c r="C24" s="6"/>
    </row>
    <row r="25" spans="2:3" x14ac:dyDescent="0.25">
      <c r="C25" s="6"/>
    </row>
    <row r="26" spans="2:3" x14ac:dyDescent="0.25">
      <c r="C26" s="6"/>
    </row>
  </sheetData>
  <phoneticPr fontId="0" type="noConversion"/>
  <printOptions headings="1" gridLines="1"/>
  <pageMargins left="0.75" right="0.75" top="1" bottom="1" header="0.5" footer="0.5"/>
  <pageSetup scale="7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autoFill="0" autoPict="0" macro="[0]!GoToExplanation">
                <anchor>
                  <from>
                    <xdr:col>3</xdr:col>
                    <xdr:colOff>342900</xdr:colOff>
                    <xdr:row>12</xdr:row>
                    <xdr:rowOff>95250</xdr:rowOff>
                  </from>
                  <to>
                    <xdr:col>5</xdr:col>
                    <xdr:colOff>619125</xdr:colOff>
                    <xdr:row>13</xdr:row>
                    <xdr:rowOff>152400</xdr:rowOff>
                  </to>
                </anchor>
              </controlPr>
            </control>
          </mc:Choice>
        </mc:AlternateContent>
        <mc:AlternateContent xmlns:mc="http://schemas.openxmlformats.org/markup-compatibility/2006">
          <mc:Choice Requires="x14">
            <control shapeId="3079" r:id="rId5" name="Button 7">
              <controlPr defaultSize="0" autoFill="0" autoPict="0" macro="[0]!Sensitivity">
                <anchor>
                  <from>
                    <xdr:col>6</xdr:col>
                    <xdr:colOff>85725</xdr:colOff>
                    <xdr:row>12</xdr:row>
                    <xdr:rowOff>85725</xdr:rowOff>
                  </from>
                  <to>
                    <xdr:col>8</xdr:col>
                    <xdr:colOff>152400</xdr:colOff>
                    <xdr:row>13</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3</vt:i4>
      </vt:variant>
      <vt:variant>
        <vt:lpstr>Charts</vt:lpstr>
      </vt:variant>
      <vt:variant>
        <vt:i4>1</vt:i4>
      </vt:variant>
      <vt:variant>
        <vt:lpstr>Named Ranges</vt:lpstr>
      </vt:variant>
      <vt:variant>
        <vt:i4>21</vt:i4>
      </vt:variant>
    </vt:vector>
  </HeadingPairs>
  <TitlesOfParts>
    <vt:vector size="25" baseType="lpstr">
      <vt:lpstr>Explanation</vt:lpstr>
      <vt:lpstr>Model</vt:lpstr>
      <vt:lpstr>Report</vt:lpstr>
      <vt:lpstr>Chart</vt:lpstr>
      <vt:lpstr>Assignments</vt:lpstr>
      <vt:lpstr>Available</vt:lpstr>
      <vt:lpstr>AvailFri</vt:lpstr>
      <vt:lpstr>AvailMon</vt:lpstr>
      <vt:lpstr>AvailSat</vt:lpstr>
      <vt:lpstr>AvailSun</vt:lpstr>
      <vt:lpstr>AvailThu</vt:lpstr>
      <vt:lpstr>AvailTue</vt:lpstr>
      <vt:lpstr>AvailWed</vt:lpstr>
      <vt:lpstr>Consecutive</vt:lpstr>
      <vt:lpstr>MaxNonconsec</vt:lpstr>
      <vt:lpstr>MaxPct</vt:lpstr>
      <vt:lpstr>Nonconsec</vt:lpstr>
      <vt:lpstr>Explanation!Print_Area</vt:lpstr>
      <vt:lpstr>Model!Print_Area</vt:lpstr>
      <vt:lpstr>Report!Print_Area</vt:lpstr>
      <vt:lpstr>Required</vt:lpstr>
      <vt:lpstr>TotalCost</vt:lpstr>
      <vt:lpstr>TotalWorkers</vt:lpstr>
      <vt:lpstr>WeekdayRate</vt:lpstr>
      <vt:lpstr>WeekendRate</vt:lpstr>
    </vt:vector>
  </TitlesOfParts>
  <Company>Kelley School of Business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 Chris Albright</cp:lastModifiedBy>
  <cp:lastPrinted>2008-10-30T00:21:33Z</cp:lastPrinted>
  <dcterms:created xsi:type="dcterms:W3CDTF">1999-03-31T00:31:16Z</dcterms:created>
  <dcterms:modified xsi:type="dcterms:W3CDTF">2010-08-20T20:43:25Z</dcterms:modified>
</cp:coreProperties>
</file>