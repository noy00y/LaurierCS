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chartsheets/sheet1.xml" ContentType="application/vnd.openxmlformats-officedocument.spreadsheetml.chart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mc:AlternateContent xmlns:mc="http://schemas.openxmlformats.org/markup-compatibility/2006">
    <mc:Choice Requires="x15">
      <x15ac:absPath xmlns:x15ac="http://schemas.microsoft.com/office/spreadsheetml/2010/11/ac" url="C:\Users\Chris\Dropbox\My Books\VBA 5e\Example Files\Chapter 28\"/>
    </mc:Choice>
  </mc:AlternateContent>
  <bookViews>
    <workbookView xWindow="360" yWindow="60" windowWidth="11340" windowHeight="5265"/>
  </bookViews>
  <sheets>
    <sheet name="Explanation" sheetId="4" r:id="rId1"/>
    <sheet name="Model" sheetId="1" state="hidden" r:id="rId2"/>
    <sheet name="SensitivityChart" sheetId="3" state="hidden" r:id="rId3"/>
  </sheets>
  <definedNames>
    <definedName name="CertEquiv" localSheetId="1">Model!$B$13</definedName>
    <definedName name="ExpUtil" localSheetId="1">Model!$B$12</definedName>
    <definedName name="Gain" localSheetId="1">Model!$B$4</definedName>
    <definedName name="Loss" localSheetId="1">Model!$B$5</definedName>
    <definedName name="OrigGain" localSheetId="1">Model!$D$4</definedName>
    <definedName name="OrigLoss" localSheetId="1">Model!$D$5</definedName>
    <definedName name="param_cuthi" localSheetId="1" hidden="1">2E+30</definedName>
    <definedName name="param_cutlo" localSheetId="1" hidden="1">-2E+30</definedName>
    <definedName name="param_epstep" localSheetId="1" hidden="1">0.000001</definedName>
    <definedName name="param_iisbnd" localSheetId="1" hidden="1">0</definedName>
    <definedName name="PctGain" localSheetId="1">Model!$E$4</definedName>
    <definedName name="PctLoss" localSheetId="1">Model!$E$5</definedName>
    <definedName name="PrSuccess" localSheetId="1">Model!$B$6</definedName>
    <definedName name="RiskTol" localSheetId="1">Model!$B$8</definedName>
    <definedName name="Share" localSheetId="1">Model!$B$11</definedName>
    <definedName name="solver_adj" localSheetId="1" hidden="1">Model!$B$11</definedName>
    <definedName name="solver_adj_ob" localSheetId="1" hidden="1">1</definedName>
    <definedName name="solver_cha" localSheetId="1" hidden="1">0</definedName>
    <definedName name="solver_chc1" localSheetId="1" hidden="1">0</definedName>
    <definedName name="solver_chn" localSheetId="1" hidden="1">4</definedName>
    <definedName name="solver_chp1" localSheetId="1" hidden="1">0</definedName>
    <definedName name="solver_cht" localSheetId="1" hidden="1">0</definedName>
    <definedName name="solver_cir1" localSheetId="1" hidden="1">1</definedName>
    <definedName name="solver_con" localSheetId="1" hidden="1">" "</definedName>
    <definedName name="solver_con1" localSheetId="1" hidden="1">" "</definedName>
    <definedName name="solver_cvg" localSheetId="0" hidden="1">0.0001</definedName>
    <definedName name="solver_cvg" localSheetId="1" hidden="1">0.00001</definedName>
    <definedName name="solver_dia" localSheetId="1" hidden="1">5</definedName>
    <definedName name="solver_drv" localSheetId="0" hidden="1">2</definedName>
    <definedName name="solver_drv" localSheetId="1" hidden="1">1</definedName>
    <definedName name="solver_eng" localSheetId="0" hidden="1">1</definedName>
    <definedName name="solver_eng" localSheetId="1" hidden="1">1</definedName>
    <definedName name="solver_est" localSheetId="0" hidden="1">2</definedName>
    <definedName name="solver_est" localSheetId="1" hidden="1">1</definedName>
    <definedName name="solver_iao" localSheetId="1" hidden="1">0</definedName>
    <definedName name="solver_ibd" localSheetId="0" hidden="1">2</definedName>
    <definedName name="solver_ibd" localSheetId="1" hidden="1">2</definedName>
    <definedName name="solver_int" localSheetId="1" hidden="1">0</definedName>
    <definedName name="solver_irs" localSheetId="1" hidden="1">0</definedName>
    <definedName name="solver_ism" localSheetId="1" hidden="1">0</definedName>
    <definedName name="solver_itr" localSheetId="0" hidden="1">100</definedName>
    <definedName name="solver_itr" localSheetId="1" hidden="1">100</definedName>
    <definedName name="solver_kiv" localSheetId="1" hidden="1">2E+30</definedName>
    <definedName name="solver_lhs_ob1" localSheetId="1" hidden="1">0</definedName>
    <definedName name="solver_lhs1" localSheetId="1" hidden="1">Model!$B$11</definedName>
    <definedName name="solver_lin" localSheetId="0" hidden="1">2</definedName>
    <definedName name="solver_lin" localSheetId="1" hidden="1">2</definedName>
    <definedName name="solver_lva" localSheetId="0" hidden="1">2</definedName>
    <definedName name="solver_lva" localSheetId="1" hidden="1">2</definedName>
    <definedName name="solver_mda" localSheetId="1" hidden="1">4</definedName>
    <definedName name="solver_mip" localSheetId="0" hidden="1">5000</definedName>
    <definedName name="solver_mip" localSheetId="1" hidden="1">5000</definedName>
    <definedName name="solver_mni" localSheetId="0" hidden="1">30</definedName>
    <definedName name="solver_mni" localSheetId="1" hidden="1">30</definedName>
    <definedName name="solver_mod" localSheetId="1" hidden="1">3</definedName>
    <definedName name="solver_mrt" localSheetId="0" hidden="1">0.075</definedName>
    <definedName name="solver_mrt" localSheetId="1" hidden="1">0.075</definedName>
    <definedName name="solver_msl" localSheetId="1" hidden="1">0</definedName>
    <definedName name="solver_neg" localSheetId="0" hidden="1">2</definedName>
    <definedName name="solver_neg" localSheetId="1" hidden="1">1</definedName>
    <definedName name="solver_nod" localSheetId="0" hidden="1">5000</definedName>
    <definedName name="solver_nod" localSheetId="1" hidden="1">5000</definedName>
    <definedName name="solver_ntr" localSheetId="1" hidden="1">2</definedName>
    <definedName name="solver_ntri" hidden="1">1000</definedName>
    <definedName name="solver_num" localSheetId="1" hidden="1">1</definedName>
    <definedName name="solver_nwt" localSheetId="0" hidden="1">2</definedName>
    <definedName name="solver_nwt" localSheetId="1" hidden="1">1</definedName>
    <definedName name="solver_obc" localSheetId="1" hidden="1">0</definedName>
    <definedName name="solver_obp" localSheetId="1" hidden="1">0</definedName>
    <definedName name="solver_ofx" localSheetId="0" hidden="1">2</definedName>
    <definedName name="solver_ofx" localSheetId="1" hidden="1">2</definedName>
    <definedName name="solver_opt" localSheetId="1" hidden="1">Model!$B$12</definedName>
    <definedName name="solver_opt_ob" localSheetId="1" hidden="1">1</definedName>
    <definedName name="solver_piv" localSheetId="0" hidden="1">0.000001</definedName>
    <definedName name="solver_piv" localSheetId="1" hidden="1">0.000001</definedName>
    <definedName name="solver_pre" localSheetId="0" hidden="1">0.000001</definedName>
    <definedName name="solver_pre" localSheetId="1" hidden="1">0.000001</definedName>
    <definedName name="solver_pro" localSheetId="0" hidden="1">2</definedName>
    <definedName name="solver_pro" localSheetId="1" hidden="1">2</definedName>
    <definedName name="solver_psi" localSheetId="1" hidden="1">0</definedName>
    <definedName name="solver_rbv" localSheetId="0" hidden="1">1</definedName>
    <definedName name="solver_rbv" localSheetId="1" hidden="1">1</definedName>
    <definedName name="solver_rdp" localSheetId="1" hidden="1">0</definedName>
    <definedName name="solver_red" localSheetId="0" hidden="1">0.000001</definedName>
    <definedName name="solver_red" localSheetId="1" hidden="1">0.000001</definedName>
    <definedName name="solver_rel1" localSheetId="1" hidden="1">1</definedName>
    <definedName name="solver_reo" localSheetId="0" hidden="1">2</definedName>
    <definedName name="solver_reo" localSheetId="1" hidden="1">2</definedName>
    <definedName name="solver_rep" localSheetId="0" hidden="1">2</definedName>
    <definedName name="solver_rep" localSheetId="1" hidden="1">2</definedName>
    <definedName name="solver_rhs1" localSheetId="1" hidden="1">1</definedName>
    <definedName name="solver_rlx" localSheetId="0" hidden="1">2</definedName>
    <definedName name="solver_rlx" localSheetId="1" hidden="1">0</definedName>
    <definedName name="solver_rsd" localSheetId="1" hidden="1">0</definedName>
    <definedName name="solver_rsmp" hidden="1">1</definedName>
    <definedName name="solver_rtr" localSheetId="1" hidden="1">0</definedName>
    <definedName name="solver_rxc1" localSheetId="1" hidden="1">1</definedName>
    <definedName name="solver_rxv" localSheetId="1" hidden="1">1</definedName>
    <definedName name="solver_scl" localSheetId="0" hidden="1">2</definedName>
    <definedName name="solver_scl" localSheetId="1" hidden="1">2</definedName>
    <definedName name="solver_seed" hidden="1">0</definedName>
    <definedName name="solver_sel" localSheetId="1" hidden="1">1</definedName>
    <definedName name="solver_sho" localSheetId="0" hidden="1">2</definedName>
    <definedName name="solver_sho" localSheetId="1" hidden="1">2</definedName>
    <definedName name="solver_slv" localSheetId="1" hidden="1">0</definedName>
    <definedName name="solver_slvu" localSheetId="1" hidden="1">0</definedName>
    <definedName name="solver_ssz" localSheetId="0" hidden="1">100</definedName>
    <definedName name="solver_ssz" localSheetId="1" hidden="1">100</definedName>
    <definedName name="solver_std" localSheetId="1" hidden="1">1</definedName>
    <definedName name="solver_tim" localSheetId="0" hidden="1">100</definedName>
    <definedName name="solver_tim" localSheetId="1" hidden="1">100</definedName>
    <definedName name="solver_tms" localSheetId="1" hidden="1">0</definedName>
    <definedName name="solver_tol" localSheetId="0" hidden="1">0.0005</definedName>
    <definedName name="solver_tol" localSheetId="1" hidden="1">0.0005</definedName>
    <definedName name="solver_typ" localSheetId="1" hidden="1">1</definedName>
    <definedName name="solver_umod" localSheetId="1" hidden="1">1</definedName>
    <definedName name="solver_urs" localSheetId="1" hidden="1">0</definedName>
    <definedName name="solver_val" localSheetId="1" hidden="1">0</definedName>
    <definedName name="solver_var" localSheetId="1" hidden="1">" "</definedName>
    <definedName name="solver_ver" localSheetId="1" hidden="1">3</definedName>
    <definedName name="solver_vir" localSheetId="1" hidden="1">1</definedName>
    <definedName name="solver_vol" localSheetId="1" hidden="1">0</definedName>
    <definedName name="solver_vst" localSheetId="1" hidden="1">0</definedName>
  </definedNames>
  <calcPr calcId="152511"/>
</workbook>
</file>

<file path=xl/calcChain.xml><?xml version="1.0" encoding="utf-8"?>
<calcChain xmlns="http://schemas.openxmlformats.org/spreadsheetml/2006/main">
  <c r="B4" i="1" l="1"/>
  <c r="B5" i="1"/>
  <c r="B12" i="1" l="1"/>
  <c r="B13" i="1" s="1"/>
</calcChain>
</file>

<file path=xl/sharedStrings.xml><?xml version="1.0" encoding="utf-8"?>
<sst xmlns="http://schemas.openxmlformats.org/spreadsheetml/2006/main" count="17" uniqueCount="16">
  <si>
    <t>Decision model</t>
  </si>
  <si>
    <t>Inputs</t>
  </si>
  <si>
    <t>Probability of success</t>
  </si>
  <si>
    <t>Risk tolerance</t>
  </si>
  <si>
    <t>Decision</t>
  </si>
  <si>
    <t>Share of project</t>
  </si>
  <si>
    <t>Expected utility</t>
  </si>
  <si>
    <t>Certainty equivalent</t>
  </si>
  <si>
    <t>Gain with success</t>
  </si>
  <si>
    <t>Loss with failure</t>
  </si>
  <si>
    <t>Optimal share</t>
  </si>
  <si>
    <t>Original values</t>
  </si>
  <si>
    <t>Pct change</t>
  </si>
  <si>
    <t>Percentage change</t>
  </si>
  <si>
    <t>Risk Averseness: A Surprising Result</t>
  </si>
  <si>
    <t>Optimal share and certainty equivalent as a function of percentage change in Gain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</si>
</sst>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
  </numFmts>
  <fonts count="8" x14ac:knownFonts="1">
    <font>
      <sz val="11"/>
      <name val="Calibri"/>
      <family val="2"/>
      <scheme val="minor"/>
    </font>
    <font>
      <sz val="10"/>
      <name val="Arial"/>
      <family val="2"/>
    </font>
    <font>
      <b/>
      <sz val="11"/>
      <name val="Calibri"/>
      <family val="2"/>
      <scheme val="minor"/>
    </font>
    <font>
      <sz val="11"/>
      <name val="Calibri"/>
      <family val="2"/>
      <scheme val="minor"/>
    </font>
    <font>
      <sz val="12"/>
      <name val="Calibri"/>
      <family val="2"/>
      <scheme val="minor"/>
    </font>
    <font>
      <b/>
      <sz val="14"/>
      <name val="Calibri"/>
      <family val="2"/>
      <scheme val="minor"/>
    </font>
    <font>
      <sz val="11"/>
      <name val="Arial"/>
      <family val="2"/>
    </font>
    <font>
      <sz val="11"/>
      <color rgb="FF000000"/>
      <name val="Calibri"/>
      <family val="2"/>
    </font>
  </fonts>
  <fills count="4">
    <fill>
      <patternFill patternType="none"/>
    </fill>
    <fill>
      <patternFill patternType="gray125"/>
    </fill>
    <fill>
      <patternFill patternType="solid">
        <fgColor theme="4" tint="0.59996337778862885"/>
        <bgColor indexed="64"/>
      </patternFill>
    </fill>
    <fill>
      <patternFill patternType="solid">
        <fgColor theme="5" tint="0.59996337778862885"/>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3" fillId="0" borderId="0" xfId="0" applyFont="1" applyFill="1"/>
    <xf numFmtId="0" fontId="4" fillId="0" borderId="0" xfId="0" applyFont="1" applyFill="1"/>
    <xf numFmtId="0" fontId="2" fillId="0" borderId="0" xfId="0" applyFont="1"/>
    <xf numFmtId="0" fontId="3" fillId="0" borderId="0" xfId="0" applyFont="1"/>
    <xf numFmtId="0" fontId="3" fillId="0" borderId="0" xfId="0" applyFont="1" applyAlignment="1">
      <alignment horizontal="right"/>
    </xf>
    <xf numFmtId="2" fontId="3" fillId="0" borderId="0" xfId="0" applyNumberFormat="1" applyFont="1"/>
    <xf numFmtId="9" fontId="3" fillId="0" borderId="0" xfId="1" applyFont="1"/>
    <xf numFmtId="164" fontId="3" fillId="0" borderId="0" xfId="0" applyNumberFormat="1" applyFont="1"/>
    <xf numFmtId="164" fontId="3" fillId="0" borderId="0" xfId="0" applyNumberFormat="1" applyFont="1" applyBorder="1"/>
    <xf numFmtId="164" fontId="3" fillId="2" borderId="0" xfId="0" applyNumberFormat="1" applyFont="1" applyFill="1" applyBorder="1"/>
    <xf numFmtId="2" fontId="3" fillId="2" borderId="0" xfId="0" applyNumberFormat="1" applyFont="1" applyFill="1" applyBorder="1"/>
    <xf numFmtId="164" fontId="3" fillId="3" borderId="0" xfId="0" applyNumberFormat="1" applyFont="1" applyFill="1" applyBorder="1"/>
    <xf numFmtId="0" fontId="5" fillId="0" borderId="0" xfId="0" applyFont="1" applyFill="1" applyAlignment="1">
      <alignment horizontal="center"/>
    </xf>
  </cellXfs>
  <cellStyles count="2">
    <cellStyle name="Normal" xfId="0" builtinId="0" customBuiltin="1"/>
    <cellStyle name="Percent" xfId="1"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chartsheet" Target="chartsheets/sheet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Sensitivity Analysis</a:t>
            </a:r>
          </a:p>
        </c:rich>
      </c:tx>
      <c:layout>
        <c:manualLayout>
          <c:xMode val="edge"/>
          <c:yMode val="edge"/>
          <c:x val="0.30743618201997824"/>
          <c:y val="1.9575856443719442E-2"/>
        </c:manualLayout>
      </c:layout>
      <c:overlay val="0"/>
      <c:spPr>
        <a:noFill/>
        <a:ln w="25400">
          <a:noFill/>
        </a:ln>
      </c:spPr>
    </c:title>
    <c:autoTitleDeleted val="0"/>
    <c:plotArea>
      <c:layout>
        <c:manualLayout>
          <c:layoutTarget val="inner"/>
          <c:xMode val="edge"/>
          <c:yMode val="edge"/>
          <c:x val="7.8801331853496234E-2"/>
          <c:y val="0.11092985318107668"/>
          <c:w val="0.69145394006659266"/>
          <c:h val="0.78955954323001631"/>
        </c:manualLayout>
      </c:layout>
      <c:lineChart>
        <c:grouping val="standard"/>
        <c:varyColors val="0"/>
        <c:ser>
          <c:idx val="1"/>
          <c:order val="0"/>
          <c:tx>
            <c:strRef>
              <c:f>Model!$B$16</c:f>
              <c:strCache>
                <c:ptCount val="1"/>
                <c:pt idx="0">
                  <c:v>Optimal share</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numRef>
              <c:f>Model!$A$17:$A$47</c:f>
              <c:numCache>
                <c:formatCode>0%</c:formatCode>
                <c:ptCount val="31"/>
                <c:pt idx="0">
                  <c:v>-0.5</c:v>
                </c:pt>
                <c:pt idx="1">
                  <c:v>-0.44999998807907104</c:v>
                </c:pt>
                <c:pt idx="2">
                  <c:v>-0.39999997615814209</c:v>
                </c:pt>
                <c:pt idx="3">
                  <c:v>-0.34999996423721313</c:v>
                </c:pt>
                <c:pt idx="4">
                  <c:v>-0.29999995231628418</c:v>
                </c:pt>
                <c:pt idx="5">
                  <c:v>-0.24999995529651642</c:v>
                </c:pt>
                <c:pt idx="6">
                  <c:v>-0.19999995827674866</c:v>
                </c:pt>
                <c:pt idx="7">
                  <c:v>-0.1499999612569809</c:v>
                </c:pt>
                <c:pt idx="8">
                  <c:v>-9.9999964237213135E-2</c:v>
                </c:pt>
                <c:pt idx="9">
                  <c:v>-4.9999963492155075E-2</c:v>
                </c:pt>
                <c:pt idx="10">
                  <c:v>3.6507845635469494E-8</c:v>
                </c:pt>
                <c:pt idx="11">
                  <c:v>5.0000037997961044E-2</c:v>
                </c:pt>
                <c:pt idx="12">
                  <c:v>0.1000000387430191</c:v>
                </c:pt>
                <c:pt idx="13">
                  <c:v>0.15000003576278687</c:v>
                </c:pt>
                <c:pt idx="14">
                  <c:v>0.20000003278255463</c:v>
                </c:pt>
                <c:pt idx="15">
                  <c:v>0.25000002980232239</c:v>
                </c:pt>
                <c:pt idx="16">
                  <c:v>0.30000004172325134</c:v>
                </c:pt>
                <c:pt idx="17">
                  <c:v>0.3500000536441803</c:v>
                </c:pt>
                <c:pt idx="18">
                  <c:v>0.40000006556510925</c:v>
                </c:pt>
                <c:pt idx="19">
                  <c:v>0.45000007748603821</c:v>
                </c:pt>
                <c:pt idx="20">
                  <c:v>0.50000005960464478</c:v>
                </c:pt>
                <c:pt idx="21">
                  <c:v>0.55000007152557373</c:v>
                </c:pt>
                <c:pt idx="22">
                  <c:v>0.60000008344650269</c:v>
                </c:pt>
                <c:pt idx="23">
                  <c:v>0.65000009536743164</c:v>
                </c:pt>
                <c:pt idx="24">
                  <c:v>0.7000001072883606</c:v>
                </c:pt>
                <c:pt idx="25">
                  <c:v>0.75000011920928955</c:v>
                </c:pt>
                <c:pt idx="26">
                  <c:v>0.80000013113021851</c:v>
                </c:pt>
                <c:pt idx="27">
                  <c:v>0.85000014305114746</c:v>
                </c:pt>
                <c:pt idx="28">
                  <c:v>0.90000015497207642</c:v>
                </c:pt>
                <c:pt idx="29">
                  <c:v>0.95000016689300537</c:v>
                </c:pt>
                <c:pt idx="30">
                  <c:v>1.0000001192092896</c:v>
                </c:pt>
              </c:numCache>
            </c:numRef>
          </c:cat>
          <c:val>
            <c:numRef>
              <c:f>Model!$B$17:$B$47</c:f>
              <c:numCache>
                <c:formatCode>0.000</c:formatCode>
                <c:ptCount val="31"/>
                <c:pt idx="0">
                  <c:v>0</c:v>
                </c:pt>
                <c:pt idx="1">
                  <c:v>6.3285040533476541E-2</c:v>
                </c:pt>
                <c:pt idx="2">
                  <c:v>0.13739615803868774</c:v>
                </c:pt>
                <c:pt idx="3">
                  <c:v>0.19710881467801783</c:v>
                </c:pt>
                <c:pt idx="4">
                  <c:v>0.24559490629531167</c:v>
                </c:pt>
                <c:pt idx="5">
                  <c:v>0.28521036833248914</c:v>
                </c:pt>
                <c:pt idx="6">
                  <c:v>0.31773501095056078</c:v>
                </c:pt>
                <c:pt idx="7">
                  <c:v>0.34453351887228895</c:v>
                </c:pt>
                <c:pt idx="8">
                  <c:v>0.36666614806929049</c:v>
                </c:pt>
                <c:pt idx="9">
                  <c:v>0.38496634917000205</c:v>
                </c:pt>
                <c:pt idx="10">
                  <c:v>0.40009621598179129</c:v>
                </c:pt>
                <c:pt idx="11">
                  <c:v>0.41258673603714985</c:v>
                </c:pt>
                <c:pt idx="12">
                  <c:v>0.4228674241216871</c:v>
                </c:pt>
                <c:pt idx="13">
                  <c:v>0.43128844071183631</c:v>
                </c:pt>
                <c:pt idx="14">
                  <c:v>0.43813730096115194</c:v>
                </c:pt>
                <c:pt idx="15">
                  <c:v>0.44365162895581145</c:v>
                </c:pt>
                <c:pt idx="16">
                  <c:v>0.44802899986021422</c:v>
                </c:pt>
                <c:pt idx="17">
                  <c:v>0.45143459723634766</c:v>
                </c:pt>
                <c:pt idx="18">
                  <c:v>0.45400723387055292</c:v>
                </c:pt>
                <c:pt idx="19">
                  <c:v>0.45586411193992693</c:v>
                </c:pt>
                <c:pt idx="20">
                  <c:v>0.45710462014637071</c:v>
                </c:pt>
                <c:pt idx="21">
                  <c:v>0.45781338579347014</c:v>
                </c:pt>
                <c:pt idx="22">
                  <c:v>0.45806279337498124</c:v>
                </c:pt>
                <c:pt idx="23">
                  <c:v>0.45791474204010374</c:v>
                </c:pt>
                <c:pt idx="24">
                  <c:v>0.45742308387421221</c:v>
                </c:pt>
                <c:pt idx="25">
                  <c:v>0.45663264269044818</c:v>
                </c:pt>
                <c:pt idx="26">
                  <c:v>0.45558455494584915</c:v>
                </c:pt>
                <c:pt idx="27">
                  <c:v>0.45431297175314372</c:v>
                </c:pt>
                <c:pt idx="28">
                  <c:v>0.45284797945791433</c:v>
                </c:pt>
                <c:pt idx="29">
                  <c:v>0.4512158049640731</c:v>
                </c:pt>
                <c:pt idx="30">
                  <c:v>0.44943936018588998</c:v>
                </c:pt>
              </c:numCache>
            </c:numRef>
          </c:val>
          <c:smooth val="0"/>
        </c:ser>
        <c:dLbls>
          <c:showLegendKey val="0"/>
          <c:showVal val="0"/>
          <c:showCatName val="0"/>
          <c:showSerName val="0"/>
          <c:showPercent val="0"/>
          <c:showBubbleSize val="0"/>
        </c:dLbls>
        <c:marker val="1"/>
        <c:smooth val="0"/>
        <c:axId val="367208696"/>
        <c:axId val="367207520"/>
      </c:lineChart>
      <c:lineChart>
        <c:grouping val="standard"/>
        <c:varyColors val="0"/>
        <c:ser>
          <c:idx val="0"/>
          <c:order val="1"/>
          <c:tx>
            <c:strRef>
              <c:f>Model!$C$16</c:f>
              <c:strCache>
                <c:ptCount val="1"/>
                <c:pt idx="0">
                  <c:v>Certainty equivalent</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val>
            <c:numRef>
              <c:f>Model!$C$17:$C$47</c:f>
              <c:numCache>
                <c:formatCode>0.000</c:formatCode>
                <c:ptCount val="31"/>
                <c:pt idx="0">
                  <c:v>0</c:v>
                </c:pt>
                <c:pt idx="1">
                  <c:v>2.2678435862805896E-2</c:v>
                </c:pt>
                <c:pt idx="2">
                  <c:v>0.11821681849922122</c:v>
                </c:pt>
                <c:pt idx="3">
                  <c:v>0.2672789709492423</c:v>
                </c:pt>
                <c:pt idx="4">
                  <c:v>0.45319959412505417</c:v>
                </c:pt>
                <c:pt idx="5">
                  <c:v>0.66413791671994815</c:v>
                </c:pt>
                <c:pt idx="6">
                  <c:v>0.89158789424533536</c:v>
                </c:pt>
                <c:pt idx="7">
                  <c:v>1.1293868112106171</c:v>
                </c:pt>
                <c:pt idx="8">
                  <c:v>1.3730425889132676</c:v>
                </c:pt>
                <c:pt idx="9">
                  <c:v>1.6192690934112643</c:v>
                </c:pt>
                <c:pt idx="10">
                  <c:v>1.8656600205276836</c:v>
                </c:pt>
                <c:pt idx="11">
                  <c:v>2.1104570021080309</c:v>
                </c:pt>
                <c:pt idx="12">
                  <c:v>2.3523824687694233</c:v>
                </c:pt>
                <c:pt idx="13">
                  <c:v>2.5905179853169402</c:v>
                </c:pt>
                <c:pt idx="14">
                  <c:v>2.8242147869974752</c:v>
                </c:pt>
                <c:pt idx="15">
                  <c:v>3.0530273201514335</c:v>
                </c:pt>
                <c:pt idx="16">
                  <c:v>3.276663662646516</c:v>
                </c:pt>
                <c:pt idx="17">
                  <c:v>3.494947923895285</c:v>
                </c:pt>
                <c:pt idx="18">
                  <c:v>3.7077921132161586</c:v>
                </c:pt>
                <c:pt idx="19">
                  <c:v>3.915174488500015</c:v>
                </c:pt>
                <c:pt idx="20">
                  <c:v>4.1171229246340593</c:v>
                </c:pt>
                <c:pt idx="21">
                  <c:v>4.3137027105747299</c:v>
                </c:pt>
                <c:pt idx="22">
                  <c:v>4.5050060600209454</c:v>
                </c:pt>
                <c:pt idx="23">
                  <c:v>4.6911450574770317</c:v>
                </c:pt>
                <c:pt idx="24">
                  <c:v>4.8722457105781602</c:v>
                </c:pt>
                <c:pt idx="25">
                  <c:v>5.0484434470013761</c:v>
                </c:pt>
                <c:pt idx="26">
                  <c:v>5.2198796365793276</c:v>
                </c:pt>
                <c:pt idx="27">
                  <c:v>5.3866989110084802</c:v>
                </c:pt>
                <c:pt idx="28">
                  <c:v>5.5490471057226811</c:v>
                </c:pt>
                <c:pt idx="29">
                  <c:v>5.7070696884012335</c:v>
                </c:pt>
                <c:pt idx="30">
                  <c:v>5.8609103877936874</c:v>
                </c:pt>
              </c:numCache>
            </c:numRef>
          </c:val>
          <c:smooth val="0"/>
        </c:ser>
        <c:dLbls>
          <c:showLegendKey val="0"/>
          <c:showVal val="0"/>
          <c:showCatName val="0"/>
          <c:showSerName val="0"/>
          <c:showPercent val="0"/>
          <c:showBubbleSize val="0"/>
        </c:dLbls>
        <c:marker val="1"/>
        <c:smooth val="0"/>
        <c:axId val="367205952"/>
        <c:axId val="367211048"/>
      </c:lineChart>
      <c:catAx>
        <c:axId val="367208696"/>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Percentage increase in Gain</a:t>
                </a:r>
              </a:p>
            </c:rich>
          </c:tx>
          <c:layout>
            <c:manualLayout>
              <c:xMode val="edge"/>
              <c:yMode val="edge"/>
              <c:x val="0.32186459489456276"/>
              <c:y val="0.94453507340946163"/>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67207520"/>
        <c:crosses val="autoZero"/>
        <c:auto val="0"/>
        <c:lblAlgn val="ctr"/>
        <c:lblOffset val="100"/>
        <c:tickLblSkip val="5"/>
        <c:tickMarkSkip val="1"/>
        <c:noMultiLvlLbl val="0"/>
      </c:catAx>
      <c:valAx>
        <c:axId val="367207520"/>
        <c:scaling>
          <c:orientation val="minMax"/>
        </c:scaling>
        <c:delete val="0"/>
        <c:axPos val="l"/>
        <c:title>
          <c:tx>
            <c:rich>
              <a:bodyPr/>
              <a:lstStyle/>
              <a:p>
                <a:pPr>
                  <a:defRPr sz="800" b="1" i="0" u="none" strike="noStrike" baseline="0">
                    <a:solidFill>
                      <a:srgbClr val="000000"/>
                    </a:solidFill>
                    <a:latin typeface="Arial"/>
                    <a:ea typeface="Arial"/>
                    <a:cs typeface="Arial"/>
                  </a:defRPr>
                </a:pPr>
                <a:r>
                  <a:rPr lang="en-US"/>
                  <a:t>Optimal Share</a:t>
                </a:r>
              </a:p>
            </c:rich>
          </c:tx>
          <c:layout>
            <c:manualLayout>
              <c:xMode val="edge"/>
              <c:yMode val="edge"/>
              <c:x val="1.4428412874583796E-2"/>
              <c:y val="0.44045676998368744"/>
            </c:manualLayout>
          </c:layout>
          <c:overlay val="0"/>
          <c:spPr>
            <a:noFill/>
            <a:ln w="25400">
              <a:noFill/>
            </a:ln>
          </c:spPr>
        </c:title>
        <c:numFmt formatCode="0.00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67208696"/>
        <c:crosses val="autoZero"/>
        <c:crossBetween val="between"/>
      </c:valAx>
      <c:catAx>
        <c:axId val="367205952"/>
        <c:scaling>
          <c:orientation val="minMax"/>
        </c:scaling>
        <c:delete val="1"/>
        <c:axPos val="b"/>
        <c:majorTickMark val="out"/>
        <c:minorTickMark val="none"/>
        <c:tickLblPos val="none"/>
        <c:crossAx val="367211048"/>
        <c:crosses val="autoZero"/>
        <c:auto val="0"/>
        <c:lblAlgn val="ctr"/>
        <c:lblOffset val="100"/>
        <c:noMultiLvlLbl val="0"/>
      </c:catAx>
      <c:valAx>
        <c:axId val="367211048"/>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Certainty Equivalent</a:t>
                </a:r>
              </a:p>
            </c:rich>
          </c:tx>
          <c:layout>
            <c:manualLayout>
              <c:xMode val="edge"/>
              <c:yMode val="edge"/>
              <c:x val="0.81132075471698117"/>
              <c:y val="0.41435562805872755"/>
            </c:manualLayout>
          </c:layout>
          <c:overlay val="0"/>
          <c:spPr>
            <a:noFill/>
            <a:ln w="25400">
              <a:noFill/>
            </a:ln>
          </c:spPr>
        </c:title>
        <c:numFmt formatCode="0.00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67205952"/>
        <c:crosses val="max"/>
        <c:crossBetween val="between"/>
      </c:valAx>
      <c:spPr>
        <a:solidFill>
          <a:srgbClr val="C0C0C0"/>
        </a:solidFill>
        <a:ln w="12700">
          <a:solidFill>
            <a:srgbClr val="808080"/>
          </a:solidFill>
          <a:prstDash val="solid"/>
        </a:ln>
      </c:spPr>
    </c:plotArea>
    <c:legend>
      <c:legendPos val="r"/>
      <c:layout>
        <c:manualLayout>
          <c:xMode val="edge"/>
          <c:yMode val="edge"/>
          <c:x val="0.8479467258601554"/>
          <c:y val="0.47308319738988663"/>
          <c:w val="0.14761376248612681"/>
          <c:h val="6.3621533442088096E-2"/>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heets/_rels/sheet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chartsheets/sheet1.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sheetPr codeName="chtSensitivity"/>
  <sheetViews>
    <sheetView zoomScale="127" workbookViewId="0" zoomToFit="1"/>
  </sheetViews>
  <pageMargins left="0.75" right="0.75" top="1" bottom="1" header="0.5" footer="0.5"/>
  <pageSetup orientation="landscape" r:id="rId1"/>
  <headerFooter alignWithMargins="0"/>
  <drawing r:id="rId2"/>
  <legacyDrawing r:id="rId3"/>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460375</xdr:colOff>
      <xdr:row>5</xdr:row>
      <xdr:rowOff>117476</xdr:rowOff>
    </xdr:from>
    <xdr:to>
      <xdr:col>10</xdr:col>
      <xdr:colOff>664845</xdr:colOff>
      <xdr:row>32</xdr:row>
      <xdr:rowOff>152400</xdr:rowOff>
    </xdr:to>
    <xdr:sp macro="" textlink="">
      <xdr:nvSpPr>
        <xdr:cNvPr id="3" name="TextBox 2"/>
        <xdr:cNvSpPr txBox="1"/>
      </xdr:nvSpPr>
      <xdr:spPr>
        <a:xfrm>
          <a:off x="460375" y="1136651"/>
          <a:ext cx="6519545" cy="5178424"/>
        </a:xfrm>
        <a:prstGeom prst="roundRect">
          <a:avLst/>
        </a:prstGeom>
        <a:solidFill>
          <a:schemeClr val="bg1">
            <a:lumMod val="95000"/>
          </a:schemeClr>
        </a:solidFill>
        <a:ln>
          <a:solidFill>
            <a:schemeClr val="bg1">
              <a:lumMod val="85000"/>
            </a:schemeClr>
          </a:solidFill>
        </a:ln>
      </xdr:spPr>
      <xdr:style>
        <a:lnRef idx="2">
          <a:schemeClr val="accent1"/>
        </a:lnRef>
        <a:fillRef idx="1">
          <a:schemeClr val="lt1"/>
        </a:fillRef>
        <a:effectRef idx="0">
          <a:schemeClr val="accent1"/>
        </a:effectRef>
        <a:fontRef idx="minor">
          <a:schemeClr val="dk1"/>
        </a:fontRef>
      </xdr:style>
      <xdr:txBody>
        <a:bodyPr vert="horz" rtlCol="0" anchor="t"/>
        <a:lstStyle/>
        <a:p>
          <a:r>
            <a:rPr lang="en-US" sz="1100"/>
            <a:t>Consider a risk averse decision maker about to become a partner in a risky venture. The venture will be a success, earning G, or a failure, losing L. The probability of success is p.  The decision maker can have any share s of this venture, where s is a fraction from 0 to 1.  Then the possible gain to him is sG, and the possible loss is sL.  The decision maker wants to choose the share s that maximizes his expected utility, where the utility function is of the exponential form, with risk tolerance R.  Then he wants to perform a sensitivity analysis to see how the optimal share s changes as G or L changes.
This application has the decision maker's model in the Model sheet.  It is a straightforward Solver application.  When you click the button above, you get to choose the input parameters: G, L, p, and R.  You also get to choose the input parameter to change for sensitivity analysis, as well as the range of change (e.g., from 50% below to 100% above the current value).  The application then runs Solver for each value inside this range (in 5% increments) and charts the results.  The chart shows the optimal share s, as well as the associated "certainty equivalent."  This is the equivalent dollar value, i.e., it is the value such that the decision maker would be indifferent between (1) taking the gamble (with the optimal s) and (2) getting the sure dollar value.
The surprising result is that for many input parameters, if you increase G (making the venture a more attractive one), the optimal share s decreases.  In words, the decision maker wants a smaller percentage of a better deal!  (However, the certainty equivalent always increases.)  Here is the intuition behind this surprising result.  Risk averse decision makers like to avoid risk, so they tend to prefer smaller shares of a risky venture.  As the venture becomes more attractive (G increases), they can afford to have a smaller share and still make more money.  Essentially, they can have their cake (smaller risk) and eat it too (higher certainty equivalent).
The idea for this application comes from the paper "Too Much of a Good Thing?" by Clyman, Walls, and Dyer, in Operations Research, Vol. 47, No. 6 (1999).  They saw this phenomenon in the oil drilling industry, where they claim it is quite common.</a:t>
          </a:r>
        </a:p>
      </xdr:txBody>
    </xdr:sp>
    <xdr:clientData/>
  </xdr:twoCellAnchor>
  <mc:AlternateContent xmlns:mc="http://schemas.openxmlformats.org/markup-compatibility/2006">
    <mc:Choice xmlns:a14="http://schemas.microsoft.com/office/drawing/2010/main" Requires="a14">
      <xdr:twoCellAnchor>
        <xdr:from>
          <xdr:col>4</xdr:col>
          <xdr:colOff>247650</xdr:colOff>
          <xdr:row>2</xdr:row>
          <xdr:rowOff>123825</xdr:rowOff>
        </xdr:from>
        <xdr:to>
          <xdr:col>6</xdr:col>
          <xdr:colOff>400050</xdr:colOff>
          <xdr:row>4</xdr:row>
          <xdr:rowOff>76200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Run the application</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257175</xdr:colOff>
          <xdr:row>7</xdr:row>
          <xdr:rowOff>76200</xdr:rowOff>
        </xdr:from>
        <xdr:to>
          <xdr:col>4</xdr:col>
          <xdr:colOff>590550</xdr:colOff>
          <xdr:row>9</xdr:row>
          <xdr:rowOff>104775</xdr:rowOff>
        </xdr:to>
        <xdr:sp macro="" textlink="">
          <xdr:nvSpPr>
            <xdr:cNvPr id="1109" name="Button 85" hidden="1">
              <a:extLst>
                <a:ext uri="{63B3BB69-23CF-44E3-9099-C40C66FF867C}">
                  <a14:compatExt spid="_x0000_s11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View Chart</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257175</xdr:colOff>
          <xdr:row>10</xdr:row>
          <xdr:rowOff>38100</xdr:rowOff>
        </xdr:from>
        <xdr:to>
          <xdr:col>4</xdr:col>
          <xdr:colOff>581025</xdr:colOff>
          <xdr:row>13</xdr:row>
          <xdr:rowOff>0</xdr:rowOff>
        </xdr:to>
        <xdr:sp macro="" textlink="">
          <xdr:nvSpPr>
            <xdr:cNvPr id="1110" name="Button 86" hidden="1">
              <a:extLst>
                <a:ext uri="{63B3BB69-23CF-44E3-9099-C40C66FF867C}">
                  <a14:compatExt spid="_x0000_s111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View Explanation sheet</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0" y="0"/>
    <xdr:ext cx="8587500" cy="584250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Explanation">
    <pageSetUpPr fitToPage="1"/>
  </sheetPr>
  <dimension ref="C2:I4"/>
  <sheetViews>
    <sheetView showGridLines="0" showRowColHeaders="0" tabSelected="1" workbookViewId="0">
      <selection activeCell="F4" sqref="F4"/>
    </sheetView>
  </sheetViews>
  <sheetFormatPr defaultRowHeight="15" x14ac:dyDescent="0.25"/>
  <cols>
    <col min="1" max="1" width="12.42578125" style="1" customWidth="1"/>
    <col min="2" max="10" width="9.140625" style="1"/>
    <col min="11" max="11" width="12.85546875" style="1" customWidth="1"/>
    <col min="12" max="16384" width="9.140625" style="1"/>
  </cols>
  <sheetData>
    <row r="2" spans="3:9" ht="18.75" x14ac:dyDescent="0.3">
      <c r="C2" s="13" t="s">
        <v>14</v>
      </c>
      <c r="D2" s="13"/>
      <c r="E2" s="13"/>
      <c r="F2" s="13"/>
      <c r="G2" s="13"/>
      <c r="H2" s="13"/>
      <c r="I2" s="13"/>
    </row>
    <row r="3" spans="3:9" ht="15.75" x14ac:dyDescent="0.25">
      <c r="C3" s="2"/>
      <c r="D3" s="2"/>
      <c r="E3" s="2"/>
      <c r="F3" s="2"/>
      <c r="G3" s="2"/>
      <c r="H3" s="2"/>
      <c r="I3" s="2"/>
    </row>
    <row r="4" spans="3:9" ht="15.75" x14ac:dyDescent="0.25">
      <c r="C4" s="2"/>
      <c r="D4" s="2"/>
      <c r="E4" s="2"/>
      <c r="F4" s="2"/>
      <c r="G4" s="2"/>
      <c r="H4" s="2"/>
      <c r="I4" s="2"/>
    </row>
  </sheetData>
  <mergeCells count="1">
    <mergeCell ref="C2:I2"/>
  </mergeCells>
  <phoneticPr fontId="0" type="noConversion"/>
  <pageMargins left="0.75" right="0.75" top="1" bottom="1" header="0.5" footer="0.5"/>
  <pageSetup paperSize="5" scale="82"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autoFill="0" autoPict="0" macro="[0]!MainExponentialUtility">
                <anchor moveWithCells="1" sizeWithCells="1">
                  <from>
                    <xdr:col>4</xdr:col>
                    <xdr:colOff>247650</xdr:colOff>
                    <xdr:row>2</xdr:row>
                    <xdr:rowOff>123825</xdr:rowOff>
                  </from>
                  <to>
                    <xdr:col>6</xdr:col>
                    <xdr:colOff>400050</xdr:colOff>
                    <xdr:row>4</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Model">
    <pageSetUpPr fitToPage="1"/>
  </sheetPr>
  <dimension ref="A1:E97"/>
  <sheetViews>
    <sheetView workbookViewId="0"/>
  </sheetViews>
  <sheetFormatPr defaultRowHeight="15" x14ac:dyDescent="0.25"/>
  <cols>
    <col min="1" max="1" width="20.140625" style="4" customWidth="1"/>
    <col min="2" max="2" width="12.5703125" style="4" customWidth="1"/>
    <col min="3" max="3" width="17.42578125" style="4" customWidth="1"/>
    <col min="4" max="4" width="14.28515625" style="4" customWidth="1"/>
    <col min="5" max="5" width="11.85546875" style="4" customWidth="1"/>
    <col min="6" max="16384" width="9.140625" style="4"/>
  </cols>
  <sheetData>
    <row r="1" spans="1:5" x14ac:dyDescent="0.25">
      <c r="A1" s="3" t="s">
        <v>0</v>
      </c>
    </row>
    <row r="3" spans="1:5" x14ac:dyDescent="0.25">
      <c r="A3" s="3" t="s">
        <v>1</v>
      </c>
      <c r="D3" s="5" t="s">
        <v>11</v>
      </c>
      <c r="E3" s="5" t="s">
        <v>12</v>
      </c>
    </row>
    <row r="4" spans="1:5" x14ac:dyDescent="0.25">
      <c r="A4" s="4" t="s">
        <v>8</v>
      </c>
      <c r="B4" s="6">
        <f>D4*(1+E4)</f>
        <v>68</v>
      </c>
      <c r="D4" s="11">
        <v>68</v>
      </c>
      <c r="E4" s="7">
        <v>0</v>
      </c>
    </row>
    <row r="5" spans="1:5" x14ac:dyDescent="0.25">
      <c r="A5" s="4" t="s">
        <v>9</v>
      </c>
      <c r="B5" s="6">
        <f>D5*(1+E5)</f>
        <v>15</v>
      </c>
      <c r="D5" s="11">
        <v>15</v>
      </c>
      <c r="E5" s="7">
        <v>0</v>
      </c>
    </row>
    <row r="6" spans="1:5" x14ac:dyDescent="0.25">
      <c r="A6" s="4" t="s">
        <v>2</v>
      </c>
      <c r="B6" s="10">
        <v>0.30000001192092896</v>
      </c>
      <c r="E6" s="7"/>
    </row>
    <row r="8" spans="1:5" x14ac:dyDescent="0.25">
      <c r="A8" s="4" t="s">
        <v>3</v>
      </c>
      <c r="B8" s="11">
        <v>50</v>
      </c>
    </row>
    <row r="10" spans="1:5" x14ac:dyDescent="0.25">
      <c r="A10" s="3" t="s">
        <v>4</v>
      </c>
    </row>
    <row r="11" spans="1:5" x14ac:dyDescent="0.25">
      <c r="A11" s="4" t="s">
        <v>5</v>
      </c>
      <c r="B11" s="12">
        <v>0.40009625470372284</v>
      </c>
    </row>
    <row r="12" spans="1:5" x14ac:dyDescent="0.25">
      <c r="A12" s="4" t="s">
        <v>6</v>
      </c>
      <c r="B12" s="8">
        <f>PrSuccess*(1-EXP(-Share*Gain/RiskTol))+(1-PrSuccess)*(1-EXP(-Share*(-Loss)/RiskTol))</f>
        <v>3.6625637692869653E-2</v>
      </c>
    </row>
    <row r="13" spans="1:5" x14ac:dyDescent="0.25">
      <c r="A13" s="4" t="s">
        <v>7</v>
      </c>
      <c r="B13" s="8">
        <f>-RiskTol*LN(1-ExpUtil)</f>
        <v>1.8656598410242455</v>
      </c>
    </row>
    <row r="15" spans="1:5" x14ac:dyDescent="0.25">
      <c r="A15" s="4" t="s">
        <v>15</v>
      </c>
    </row>
    <row r="16" spans="1:5" x14ac:dyDescent="0.25">
      <c r="A16" s="5" t="s">
        <v>13</v>
      </c>
      <c r="B16" s="5" t="s">
        <v>10</v>
      </c>
      <c r="C16" s="5" t="s">
        <v>7</v>
      </c>
    </row>
    <row r="17" spans="1:3" x14ac:dyDescent="0.25">
      <c r="A17" s="7">
        <v>-0.5</v>
      </c>
      <c r="B17" s="9">
        <v>0</v>
      </c>
      <c r="C17" s="9">
        <v>0</v>
      </c>
    </row>
    <row r="18" spans="1:3" x14ac:dyDescent="0.25">
      <c r="A18" s="7">
        <v>-0.44999998807907104</v>
      </c>
      <c r="B18" s="9">
        <v>6.3285040533476541E-2</v>
      </c>
      <c r="C18" s="9">
        <v>2.2678435862805896E-2</v>
      </c>
    </row>
    <row r="19" spans="1:3" x14ac:dyDescent="0.25">
      <c r="A19" s="7">
        <v>-0.39999997615814209</v>
      </c>
      <c r="B19" s="9">
        <v>0.13739615803868774</v>
      </c>
      <c r="C19" s="9">
        <v>0.11821681849922122</v>
      </c>
    </row>
    <row r="20" spans="1:3" x14ac:dyDescent="0.25">
      <c r="A20" s="7">
        <v>-0.34999996423721313</v>
      </c>
      <c r="B20" s="9">
        <v>0.19710881467801783</v>
      </c>
      <c r="C20" s="9">
        <v>0.2672789709492423</v>
      </c>
    </row>
    <row r="21" spans="1:3" x14ac:dyDescent="0.25">
      <c r="A21" s="7">
        <v>-0.29999995231628418</v>
      </c>
      <c r="B21" s="9">
        <v>0.24559490629531167</v>
      </c>
      <c r="C21" s="9">
        <v>0.45319959412505417</v>
      </c>
    </row>
    <row r="22" spans="1:3" x14ac:dyDescent="0.25">
      <c r="A22" s="7">
        <v>-0.24999995529651642</v>
      </c>
      <c r="B22" s="9">
        <v>0.28521036833248914</v>
      </c>
      <c r="C22" s="9">
        <v>0.66413791671994815</v>
      </c>
    </row>
    <row r="23" spans="1:3" x14ac:dyDescent="0.25">
      <c r="A23" s="7">
        <v>-0.19999995827674866</v>
      </c>
      <c r="B23" s="9">
        <v>0.31773501095056078</v>
      </c>
      <c r="C23" s="9">
        <v>0.89158789424533536</v>
      </c>
    </row>
    <row r="24" spans="1:3" x14ac:dyDescent="0.25">
      <c r="A24" s="7">
        <v>-0.1499999612569809</v>
      </c>
      <c r="B24" s="9">
        <v>0.34453351887228895</v>
      </c>
      <c r="C24" s="9">
        <v>1.1293868112106171</v>
      </c>
    </row>
    <row r="25" spans="1:3" x14ac:dyDescent="0.25">
      <c r="A25" s="7">
        <v>-9.9999964237213135E-2</v>
      </c>
      <c r="B25" s="9">
        <v>0.36666614806929049</v>
      </c>
      <c r="C25" s="9">
        <v>1.3730425889132676</v>
      </c>
    </row>
    <row r="26" spans="1:3" x14ac:dyDescent="0.25">
      <c r="A26" s="7">
        <v>-4.9999963492155075E-2</v>
      </c>
      <c r="B26" s="9">
        <v>0.38496634917000205</v>
      </c>
      <c r="C26" s="9">
        <v>1.6192690934112643</v>
      </c>
    </row>
    <row r="27" spans="1:3" x14ac:dyDescent="0.25">
      <c r="A27" s="7">
        <v>3.6507845635469494E-8</v>
      </c>
      <c r="B27" s="9">
        <v>0.40009621598179129</v>
      </c>
      <c r="C27" s="9">
        <v>1.8656600205276836</v>
      </c>
    </row>
    <row r="28" spans="1:3" x14ac:dyDescent="0.25">
      <c r="A28" s="7">
        <v>5.0000037997961044E-2</v>
      </c>
      <c r="B28" s="9">
        <v>0.41258673603714985</v>
      </c>
      <c r="C28" s="9">
        <v>2.1104570021080309</v>
      </c>
    </row>
    <row r="29" spans="1:3" x14ac:dyDescent="0.25">
      <c r="A29" s="7">
        <v>0.1000000387430191</v>
      </c>
      <c r="B29" s="9">
        <v>0.4228674241216871</v>
      </c>
      <c r="C29" s="9">
        <v>2.3523824687694233</v>
      </c>
    </row>
    <row r="30" spans="1:3" x14ac:dyDescent="0.25">
      <c r="A30" s="7">
        <v>0.15000003576278687</v>
      </c>
      <c r="B30" s="9">
        <v>0.43128844071183631</v>
      </c>
      <c r="C30" s="9">
        <v>2.5905179853169402</v>
      </c>
    </row>
    <row r="31" spans="1:3" x14ac:dyDescent="0.25">
      <c r="A31" s="7">
        <v>0.20000003278255463</v>
      </c>
      <c r="B31" s="9">
        <v>0.43813730096115194</v>
      </c>
      <c r="C31" s="9">
        <v>2.8242147869974752</v>
      </c>
    </row>
    <row r="32" spans="1:3" x14ac:dyDescent="0.25">
      <c r="A32" s="7">
        <v>0.25000002980232239</v>
      </c>
      <c r="B32" s="9">
        <v>0.44365162895581145</v>
      </c>
      <c r="C32" s="9">
        <v>3.0530273201514335</v>
      </c>
    </row>
    <row r="33" spans="1:3" x14ac:dyDescent="0.25">
      <c r="A33" s="7">
        <v>0.30000004172325134</v>
      </c>
      <c r="B33" s="9">
        <v>0.44802899986021422</v>
      </c>
      <c r="C33" s="9">
        <v>3.276663662646516</v>
      </c>
    </row>
    <row r="34" spans="1:3" x14ac:dyDescent="0.25">
      <c r="A34" s="7">
        <v>0.3500000536441803</v>
      </c>
      <c r="B34" s="9">
        <v>0.45143459723634766</v>
      </c>
      <c r="C34" s="9">
        <v>3.494947923895285</v>
      </c>
    </row>
    <row r="35" spans="1:3" x14ac:dyDescent="0.25">
      <c r="A35" s="7">
        <v>0.40000006556510925</v>
      </c>
      <c r="B35" s="9">
        <v>0.45400723387055292</v>
      </c>
      <c r="C35" s="9">
        <v>3.7077921132161586</v>
      </c>
    </row>
    <row r="36" spans="1:3" x14ac:dyDescent="0.25">
      <c r="A36" s="7">
        <v>0.45000007748603821</v>
      </c>
      <c r="B36" s="9">
        <v>0.45586411193992693</v>
      </c>
      <c r="C36" s="9">
        <v>3.915174488500015</v>
      </c>
    </row>
    <row r="37" spans="1:3" x14ac:dyDescent="0.25">
      <c r="A37" s="7">
        <v>0.50000005960464478</v>
      </c>
      <c r="B37" s="9">
        <v>0.45710462014637071</v>
      </c>
      <c r="C37" s="9">
        <v>4.1171229246340593</v>
      </c>
    </row>
    <row r="38" spans="1:3" x14ac:dyDescent="0.25">
      <c r="A38" s="7">
        <v>0.55000007152557373</v>
      </c>
      <c r="B38" s="9">
        <v>0.45781338579347014</v>
      </c>
      <c r="C38" s="9">
        <v>4.3137027105747299</v>
      </c>
    </row>
    <row r="39" spans="1:3" x14ac:dyDescent="0.25">
      <c r="A39" s="7">
        <v>0.60000008344650269</v>
      </c>
      <c r="B39" s="9">
        <v>0.45806279337498124</v>
      </c>
      <c r="C39" s="9">
        <v>4.5050060600209454</v>
      </c>
    </row>
    <row r="40" spans="1:3" x14ac:dyDescent="0.25">
      <c r="A40" s="7">
        <v>0.65000009536743164</v>
      </c>
      <c r="B40" s="9">
        <v>0.45791474204010374</v>
      </c>
      <c r="C40" s="9">
        <v>4.6911450574770317</v>
      </c>
    </row>
    <row r="41" spans="1:3" x14ac:dyDescent="0.25">
      <c r="A41" s="7">
        <v>0.7000001072883606</v>
      </c>
      <c r="B41" s="9">
        <v>0.45742308387421221</v>
      </c>
      <c r="C41" s="9">
        <v>4.8722457105781602</v>
      </c>
    </row>
    <row r="42" spans="1:3" x14ac:dyDescent="0.25">
      <c r="A42" s="7">
        <v>0.75000011920928955</v>
      </c>
      <c r="B42" s="9">
        <v>0.45663264269044818</v>
      </c>
      <c r="C42" s="9">
        <v>5.0484434470013761</v>
      </c>
    </row>
    <row r="43" spans="1:3" x14ac:dyDescent="0.25">
      <c r="A43" s="7">
        <v>0.80000013113021851</v>
      </c>
      <c r="B43" s="9">
        <v>0.45558455494584915</v>
      </c>
      <c r="C43" s="9">
        <v>5.2198796365793276</v>
      </c>
    </row>
    <row r="44" spans="1:3" x14ac:dyDescent="0.25">
      <c r="A44" s="7">
        <v>0.85000014305114746</v>
      </c>
      <c r="B44" s="9">
        <v>0.45431297175314372</v>
      </c>
      <c r="C44" s="9">
        <v>5.3866989110084802</v>
      </c>
    </row>
    <row r="45" spans="1:3" x14ac:dyDescent="0.25">
      <c r="A45" s="7">
        <v>0.90000015497207642</v>
      </c>
      <c r="B45" s="9">
        <v>0.45284797945791433</v>
      </c>
      <c r="C45" s="9">
        <v>5.5490471057226811</v>
      </c>
    </row>
    <row r="46" spans="1:3" x14ac:dyDescent="0.25">
      <c r="A46" s="7">
        <v>0.95000016689300537</v>
      </c>
      <c r="B46" s="9">
        <v>0.4512158049640731</v>
      </c>
      <c r="C46" s="9">
        <v>5.7070696884012335</v>
      </c>
    </row>
    <row r="47" spans="1:3" x14ac:dyDescent="0.25">
      <c r="A47" s="7">
        <v>1.0000001192092896</v>
      </c>
      <c r="B47" s="9">
        <v>0.44943936018588998</v>
      </c>
      <c r="C47" s="9">
        <v>5.8609103877936874</v>
      </c>
    </row>
    <row r="48" spans="1:3" x14ac:dyDescent="0.25">
      <c r="A48" s="7"/>
      <c r="B48" s="9"/>
      <c r="C48" s="9"/>
    </row>
    <row r="49" spans="1:3" x14ac:dyDescent="0.25">
      <c r="A49" s="7"/>
      <c r="B49" s="9"/>
      <c r="C49" s="9"/>
    </row>
    <row r="50" spans="1:3" x14ac:dyDescent="0.25">
      <c r="A50" s="7"/>
      <c r="B50" s="9"/>
      <c r="C50" s="9"/>
    </row>
    <row r="51" spans="1:3" x14ac:dyDescent="0.25">
      <c r="A51" s="7"/>
      <c r="B51" s="9"/>
      <c r="C51" s="9"/>
    </row>
    <row r="52" spans="1:3" x14ac:dyDescent="0.25">
      <c r="A52" s="7"/>
      <c r="B52" s="9"/>
      <c r="C52" s="9"/>
    </row>
    <row r="53" spans="1:3" x14ac:dyDescent="0.25">
      <c r="A53" s="7"/>
      <c r="B53" s="9"/>
      <c r="C53" s="9"/>
    </row>
    <row r="54" spans="1:3" x14ac:dyDescent="0.25">
      <c r="A54" s="7"/>
      <c r="B54" s="9"/>
      <c r="C54" s="9"/>
    </row>
    <row r="55" spans="1:3" x14ac:dyDescent="0.25">
      <c r="A55" s="7"/>
      <c r="B55" s="9"/>
      <c r="C55" s="9"/>
    </row>
    <row r="56" spans="1:3" x14ac:dyDescent="0.25">
      <c r="A56" s="7"/>
      <c r="B56" s="9"/>
      <c r="C56" s="9"/>
    </row>
    <row r="57" spans="1:3" x14ac:dyDescent="0.25">
      <c r="A57" s="7"/>
      <c r="B57" s="9"/>
      <c r="C57" s="9"/>
    </row>
    <row r="58" spans="1:3" x14ac:dyDescent="0.25">
      <c r="A58" s="7"/>
      <c r="B58" s="9"/>
      <c r="C58" s="9"/>
    </row>
    <row r="59" spans="1:3" x14ac:dyDescent="0.25">
      <c r="A59" s="7"/>
      <c r="B59" s="9"/>
      <c r="C59" s="9"/>
    </row>
    <row r="60" spans="1:3" x14ac:dyDescent="0.25">
      <c r="A60" s="7"/>
      <c r="B60" s="9"/>
      <c r="C60" s="9"/>
    </row>
    <row r="61" spans="1:3" x14ac:dyDescent="0.25">
      <c r="A61" s="7"/>
      <c r="B61" s="9"/>
      <c r="C61" s="9"/>
    </row>
    <row r="62" spans="1:3" x14ac:dyDescent="0.25">
      <c r="A62" s="7"/>
      <c r="B62" s="9"/>
      <c r="C62" s="9"/>
    </row>
    <row r="63" spans="1:3" x14ac:dyDescent="0.25">
      <c r="A63" s="7"/>
      <c r="B63" s="9"/>
      <c r="C63" s="9"/>
    </row>
    <row r="64" spans="1:3" x14ac:dyDescent="0.25">
      <c r="A64" s="7"/>
      <c r="B64" s="9"/>
      <c r="C64" s="9"/>
    </row>
    <row r="65" spans="1:3" x14ac:dyDescent="0.25">
      <c r="A65" s="7"/>
      <c r="B65" s="9"/>
      <c r="C65" s="9"/>
    </row>
    <row r="66" spans="1:3" x14ac:dyDescent="0.25">
      <c r="A66" s="7"/>
      <c r="B66" s="9"/>
      <c r="C66" s="9"/>
    </row>
    <row r="67" spans="1:3" x14ac:dyDescent="0.25">
      <c r="A67" s="7"/>
      <c r="B67" s="9"/>
      <c r="C67" s="9"/>
    </row>
    <row r="68" spans="1:3" x14ac:dyDescent="0.25">
      <c r="A68" s="7"/>
      <c r="B68" s="9"/>
      <c r="C68" s="9"/>
    </row>
    <row r="69" spans="1:3" x14ac:dyDescent="0.25">
      <c r="A69" s="7"/>
      <c r="B69" s="9"/>
      <c r="C69" s="9"/>
    </row>
    <row r="70" spans="1:3" x14ac:dyDescent="0.25">
      <c r="A70" s="7"/>
      <c r="B70" s="9"/>
      <c r="C70" s="9"/>
    </row>
    <row r="71" spans="1:3" x14ac:dyDescent="0.25">
      <c r="A71" s="7"/>
      <c r="B71" s="9"/>
      <c r="C71" s="9"/>
    </row>
    <row r="72" spans="1:3" x14ac:dyDescent="0.25">
      <c r="A72" s="7"/>
      <c r="B72" s="9"/>
      <c r="C72" s="9"/>
    </row>
    <row r="73" spans="1:3" x14ac:dyDescent="0.25">
      <c r="A73" s="7"/>
      <c r="B73" s="9"/>
      <c r="C73" s="9"/>
    </row>
    <row r="74" spans="1:3" x14ac:dyDescent="0.25">
      <c r="A74" s="7"/>
      <c r="B74" s="9"/>
      <c r="C74" s="9"/>
    </row>
    <row r="75" spans="1:3" x14ac:dyDescent="0.25">
      <c r="A75" s="7"/>
      <c r="B75" s="9"/>
      <c r="C75" s="9"/>
    </row>
    <row r="76" spans="1:3" x14ac:dyDescent="0.25">
      <c r="A76" s="7"/>
      <c r="B76" s="9"/>
      <c r="C76" s="9"/>
    </row>
    <row r="77" spans="1:3" x14ac:dyDescent="0.25">
      <c r="A77" s="7"/>
      <c r="B77" s="9"/>
      <c r="C77" s="9"/>
    </row>
    <row r="78" spans="1:3" x14ac:dyDescent="0.25">
      <c r="A78" s="7"/>
      <c r="B78" s="9"/>
      <c r="C78" s="9"/>
    </row>
    <row r="79" spans="1:3" x14ac:dyDescent="0.25">
      <c r="A79" s="7"/>
      <c r="B79" s="9"/>
      <c r="C79" s="9"/>
    </row>
    <row r="80" spans="1:3" x14ac:dyDescent="0.25">
      <c r="A80" s="7"/>
      <c r="B80" s="9"/>
      <c r="C80" s="9"/>
    </row>
    <row r="81" spans="1:3" x14ac:dyDescent="0.25">
      <c r="A81" s="7"/>
      <c r="B81" s="9"/>
      <c r="C81" s="9"/>
    </row>
    <row r="82" spans="1:3" x14ac:dyDescent="0.25">
      <c r="A82" s="7"/>
      <c r="B82" s="9"/>
      <c r="C82" s="9"/>
    </row>
    <row r="83" spans="1:3" x14ac:dyDescent="0.25">
      <c r="A83" s="7"/>
      <c r="B83" s="9"/>
      <c r="C83" s="9"/>
    </row>
    <row r="84" spans="1:3" x14ac:dyDescent="0.25">
      <c r="A84" s="7"/>
      <c r="B84" s="9"/>
      <c r="C84" s="9"/>
    </row>
    <row r="85" spans="1:3" x14ac:dyDescent="0.25">
      <c r="A85" s="7"/>
      <c r="B85" s="9"/>
      <c r="C85" s="9"/>
    </row>
    <row r="86" spans="1:3" x14ac:dyDescent="0.25">
      <c r="A86" s="7"/>
      <c r="B86" s="9"/>
      <c r="C86" s="9"/>
    </row>
    <row r="87" spans="1:3" x14ac:dyDescent="0.25">
      <c r="A87" s="7"/>
      <c r="B87" s="9"/>
      <c r="C87" s="9"/>
    </row>
    <row r="88" spans="1:3" x14ac:dyDescent="0.25">
      <c r="A88" s="7"/>
      <c r="B88" s="9"/>
      <c r="C88" s="9"/>
    </row>
    <row r="89" spans="1:3" x14ac:dyDescent="0.25">
      <c r="A89" s="7"/>
      <c r="B89" s="9"/>
      <c r="C89" s="9"/>
    </row>
    <row r="90" spans="1:3" x14ac:dyDescent="0.25">
      <c r="A90" s="7"/>
      <c r="B90" s="9"/>
      <c r="C90" s="9"/>
    </row>
    <row r="91" spans="1:3" x14ac:dyDescent="0.25">
      <c r="A91" s="7"/>
      <c r="B91" s="9"/>
      <c r="C91" s="9"/>
    </row>
    <row r="92" spans="1:3" x14ac:dyDescent="0.25">
      <c r="A92" s="7"/>
      <c r="B92" s="9"/>
      <c r="C92" s="9"/>
    </row>
    <row r="93" spans="1:3" x14ac:dyDescent="0.25">
      <c r="A93" s="7"/>
      <c r="B93" s="9"/>
      <c r="C93" s="9"/>
    </row>
    <row r="94" spans="1:3" x14ac:dyDescent="0.25">
      <c r="A94" s="7"/>
      <c r="B94" s="9"/>
      <c r="C94" s="9"/>
    </row>
    <row r="95" spans="1:3" x14ac:dyDescent="0.25">
      <c r="A95" s="7"/>
      <c r="B95" s="9"/>
      <c r="C95" s="9"/>
    </row>
    <row r="96" spans="1:3" x14ac:dyDescent="0.25">
      <c r="A96" s="7"/>
      <c r="B96" s="9"/>
      <c r="C96" s="9"/>
    </row>
    <row r="97" spans="1:3" x14ac:dyDescent="0.25">
      <c r="A97" s="7"/>
      <c r="B97" s="9"/>
      <c r="C97" s="9"/>
    </row>
  </sheetData>
  <phoneticPr fontId="0" type="noConversion"/>
  <printOptions headings="1" gridLines="1"/>
  <pageMargins left="0.75" right="0.75" top="1" bottom="1" header="0.5" footer="0.5"/>
  <pageSetup paperSize="5"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09" r:id="rId4" name="Button 85">
              <controlPr defaultSize="0" autoFill="0" autoPict="0" macro="[0]!Module1.ViewChart">
                <anchor moveWithCells="1" sizeWithCells="1">
                  <from>
                    <xdr:col>3</xdr:col>
                    <xdr:colOff>257175</xdr:colOff>
                    <xdr:row>7</xdr:row>
                    <xdr:rowOff>76200</xdr:rowOff>
                  </from>
                  <to>
                    <xdr:col>4</xdr:col>
                    <xdr:colOff>590550</xdr:colOff>
                    <xdr:row>9</xdr:row>
                    <xdr:rowOff>104775</xdr:rowOff>
                  </to>
                </anchor>
              </controlPr>
            </control>
          </mc:Choice>
        </mc:AlternateContent>
        <mc:AlternateContent xmlns:mc="http://schemas.openxmlformats.org/markup-compatibility/2006">
          <mc:Choice Requires="x14">
            <control shapeId="1110" r:id="rId5" name="Button 86">
              <controlPr defaultSize="0" autoFill="0" autoPict="0" macro="[0]!ViewExplanation">
                <anchor moveWithCells="1" sizeWithCells="1">
                  <from>
                    <xdr:col>3</xdr:col>
                    <xdr:colOff>257175</xdr:colOff>
                    <xdr:row>10</xdr:row>
                    <xdr:rowOff>38100</xdr:rowOff>
                  </from>
                  <to>
                    <xdr:col>4</xdr:col>
                    <xdr:colOff>581025</xdr:colOff>
                    <xdr:row>13</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vt:i4>
      </vt:variant>
      <vt:variant>
        <vt:lpstr>Charts</vt:lpstr>
      </vt:variant>
      <vt:variant>
        <vt:i4>1</vt:i4>
      </vt:variant>
      <vt:variant>
        <vt:lpstr>Named Ranges</vt:lpstr>
      </vt:variant>
      <vt:variant>
        <vt:i4>11</vt:i4>
      </vt:variant>
    </vt:vector>
  </HeadingPairs>
  <TitlesOfParts>
    <vt:vector size="14" baseType="lpstr">
      <vt:lpstr>Explanation</vt:lpstr>
      <vt:lpstr>Model</vt:lpstr>
      <vt:lpstr>SensitivityChart</vt:lpstr>
      <vt:lpstr>Model!CertEquiv</vt:lpstr>
      <vt:lpstr>Model!ExpUtil</vt:lpstr>
      <vt:lpstr>Model!Gain</vt:lpstr>
      <vt:lpstr>Model!Loss</vt:lpstr>
      <vt:lpstr>Model!OrigGain</vt:lpstr>
      <vt:lpstr>Model!OrigLoss</vt:lpstr>
      <vt:lpstr>Model!PctGain</vt:lpstr>
      <vt:lpstr>Model!PctLoss</vt:lpstr>
      <vt:lpstr>Model!PrSuccess</vt:lpstr>
      <vt:lpstr>Model!RiskTol</vt:lpstr>
      <vt:lpstr>Model!Share</vt:lpstr>
    </vt:vector>
  </TitlesOfParts>
  <Company>Kelley School of Business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Albright</dc:creator>
  <cp:lastModifiedBy>Chris Albright</cp:lastModifiedBy>
  <cp:lastPrinted>2011-01-26T14:58:35Z</cp:lastPrinted>
  <dcterms:created xsi:type="dcterms:W3CDTF">2000-02-23T14:03:44Z</dcterms:created>
  <dcterms:modified xsi:type="dcterms:W3CDTF">2015-02-12T22:50:43Z</dcterms:modified>
</cp:coreProperties>
</file>