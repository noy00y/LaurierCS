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ris\Dropbox\My Books\VBA 5e\Example Files\Chapter 25\"/>
    </mc:Choice>
  </mc:AlternateContent>
  <bookViews>
    <workbookView xWindow="405" yWindow="120" windowWidth="8415" windowHeight="4455"/>
  </bookViews>
  <sheets>
    <sheet name="Explanation" sheetId="1" r:id="rId1"/>
    <sheet name="Module1" sheetId="2" state="veryHidden" r:id=""/>
    <sheet name="Inputs" sheetId="5" state="hidden" r:id="rId2"/>
    <sheet name="Model" sheetId="3" state="hidden" r:id="rId3"/>
    <sheet name="Replications" sheetId="6" state="hidden" r:id="rId4"/>
    <sheet name="Summary" sheetId="7" state="hidden" r:id="rId5"/>
    <sheet name="Histogram 1" sheetId="11" state="hidden" r:id="rId6"/>
    <sheet name="Histogram 2" sheetId="13" state="hidden" r:id="rId7"/>
    <sheet name="Histogram 3" sheetId="15" state="hidden" r:id="rId8"/>
    <sheet name="Histogram 4" sheetId="17" state="hidden" r:id="rId9"/>
    <sheet name="Histogram 5" sheetId="19" state="hidden" r:id="rId10"/>
  </sheets>
  <definedNames>
    <definedName name="__ChRange" localSheetId="6">'Histogram 1'!$B$3:$C$13</definedName>
    <definedName name="__ChRange" localSheetId="7">'Histogram 2'!$B$3:$C$13</definedName>
    <definedName name="__ChRange" localSheetId="8">'Histogram 3'!$B$3:$C$13</definedName>
    <definedName name="__ChRange" localSheetId="9">'Histogram 4'!$B$3:$C$13</definedName>
    <definedName name="__ChRange" localSheetId="10">'Histogram 5'!$B$3:$C$13</definedName>
    <definedName name="__UpLims" localSheetId="6">'Histogram 1'!$A$4:$A$12</definedName>
    <definedName name="__UpLims" localSheetId="7">'Histogram 2'!$A$4:$A$12</definedName>
    <definedName name="__UpLims" localSheetId="8">'Histogram 3'!$A$4:$A$12</definedName>
    <definedName name="__UpLims" localSheetId="9">'Histogram 4'!$A$4:$A$12</definedName>
    <definedName name="__UpLims" localSheetId="10">'Histogram 5'!$A$4:$A$12</definedName>
    <definedName name="BuyPct2">Inputs!$J$6</definedName>
    <definedName name="BuyPct3">Inputs!$J$5</definedName>
    <definedName name="Cum_gain_loss" localSheetId="4">Replications!$D$3:$D$253</definedName>
    <definedName name="CumGainLoss">Model!$B$6</definedName>
    <definedName name="Data" localSheetId="4">Replications!$A$4:$F$253</definedName>
    <definedName name="EndCash">Model!$B$4</definedName>
    <definedName name="Ending_cash" localSheetId="4">Replications!$B$3:$B$253</definedName>
    <definedName name="Ending_stock_value" localSheetId="4">Replications!$C$3:$C$253</definedName>
    <definedName name="EndStockVal">Model!$B$5</definedName>
    <definedName name="GrMean">Inputs!$B$8</definedName>
    <definedName name="GrStdev">Inputs!$B$9</definedName>
    <definedName name="InitCash">Inputs!$B$4</definedName>
    <definedName name="InitPrice">Inputs!$E$7</definedName>
    <definedName name="InitShares">Inputs!$B$5</definedName>
    <definedName name="Max_price" localSheetId="4">Replications!$F$3:$F$253</definedName>
    <definedName name="MaxPrice">Model!$B$8</definedName>
    <definedName name="Min_price" localSheetId="4">Replications!$E$3:$E$253</definedName>
    <definedName name="MinPrice">Model!$B$7</definedName>
    <definedName name="_xlnm.Print_Area" localSheetId="0">Explanation!$A$1:$K$19</definedName>
    <definedName name="_xlnm.Print_Area" localSheetId="8">'Histogram 3'!$A$1:$C$13</definedName>
    <definedName name="_xlnm.Print_Area" localSheetId="2">Inputs!$A$1:$L$20</definedName>
    <definedName name="_xlnm.Print_Area" localSheetId="3">Model!$A$1:$L$265</definedName>
    <definedName name="_xlnm.Print_Area" localSheetId="4">Replications!$A$1:$F$503</definedName>
    <definedName name="_xlnm.Print_Area" localSheetId="5">Summary!$A$1:$F$14</definedName>
    <definedName name="Replication" localSheetId="4">Replications!$A$3:$A$253</definedName>
    <definedName name="RepNumber">Explanation!$F$21</definedName>
    <definedName name="SellPct2">Inputs!$J$9</definedName>
    <definedName name="SellPct3">Inputs!$J$8</definedName>
  </definedNames>
  <calcPr calcId="152511"/>
</workbook>
</file>

<file path=xl/calcChain.xml><?xml version="1.0" encoding="utf-8"?>
<calcChain xmlns="http://schemas.openxmlformats.org/spreadsheetml/2006/main">
  <c r="C4" i="19" l="1" a="1"/>
  <c r="C6" i="19" s="1"/>
  <c r="C4" i="19"/>
  <c r="C5" i="19"/>
  <c r="C7" i="19"/>
  <c r="C8" i="19"/>
  <c r="C9" i="19"/>
  <c r="C12" i="19"/>
  <c r="C13" i="19"/>
  <c r="C4" i="17" a="1"/>
  <c r="C4" i="17"/>
  <c r="C5" i="17"/>
  <c r="C6" i="17"/>
  <c r="C7" i="17"/>
  <c r="C8" i="17"/>
  <c r="C9" i="17"/>
  <c r="C10" i="17"/>
  <c r="C11" i="17"/>
  <c r="C12" i="17"/>
  <c r="C13" i="17"/>
  <c r="C4" i="15" a="1"/>
  <c r="C6" i="15" s="1"/>
  <c r="C4" i="13" a="1"/>
  <c r="C5" i="13" s="1"/>
  <c r="C4" i="13"/>
  <c r="C8" i="13"/>
  <c r="C12" i="13"/>
  <c r="C4" i="11" a="1"/>
  <c r="C7" i="11" s="1"/>
  <c r="C4" i="11"/>
  <c r="C5" i="11"/>
  <c r="C8" i="11"/>
  <c r="C9" i="11"/>
  <c r="C12" i="11"/>
  <c r="C13" i="11"/>
  <c r="C11" i="13" l="1"/>
  <c r="C7" i="13"/>
  <c r="C10" i="13"/>
  <c r="C6" i="13"/>
  <c r="C13" i="15"/>
  <c r="C9" i="15"/>
  <c r="C5" i="15"/>
  <c r="C11" i="19"/>
  <c r="C10" i="11"/>
  <c r="C6" i="11"/>
  <c r="C13" i="13"/>
  <c r="C9" i="13"/>
  <c r="C12" i="15"/>
  <c r="C8" i="15"/>
  <c r="C4" i="15"/>
  <c r="C10" i="19"/>
  <c r="C11" i="15"/>
  <c r="C7" i="15"/>
  <c r="C10" i="15"/>
  <c r="C11" i="11"/>
  <c r="B12" i="5"/>
  <c r="B13" i="5"/>
  <c r="B16" i="3"/>
  <c r="B17" i="3" s="1"/>
  <c r="B18" i="3" s="1"/>
  <c r="C18" i="3" s="1"/>
  <c r="B15" i="3"/>
  <c r="B14" i="3"/>
  <c r="B13" i="3"/>
  <c r="C14" i="3" s="1"/>
  <c r="D16" i="3"/>
  <c r="H16" i="3"/>
  <c r="C16" i="3" l="1"/>
  <c r="C15" i="3"/>
  <c r="E16" i="3"/>
  <c r="B19" i="3"/>
  <c r="C17" i="3"/>
  <c r="B20" i="3" l="1"/>
  <c r="C19" i="3"/>
  <c r="F16" i="3"/>
  <c r="G16" i="3" s="1"/>
  <c r="F17" i="3"/>
  <c r="D17" i="3" l="1"/>
  <c r="K16" i="3"/>
  <c r="I16" i="3"/>
  <c r="J16" i="3" s="1"/>
  <c r="C20" i="3"/>
  <c r="B21" i="3"/>
  <c r="B22" i="3" l="1"/>
  <c r="C21" i="3"/>
  <c r="H17" i="3"/>
  <c r="L16" i="3"/>
  <c r="E17" i="3"/>
  <c r="I17" i="3" s="1"/>
  <c r="J17" i="3" l="1"/>
  <c r="H18" i="3" s="1"/>
  <c r="G17" i="3"/>
  <c r="D18" i="3" s="1"/>
  <c r="C22" i="3"/>
  <c r="B23" i="3"/>
  <c r="F18" i="3" l="1"/>
  <c r="K17" i="3"/>
  <c r="L17" i="3" s="1"/>
  <c r="B24" i="3"/>
  <c r="C23" i="3"/>
  <c r="E18" i="3"/>
  <c r="I18" i="3" l="1"/>
  <c r="J18" i="3" s="1"/>
  <c r="H19" i="3" s="1"/>
  <c r="G18" i="3"/>
  <c r="D19" i="3" s="1"/>
  <c r="C24" i="3"/>
  <c r="B25" i="3"/>
  <c r="K18" i="3" l="1"/>
  <c r="L18" i="3" s="1"/>
  <c r="F19" i="3"/>
  <c r="E19" i="3"/>
  <c r="B26" i="3"/>
  <c r="C25" i="3"/>
  <c r="I19" i="3" l="1"/>
  <c r="J19" i="3" s="1"/>
  <c r="H20" i="3" s="1"/>
  <c r="G19" i="3"/>
  <c r="C26" i="3"/>
  <c r="B27" i="3"/>
  <c r="B28" i="3" l="1"/>
  <c r="C27" i="3"/>
  <c r="K19" i="3"/>
  <c r="L19" i="3" s="1"/>
  <c r="D20" i="3"/>
  <c r="F20" i="3" s="1"/>
  <c r="E20" i="3" l="1"/>
  <c r="I20" i="3" s="1"/>
  <c r="J20" i="3" s="1"/>
  <c r="H21" i="3" s="1"/>
  <c r="C28" i="3"/>
  <c r="B29" i="3"/>
  <c r="G20" i="3" l="1"/>
  <c r="B30" i="3"/>
  <c r="C29" i="3"/>
  <c r="D21" i="3" l="1"/>
  <c r="F21" i="3" s="1"/>
  <c r="K20" i="3"/>
  <c r="L20" i="3" s="1"/>
  <c r="C30" i="3"/>
  <c r="B31" i="3"/>
  <c r="E21" i="3" l="1"/>
  <c r="I21" i="3" s="1"/>
  <c r="J21" i="3" s="1"/>
  <c r="B32" i="3"/>
  <c r="C31" i="3"/>
  <c r="H22" i="3" l="1"/>
  <c r="G21" i="3"/>
  <c r="C32" i="3"/>
  <c r="B33" i="3"/>
  <c r="K21" i="3" l="1"/>
  <c r="L21" i="3" s="1"/>
  <c r="D22" i="3"/>
  <c r="F22" i="3" s="1"/>
  <c r="B34" i="3"/>
  <c r="C33" i="3"/>
  <c r="E22" i="3" l="1"/>
  <c r="I22" i="3" s="1"/>
  <c r="J22" i="3" s="1"/>
  <c r="C34" i="3"/>
  <c r="B35" i="3"/>
  <c r="G22" i="3" l="1"/>
  <c r="H23" i="3"/>
  <c r="B36" i="3"/>
  <c r="C35" i="3"/>
  <c r="D23" i="3" l="1"/>
  <c r="F23" i="3" s="1"/>
  <c r="K22" i="3"/>
  <c r="L22" i="3" s="1"/>
  <c r="C36" i="3"/>
  <c r="B37" i="3"/>
  <c r="E23" i="3" l="1"/>
  <c r="I23" i="3" s="1"/>
  <c r="J23" i="3" s="1"/>
  <c r="H24" i="3" s="1"/>
  <c r="B38" i="3"/>
  <c r="C37" i="3"/>
  <c r="G23" i="3" l="1"/>
  <c r="C38" i="3"/>
  <c r="B39" i="3"/>
  <c r="D24" i="3" l="1"/>
  <c r="E24" i="3" s="1"/>
  <c r="K23" i="3"/>
  <c r="L23" i="3" s="1"/>
  <c r="B40" i="3"/>
  <c r="C39" i="3"/>
  <c r="F24" i="3" l="1"/>
  <c r="I24" i="3" s="1"/>
  <c r="J24" i="3" s="1"/>
  <c r="H25" i="3" s="1"/>
  <c r="B41" i="3"/>
  <c r="C40" i="3"/>
  <c r="G24" i="3" l="1"/>
  <c r="B42" i="3"/>
  <c r="C41" i="3"/>
  <c r="D25" i="3" l="1"/>
  <c r="K24" i="3"/>
  <c r="L24" i="3" s="1"/>
  <c r="B43" i="3"/>
  <c r="C42" i="3"/>
  <c r="E25" i="3" l="1"/>
  <c r="F25" i="3"/>
  <c r="B44" i="3"/>
  <c r="C43" i="3"/>
  <c r="G25" i="3" l="1"/>
  <c r="I25" i="3"/>
  <c r="J25" i="3" s="1"/>
  <c r="H26" i="3" s="1"/>
  <c r="B45" i="3"/>
  <c r="C44" i="3"/>
  <c r="K25" i="3" l="1"/>
  <c r="L25" i="3" s="1"/>
  <c r="D26" i="3"/>
  <c r="B46" i="3"/>
  <c r="C45" i="3"/>
  <c r="F26" i="3" l="1"/>
  <c r="E26" i="3"/>
  <c r="B47" i="3"/>
  <c r="C46" i="3"/>
  <c r="G26" i="3" l="1"/>
  <c r="D27" i="3" s="1"/>
  <c r="E27" i="3" s="1"/>
  <c r="I26" i="3"/>
  <c r="J26" i="3" s="1"/>
  <c r="H27" i="3" s="1"/>
  <c r="B48" i="3"/>
  <c r="C47" i="3"/>
  <c r="K26" i="3" l="1"/>
  <c r="L26" i="3" s="1"/>
  <c r="F27" i="3"/>
  <c r="G27" i="3" s="1"/>
  <c r="B49" i="3"/>
  <c r="C48" i="3"/>
  <c r="I27" i="3" l="1"/>
  <c r="J27" i="3" s="1"/>
  <c r="H28" i="3" s="1"/>
  <c r="D28" i="3"/>
  <c r="K27" i="3"/>
  <c r="B50" i="3"/>
  <c r="C49" i="3"/>
  <c r="L27" i="3" l="1"/>
  <c r="E28" i="3"/>
  <c r="F28" i="3"/>
  <c r="B51" i="3"/>
  <c r="C50" i="3"/>
  <c r="I28" i="3" l="1"/>
  <c r="J28" i="3" s="1"/>
  <c r="H29" i="3" s="1"/>
  <c r="G28" i="3"/>
  <c r="B52" i="3"/>
  <c r="C51" i="3"/>
  <c r="D29" i="3" l="1"/>
  <c r="K28" i="3"/>
  <c r="L28" i="3" s="1"/>
  <c r="B53" i="3"/>
  <c r="C52" i="3"/>
  <c r="F29" i="3" l="1"/>
  <c r="E29" i="3"/>
  <c r="B54" i="3"/>
  <c r="C53" i="3"/>
  <c r="G29" i="3" l="1"/>
  <c r="D30" i="3" s="1"/>
  <c r="E30" i="3" s="1"/>
  <c r="I29" i="3"/>
  <c r="J29" i="3" s="1"/>
  <c r="H30" i="3" s="1"/>
  <c r="B55" i="3"/>
  <c r="C54" i="3"/>
  <c r="K29" i="3" l="1"/>
  <c r="L29" i="3" s="1"/>
  <c r="F30" i="3"/>
  <c r="G30" i="3" s="1"/>
  <c r="B56" i="3"/>
  <c r="C55" i="3"/>
  <c r="I30" i="3" l="1"/>
  <c r="J30" i="3" s="1"/>
  <c r="H31" i="3" s="1"/>
  <c r="D31" i="3"/>
  <c r="E31" i="3" s="1"/>
  <c r="K30" i="3"/>
  <c r="B57" i="3"/>
  <c r="C56" i="3"/>
  <c r="L30" i="3" l="1"/>
  <c r="F31" i="3"/>
  <c r="I31" i="3" s="1"/>
  <c r="J31" i="3" s="1"/>
  <c r="H32" i="3" s="1"/>
  <c r="B58" i="3"/>
  <c r="C57" i="3"/>
  <c r="G31" i="3" l="1"/>
  <c r="B59" i="3"/>
  <c r="C58" i="3"/>
  <c r="K31" i="3" l="1"/>
  <c r="L31" i="3" s="1"/>
  <c r="D32" i="3"/>
  <c r="E32" i="3" s="1"/>
  <c r="B60" i="3"/>
  <c r="C59" i="3"/>
  <c r="F32" i="3" l="1"/>
  <c r="I32" i="3" s="1"/>
  <c r="J32" i="3" s="1"/>
  <c r="H33" i="3" s="1"/>
  <c r="B61" i="3"/>
  <c r="C60" i="3"/>
  <c r="G32" i="3" l="1"/>
  <c r="B62" i="3"/>
  <c r="C61" i="3"/>
  <c r="K32" i="3" l="1"/>
  <c r="L32" i="3" s="1"/>
  <c r="D33" i="3"/>
  <c r="E33" i="3" s="1"/>
  <c r="B63" i="3"/>
  <c r="C62" i="3"/>
  <c r="F33" i="3" l="1"/>
  <c r="I33" i="3" s="1"/>
  <c r="J33" i="3" s="1"/>
  <c r="H34" i="3" s="1"/>
  <c r="B64" i="3"/>
  <c r="C63" i="3"/>
  <c r="G33" i="3" l="1"/>
  <c r="B65" i="3"/>
  <c r="C64" i="3"/>
  <c r="D34" i="3" l="1"/>
  <c r="E34" i="3" s="1"/>
  <c r="K33" i="3"/>
  <c r="L33" i="3" s="1"/>
  <c r="B66" i="3"/>
  <c r="C65" i="3"/>
  <c r="F34" i="3" l="1"/>
  <c r="I34" i="3" s="1"/>
  <c r="J34" i="3" s="1"/>
  <c r="H35" i="3" s="1"/>
  <c r="B67" i="3"/>
  <c r="C66" i="3"/>
  <c r="G34" i="3" l="1"/>
  <c r="B68" i="3"/>
  <c r="C67" i="3"/>
  <c r="K34" i="3" l="1"/>
  <c r="L34" i="3" s="1"/>
  <c r="D35" i="3"/>
  <c r="E35" i="3" s="1"/>
  <c r="B69" i="3"/>
  <c r="C68" i="3"/>
  <c r="F35" i="3" l="1"/>
  <c r="I35" i="3" s="1"/>
  <c r="J35" i="3" s="1"/>
  <c r="H36" i="3" s="1"/>
  <c r="B70" i="3"/>
  <c r="C69" i="3"/>
  <c r="G35" i="3" l="1"/>
  <c r="B71" i="3"/>
  <c r="C70" i="3"/>
  <c r="K35" i="3" l="1"/>
  <c r="L35" i="3" s="1"/>
  <c r="D36" i="3"/>
  <c r="E36" i="3" s="1"/>
  <c r="B72" i="3"/>
  <c r="C71" i="3"/>
  <c r="F36" i="3" l="1"/>
  <c r="I36" i="3" s="1"/>
  <c r="J36" i="3" s="1"/>
  <c r="H37" i="3" s="1"/>
  <c r="B73" i="3"/>
  <c r="C72" i="3"/>
  <c r="G36" i="3" l="1"/>
  <c r="B74" i="3"/>
  <c r="C73" i="3"/>
  <c r="K36" i="3" l="1"/>
  <c r="L36" i="3" s="1"/>
  <c r="D37" i="3"/>
  <c r="F37" i="3" s="1"/>
  <c r="B75" i="3"/>
  <c r="C74" i="3"/>
  <c r="E37" i="3" l="1"/>
  <c r="I37" i="3" s="1"/>
  <c r="J37" i="3" s="1"/>
  <c r="H38" i="3" s="1"/>
  <c r="B76" i="3"/>
  <c r="C75" i="3"/>
  <c r="G37" i="3" l="1"/>
  <c r="B77" i="3"/>
  <c r="C76" i="3"/>
  <c r="D38" i="3" l="1"/>
  <c r="K37" i="3"/>
  <c r="L37" i="3" s="1"/>
  <c r="B78" i="3"/>
  <c r="C77" i="3"/>
  <c r="E38" i="3" l="1"/>
  <c r="F38" i="3"/>
  <c r="B79" i="3"/>
  <c r="C78" i="3"/>
  <c r="I38" i="3" l="1"/>
  <c r="J38" i="3" s="1"/>
  <c r="H39" i="3" s="1"/>
  <c r="G38" i="3"/>
  <c r="B80" i="3"/>
  <c r="C79" i="3"/>
  <c r="K38" i="3" l="1"/>
  <c r="L38" i="3" s="1"/>
  <c r="D39" i="3"/>
  <c r="B81" i="3"/>
  <c r="C80" i="3"/>
  <c r="F39" i="3" l="1"/>
  <c r="E39" i="3"/>
  <c r="B82" i="3"/>
  <c r="C81" i="3"/>
  <c r="I39" i="3" l="1"/>
  <c r="J39" i="3" s="1"/>
  <c r="H40" i="3" s="1"/>
  <c r="G39" i="3"/>
  <c r="B83" i="3"/>
  <c r="C82" i="3"/>
  <c r="K39" i="3" l="1"/>
  <c r="L39" i="3" s="1"/>
  <c r="D40" i="3"/>
  <c r="B84" i="3"/>
  <c r="C83" i="3"/>
  <c r="F40" i="3" l="1"/>
  <c r="E40" i="3"/>
  <c r="B85" i="3"/>
  <c r="C84" i="3"/>
  <c r="G40" i="3" l="1"/>
  <c r="K40" i="3" s="1"/>
  <c r="I40" i="3"/>
  <c r="J40" i="3" s="1"/>
  <c r="H41" i="3" s="1"/>
  <c r="B86" i="3"/>
  <c r="C85" i="3"/>
  <c r="D41" i="3" l="1"/>
  <c r="E41" i="3" s="1"/>
  <c r="L40" i="3"/>
  <c r="B87" i="3"/>
  <c r="C86" i="3"/>
  <c r="F41" i="3" l="1"/>
  <c r="G41" i="3" s="1"/>
  <c r="K41" i="3" s="1"/>
  <c r="B88" i="3"/>
  <c r="C87" i="3"/>
  <c r="I41" i="3" l="1"/>
  <c r="J41" i="3" s="1"/>
  <c r="H42" i="3" s="1"/>
  <c r="D42" i="3"/>
  <c r="E42" i="3" s="1"/>
  <c r="B89" i="3"/>
  <c r="C88" i="3"/>
  <c r="L41" i="3" l="1"/>
  <c r="F42" i="3"/>
  <c r="I42" i="3" s="1"/>
  <c r="J42" i="3" s="1"/>
  <c r="H43" i="3" s="1"/>
  <c r="B90" i="3"/>
  <c r="C89" i="3"/>
  <c r="G42" i="3" l="1"/>
  <c r="D43" i="3" s="1"/>
  <c r="F43" i="3" s="1"/>
  <c r="B91" i="3"/>
  <c r="C90" i="3"/>
  <c r="K42" i="3" l="1"/>
  <c r="L42" i="3" s="1"/>
  <c r="E43" i="3"/>
  <c r="I43" i="3" s="1"/>
  <c r="J43" i="3" s="1"/>
  <c r="H44" i="3" s="1"/>
  <c r="B92" i="3"/>
  <c r="C91" i="3"/>
  <c r="G43" i="3" l="1"/>
  <c r="B93" i="3"/>
  <c r="C92" i="3"/>
  <c r="K43" i="3" l="1"/>
  <c r="L43" i="3" s="1"/>
  <c r="D44" i="3"/>
  <c r="B94" i="3"/>
  <c r="C93" i="3"/>
  <c r="F44" i="3" l="1"/>
  <c r="E44" i="3"/>
  <c r="B95" i="3"/>
  <c r="C94" i="3"/>
  <c r="I44" i="3" l="1"/>
  <c r="J44" i="3" s="1"/>
  <c r="H45" i="3" s="1"/>
  <c r="G44" i="3"/>
  <c r="B96" i="3"/>
  <c r="C95" i="3"/>
  <c r="D45" i="3" l="1"/>
  <c r="F45" i="3" s="1"/>
  <c r="K44" i="3"/>
  <c r="L44" i="3" s="1"/>
  <c r="B97" i="3"/>
  <c r="C96" i="3"/>
  <c r="E45" i="3" l="1"/>
  <c r="I45" i="3" s="1"/>
  <c r="J45" i="3" s="1"/>
  <c r="H46" i="3" s="1"/>
  <c r="B98" i="3"/>
  <c r="C97" i="3"/>
  <c r="G45" i="3" l="1"/>
  <c r="B99" i="3"/>
  <c r="C98" i="3"/>
  <c r="D46" i="3" l="1"/>
  <c r="K45" i="3"/>
  <c r="L45" i="3" s="1"/>
  <c r="B100" i="3"/>
  <c r="C99" i="3"/>
  <c r="E46" i="3" l="1"/>
  <c r="F46" i="3"/>
  <c r="B101" i="3"/>
  <c r="C100" i="3"/>
  <c r="I46" i="3" l="1"/>
  <c r="J46" i="3" s="1"/>
  <c r="H47" i="3" s="1"/>
  <c r="G46" i="3"/>
  <c r="B102" i="3"/>
  <c r="C101" i="3"/>
  <c r="K46" i="3" l="1"/>
  <c r="L46" i="3" s="1"/>
  <c r="D47" i="3"/>
  <c r="F47" i="3" s="1"/>
  <c r="B103" i="3"/>
  <c r="C102" i="3"/>
  <c r="E47" i="3" l="1"/>
  <c r="I47" i="3" s="1"/>
  <c r="J47" i="3" s="1"/>
  <c r="H48" i="3" s="1"/>
  <c r="B104" i="3"/>
  <c r="C103" i="3"/>
  <c r="G47" i="3" l="1"/>
  <c r="B105" i="3"/>
  <c r="C104" i="3"/>
  <c r="D48" i="3" l="1"/>
  <c r="F48" i="3" s="1"/>
  <c r="K47" i="3"/>
  <c r="L47" i="3" s="1"/>
  <c r="B106" i="3"/>
  <c r="C105" i="3"/>
  <c r="E48" i="3" l="1"/>
  <c r="I48" i="3" s="1"/>
  <c r="J48" i="3" s="1"/>
  <c r="H49" i="3" s="1"/>
  <c r="B107" i="3"/>
  <c r="C106" i="3"/>
  <c r="G48" i="3" l="1"/>
  <c r="B108" i="3"/>
  <c r="C107" i="3"/>
  <c r="D49" i="3" l="1"/>
  <c r="E49" i="3" s="1"/>
  <c r="K48" i="3"/>
  <c r="L48" i="3" s="1"/>
  <c r="B109" i="3"/>
  <c r="C108" i="3"/>
  <c r="F49" i="3" l="1"/>
  <c r="I49" i="3" s="1"/>
  <c r="J49" i="3" s="1"/>
  <c r="H50" i="3" s="1"/>
  <c r="B110" i="3"/>
  <c r="C109" i="3"/>
  <c r="G49" i="3" l="1"/>
  <c r="B111" i="3"/>
  <c r="C110" i="3"/>
  <c r="D50" i="3" l="1"/>
  <c r="E50" i="3" s="1"/>
  <c r="K49" i="3"/>
  <c r="L49" i="3" s="1"/>
  <c r="B112" i="3"/>
  <c r="C111" i="3"/>
  <c r="F50" i="3" l="1"/>
  <c r="I50" i="3" s="1"/>
  <c r="J50" i="3" s="1"/>
  <c r="H51" i="3" s="1"/>
  <c r="B113" i="3"/>
  <c r="C112" i="3"/>
  <c r="G50" i="3" l="1"/>
  <c r="B114" i="3"/>
  <c r="C113" i="3"/>
  <c r="K50" i="3" l="1"/>
  <c r="L50" i="3" s="1"/>
  <c r="D51" i="3"/>
  <c r="E51" i="3" s="1"/>
  <c r="B115" i="3"/>
  <c r="C114" i="3"/>
  <c r="F51" i="3" l="1"/>
  <c r="I51" i="3" s="1"/>
  <c r="J51" i="3" s="1"/>
  <c r="H52" i="3" s="1"/>
  <c r="B116" i="3"/>
  <c r="C115" i="3"/>
  <c r="G51" i="3" l="1"/>
  <c r="B117" i="3"/>
  <c r="C116" i="3"/>
  <c r="K51" i="3" l="1"/>
  <c r="L51" i="3" s="1"/>
  <c r="D52" i="3"/>
  <c r="E52" i="3" s="1"/>
  <c r="B118" i="3"/>
  <c r="C117" i="3"/>
  <c r="F52" i="3" l="1"/>
  <c r="I52" i="3" s="1"/>
  <c r="J52" i="3" s="1"/>
  <c r="H53" i="3" s="1"/>
  <c r="B119" i="3"/>
  <c r="C118" i="3"/>
  <c r="G52" i="3" l="1"/>
  <c r="B120" i="3"/>
  <c r="C119" i="3"/>
  <c r="K52" i="3" l="1"/>
  <c r="L52" i="3" s="1"/>
  <c r="D53" i="3"/>
  <c r="F53" i="3" s="1"/>
  <c r="B121" i="3"/>
  <c r="C120" i="3"/>
  <c r="E53" i="3" l="1"/>
  <c r="I53" i="3" s="1"/>
  <c r="J53" i="3" s="1"/>
  <c r="H54" i="3" s="1"/>
  <c r="B122" i="3"/>
  <c r="C121" i="3"/>
  <c r="G53" i="3" l="1"/>
  <c r="B123" i="3"/>
  <c r="C122" i="3"/>
  <c r="D54" i="3" l="1"/>
  <c r="K53" i="3"/>
  <c r="L53" i="3" s="1"/>
  <c r="B124" i="3"/>
  <c r="C123" i="3"/>
  <c r="E54" i="3" l="1"/>
  <c r="F54" i="3"/>
  <c r="B125" i="3"/>
  <c r="C124" i="3"/>
  <c r="I54" i="3" l="1"/>
  <c r="J54" i="3" s="1"/>
  <c r="H55" i="3" s="1"/>
  <c r="G54" i="3"/>
  <c r="B126" i="3"/>
  <c r="C125" i="3"/>
  <c r="D55" i="3" l="1"/>
  <c r="K54" i="3"/>
  <c r="L54" i="3" s="1"/>
  <c r="B127" i="3"/>
  <c r="C126" i="3"/>
  <c r="E55" i="3" l="1"/>
  <c r="F55" i="3"/>
  <c r="B128" i="3"/>
  <c r="C127" i="3"/>
  <c r="G55" i="3" l="1"/>
  <c r="K55" i="3" s="1"/>
  <c r="I55" i="3"/>
  <c r="J55" i="3" s="1"/>
  <c r="H56" i="3" s="1"/>
  <c r="B129" i="3"/>
  <c r="C128" i="3"/>
  <c r="D56" i="3" l="1"/>
  <c r="F56" i="3" s="1"/>
  <c r="L55" i="3"/>
  <c r="B130" i="3"/>
  <c r="C129" i="3"/>
  <c r="E56" i="3" l="1"/>
  <c r="I56" i="3" s="1"/>
  <c r="J56" i="3" s="1"/>
  <c r="H57" i="3" s="1"/>
  <c r="B131" i="3"/>
  <c r="C130" i="3"/>
  <c r="G56" i="3" l="1"/>
  <c r="D57" i="3" s="1"/>
  <c r="E57" i="3" s="1"/>
  <c r="B132" i="3"/>
  <c r="C131" i="3"/>
  <c r="K56" i="3" l="1"/>
  <c r="L56" i="3" s="1"/>
  <c r="F57" i="3"/>
  <c r="I57" i="3" s="1"/>
  <c r="J57" i="3" s="1"/>
  <c r="H58" i="3" s="1"/>
  <c r="B133" i="3"/>
  <c r="C132" i="3"/>
  <c r="G57" i="3" l="1"/>
  <c r="B134" i="3"/>
  <c r="C133" i="3"/>
  <c r="K57" i="3" l="1"/>
  <c r="L57" i="3" s="1"/>
  <c r="D58" i="3"/>
  <c r="E58" i="3" s="1"/>
  <c r="B135" i="3"/>
  <c r="C134" i="3"/>
  <c r="F58" i="3" l="1"/>
  <c r="I58" i="3" s="1"/>
  <c r="J58" i="3" s="1"/>
  <c r="H59" i="3" s="1"/>
  <c r="B136" i="3"/>
  <c r="C135" i="3"/>
  <c r="G58" i="3" l="1"/>
  <c r="B137" i="3"/>
  <c r="C136" i="3"/>
  <c r="K58" i="3" l="1"/>
  <c r="L58" i="3" s="1"/>
  <c r="D59" i="3"/>
  <c r="F59" i="3" s="1"/>
  <c r="B138" i="3"/>
  <c r="C137" i="3"/>
  <c r="E59" i="3" l="1"/>
  <c r="I59" i="3" s="1"/>
  <c r="J59" i="3" s="1"/>
  <c r="H60" i="3" s="1"/>
  <c r="B139" i="3"/>
  <c r="C138" i="3"/>
  <c r="G59" i="3" l="1"/>
  <c r="B140" i="3"/>
  <c r="C139" i="3"/>
  <c r="K59" i="3" l="1"/>
  <c r="L59" i="3" s="1"/>
  <c r="D60" i="3"/>
  <c r="F60" i="3" s="1"/>
  <c r="B141" i="3"/>
  <c r="C140" i="3"/>
  <c r="E60" i="3" l="1"/>
  <c r="I60" i="3" s="1"/>
  <c r="J60" i="3" s="1"/>
  <c r="H61" i="3" s="1"/>
  <c r="B142" i="3"/>
  <c r="C141" i="3"/>
  <c r="G60" i="3" l="1"/>
  <c r="B143" i="3"/>
  <c r="C142" i="3"/>
  <c r="K60" i="3" l="1"/>
  <c r="L60" i="3" s="1"/>
  <c r="D61" i="3"/>
  <c r="B144" i="3"/>
  <c r="C143" i="3"/>
  <c r="E61" i="3" l="1"/>
  <c r="F61" i="3"/>
  <c r="B145" i="3"/>
  <c r="C144" i="3"/>
  <c r="I61" i="3" l="1"/>
  <c r="J61" i="3" s="1"/>
  <c r="H62" i="3" s="1"/>
  <c r="G61" i="3"/>
  <c r="B146" i="3"/>
  <c r="C145" i="3"/>
  <c r="D62" i="3" l="1"/>
  <c r="K61" i="3"/>
  <c r="L61" i="3" s="1"/>
  <c r="B147" i="3"/>
  <c r="C146" i="3"/>
  <c r="F62" i="3" l="1"/>
  <c r="E62" i="3"/>
  <c r="B148" i="3"/>
  <c r="C147" i="3"/>
  <c r="I62" i="3" l="1"/>
  <c r="J62" i="3" s="1"/>
  <c r="H63" i="3" s="1"/>
  <c r="G62" i="3"/>
  <c r="B149" i="3"/>
  <c r="C148" i="3"/>
  <c r="K62" i="3" l="1"/>
  <c r="L62" i="3" s="1"/>
  <c r="D63" i="3"/>
  <c r="B150" i="3"/>
  <c r="C149" i="3"/>
  <c r="E63" i="3" l="1"/>
  <c r="F63" i="3"/>
  <c r="B151" i="3"/>
  <c r="C150" i="3"/>
  <c r="G63" i="3" l="1"/>
  <c r="I63" i="3"/>
  <c r="J63" i="3" s="1"/>
  <c r="H64" i="3" s="1"/>
  <c r="B152" i="3"/>
  <c r="C151" i="3"/>
  <c r="K63" i="3" l="1"/>
  <c r="L63" i="3" s="1"/>
  <c r="D64" i="3"/>
  <c r="B153" i="3"/>
  <c r="C152" i="3"/>
  <c r="F64" i="3" l="1"/>
  <c r="E64" i="3"/>
  <c r="B154" i="3"/>
  <c r="C153" i="3"/>
  <c r="G64" i="3" l="1"/>
  <c r="D65" i="3" s="1"/>
  <c r="E65" i="3" s="1"/>
  <c r="I64" i="3"/>
  <c r="J64" i="3" s="1"/>
  <c r="H65" i="3" s="1"/>
  <c r="B155" i="3"/>
  <c r="C154" i="3"/>
  <c r="F65" i="3" l="1"/>
  <c r="G65" i="3" s="1"/>
  <c r="K64" i="3"/>
  <c r="L64" i="3" s="1"/>
  <c r="B156" i="3"/>
  <c r="C155" i="3"/>
  <c r="I65" i="3" l="1"/>
  <c r="J65" i="3" s="1"/>
  <c r="H66" i="3" s="1"/>
  <c r="K65" i="3"/>
  <c r="D66" i="3"/>
  <c r="E66" i="3" s="1"/>
  <c r="B157" i="3"/>
  <c r="C156" i="3"/>
  <c r="L65" i="3" l="1"/>
  <c r="F66" i="3"/>
  <c r="I66" i="3" s="1"/>
  <c r="J66" i="3" s="1"/>
  <c r="H67" i="3" s="1"/>
  <c r="B158" i="3"/>
  <c r="C157" i="3"/>
  <c r="G66" i="3" l="1"/>
  <c r="B159" i="3"/>
  <c r="C158" i="3"/>
  <c r="K66" i="3" l="1"/>
  <c r="L66" i="3" s="1"/>
  <c r="D67" i="3"/>
  <c r="F67" i="3" s="1"/>
  <c r="B160" i="3"/>
  <c r="C159" i="3"/>
  <c r="E67" i="3" l="1"/>
  <c r="I67" i="3" s="1"/>
  <c r="J67" i="3" s="1"/>
  <c r="H68" i="3" s="1"/>
  <c r="B161" i="3"/>
  <c r="C160" i="3"/>
  <c r="G67" i="3" l="1"/>
  <c r="B162" i="3"/>
  <c r="C161" i="3"/>
  <c r="K67" i="3" l="1"/>
  <c r="L67" i="3" s="1"/>
  <c r="D68" i="3"/>
  <c r="B163" i="3"/>
  <c r="C162" i="3"/>
  <c r="E68" i="3" l="1"/>
  <c r="F68" i="3"/>
  <c r="B164" i="3"/>
  <c r="C163" i="3"/>
  <c r="G68" i="3" l="1"/>
  <c r="K68" i="3" s="1"/>
  <c r="I68" i="3"/>
  <c r="J68" i="3" s="1"/>
  <c r="H69" i="3" s="1"/>
  <c r="B165" i="3"/>
  <c r="C164" i="3"/>
  <c r="D69" i="3" l="1"/>
  <c r="L68" i="3"/>
  <c r="B166" i="3"/>
  <c r="C165" i="3"/>
  <c r="F69" i="3" l="1"/>
  <c r="E69" i="3"/>
  <c r="B167" i="3"/>
  <c r="C166" i="3"/>
  <c r="I69" i="3" l="1"/>
  <c r="J69" i="3" s="1"/>
  <c r="H70" i="3" s="1"/>
  <c r="G69" i="3"/>
  <c r="B168" i="3"/>
  <c r="C167" i="3"/>
  <c r="D70" i="3" l="1"/>
  <c r="K69" i="3"/>
  <c r="L69" i="3" s="1"/>
  <c r="B169" i="3"/>
  <c r="C168" i="3"/>
  <c r="F70" i="3" l="1"/>
  <c r="E70" i="3"/>
  <c r="B170" i="3"/>
  <c r="C169" i="3"/>
  <c r="G70" i="3" l="1"/>
  <c r="K70" i="3" s="1"/>
  <c r="I70" i="3"/>
  <c r="J70" i="3" s="1"/>
  <c r="B171" i="3"/>
  <c r="C170" i="3"/>
  <c r="D71" i="3" l="1"/>
  <c r="E71" i="3" s="1"/>
  <c r="H71" i="3"/>
  <c r="L70" i="3"/>
  <c r="B172" i="3"/>
  <c r="C171" i="3"/>
  <c r="F71" i="3" l="1"/>
  <c r="G71" i="3" s="1"/>
  <c r="B173" i="3"/>
  <c r="C172" i="3"/>
  <c r="I71" i="3" l="1"/>
  <c r="J71" i="3" s="1"/>
  <c r="H72" i="3" s="1"/>
  <c r="D72" i="3"/>
  <c r="K71" i="3"/>
  <c r="B174" i="3"/>
  <c r="C173" i="3"/>
  <c r="L71" i="3" l="1"/>
  <c r="E72" i="3"/>
  <c r="F72" i="3"/>
  <c r="B175" i="3"/>
  <c r="C174" i="3"/>
  <c r="I72" i="3" l="1"/>
  <c r="J72" i="3" s="1"/>
  <c r="H73" i="3" s="1"/>
  <c r="G72" i="3"/>
  <c r="B176" i="3"/>
  <c r="C175" i="3"/>
  <c r="K72" i="3" l="1"/>
  <c r="L72" i="3" s="1"/>
  <c r="D73" i="3"/>
  <c r="B177" i="3"/>
  <c r="C176" i="3"/>
  <c r="F73" i="3" l="1"/>
  <c r="E73" i="3"/>
  <c r="B178" i="3"/>
  <c r="C177" i="3"/>
  <c r="I73" i="3" l="1"/>
  <c r="J73" i="3" s="1"/>
  <c r="H74" i="3" s="1"/>
  <c r="G73" i="3"/>
  <c r="B179" i="3"/>
  <c r="C178" i="3"/>
  <c r="K73" i="3" l="1"/>
  <c r="L73" i="3" s="1"/>
  <c r="D74" i="3"/>
  <c r="B180" i="3"/>
  <c r="C179" i="3"/>
  <c r="F74" i="3" l="1"/>
  <c r="E74" i="3"/>
  <c r="B181" i="3"/>
  <c r="C180" i="3"/>
  <c r="G74" i="3" l="1"/>
  <c r="K74" i="3" s="1"/>
  <c r="I74" i="3"/>
  <c r="J74" i="3" s="1"/>
  <c r="H75" i="3" s="1"/>
  <c r="B182" i="3"/>
  <c r="C181" i="3"/>
  <c r="D75" i="3" l="1"/>
  <c r="L74" i="3"/>
  <c r="B183" i="3"/>
  <c r="C182" i="3"/>
  <c r="F75" i="3" l="1"/>
  <c r="E75" i="3"/>
  <c r="B184" i="3"/>
  <c r="C183" i="3"/>
  <c r="G75" i="3" l="1"/>
  <c r="K75" i="3" s="1"/>
  <c r="I75" i="3"/>
  <c r="J75" i="3" s="1"/>
  <c r="B185" i="3"/>
  <c r="C184" i="3"/>
  <c r="D76" i="3" l="1"/>
  <c r="E76" i="3" s="1"/>
  <c r="H76" i="3"/>
  <c r="L75" i="3"/>
  <c r="B186" i="3"/>
  <c r="C185" i="3"/>
  <c r="F76" i="3" l="1"/>
  <c r="G76" i="3" s="1"/>
  <c r="D77" i="3" s="1"/>
  <c r="B187" i="3"/>
  <c r="C186" i="3"/>
  <c r="E77" i="3" l="1"/>
  <c r="I76" i="3"/>
  <c r="J76" i="3" s="1"/>
  <c r="H77" i="3" s="1"/>
  <c r="F77" i="3" s="1"/>
  <c r="K76" i="3"/>
  <c r="B188" i="3"/>
  <c r="C187" i="3"/>
  <c r="L76" i="3" l="1"/>
  <c r="G77" i="3"/>
  <c r="I77" i="3"/>
  <c r="J77" i="3" s="1"/>
  <c r="B189" i="3"/>
  <c r="C188" i="3"/>
  <c r="K77" i="3" l="1"/>
  <c r="L77" i="3" s="1"/>
  <c r="D78" i="3"/>
  <c r="H78" i="3"/>
  <c r="B190" i="3"/>
  <c r="C189" i="3"/>
  <c r="E78" i="3" l="1"/>
  <c r="F78" i="3"/>
  <c r="B191" i="3"/>
  <c r="C190" i="3"/>
  <c r="G78" i="3" l="1"/>
  <c r="D79" i="3" s="1"/>
  <c r="I78" i="3"/>
  <c r="J78" i="3" s="1"/>
  <c r="H79" i="3" s="1"/>
  <c r="B192" i="3"/>
  <c r="C191" i="3"/>
  <c r="K78" i="3" l="1"/>
  <c r="L78" i="3" s="1"/>
  <c r="E79" i="3"/>
  <c r="F79" i="3"/>
  <c r="B193" i="3"/>
  <c r="C192" i="3"/>
  <c r="I79" i="3" l="1"/>
  <c r="J79" i="3" s="1"/>
  <c r="H80" i="3" s="1"/>
  <c r="G79" i="3"/>
  <c r="B194" i="3"/>
  <c r="C193" i="3"/>
  <c r="K79" i="3" l="1"/>
  <c r="L79" i="3" s="1"/>
  <c r="D80" i="3"/>
  <c r="B195" i="3"/>
  <c r="C194" i="3"/>
  <c r="E80" i="3" l="1"/>
  <c r="F80" i="3"/>
  <c r="B196" i="3"/>
  <c r="C195" i="3"/>
  <c r="I80" i="3" l="1"/>
  <c r="J80" i="3" s="1"/>
  <c r="H81" i="3" s="1"/>
  <c r="G80" i="3"/>
  <c r="B197" i="3"/>
  <c r="C196" i="3"/>
  <c r="D81" i="3" l="1"/>
  <c r="F81" i="3" s="1"/>
  <c r="K80" i="3"/>
  <c r="L80" i="3" s="1"/>
  <c r="B198" i="3"/>
  <c r="C197" i="3"/>
  <c r="E81" i="3" l="1"/>
  <c r="I81" i="3" s="1"/>
  <c r="J81" i="3" s="1"/>
  <c r="H82" i="3" s="1"/>
  <c r="B199" i="3"/>
  <c r="C198" i="3"/>
  <c r="G81" i="3" l="1"/>
  <c r="B200" i="3"/>
  <c r="C199" i="3"/>
  <c r="K81" i="3" l="1"/>
  <c r="L81" i="3" s="1"/>
  <c r="D82" i="3"/>
  <c r="F82" i="3" s="1"/>
  <c r="B201" i="3"/>
  <c r="C200" i="3"/>
  <c r="E82" i="3" l="1"/>
  <c r="I82" i="3" s="1"/>
  <c r="J82" i="3" s="1"/>
  <c r="H83" i="3" s="1"/>
  <c r="B202" i="3"/>
  <c r="C201" i="3"/>
  <c r="G82" i="3" l="1"/>
  <c r="B203" i="3"/>
  <c r="C202" i="3"/>
  <c r="K82" i="3" l="1"/>
  <c r="L82" i="3" s="1"/>
  <c r="D83" i="3"/>
  <c r="F83" i="3" s="1"/>
  <c r="B204" i="3"/>
  <c r="C203" i="3"/>
  <c r="E83" i="3" l="1"/>
  <c r="I83" i="3" s="1"/>
  <c r="J83" i="3" s="1"/>
  <c r="H84" i="3" s="1"/>
  <c r="B205" i="3"/>
  <c r="C204" i="3"/>
  <c r="G83" i="3" l="1"/>
  <c r="B206" i="3"/>
  <c r="C205" i="3"/>
  <c r="K83" i="3" l="1"/>
  <c r="L83" i="3" s="1"/>
  <c r="D84" i="3"/>
  <c r="F84" i="3" s="1"/>
  <c r="B207" i="3"/>
  <c r="C206" i="3"/>
  <c r="E84" i="3" l="1"/>
  <c r="I84" i="3" s="1"/>
  <c r="J84" i="3" s="1"/>
  <c r="H85" i="3" s="1"/>
  <c r="B208" i="3"/>
  <c r="C207" i="3"/>
  <c r="G84" i="3" l="1"/>
  <c r="B209" i="3"/>
  <c r="C208" i="3"/>
  <c r="D85" i="3" l="1"/>
  <c r="F85" i="3" s="1"/>
  <c r="K84" i="3"/>
  <c r="L84" i="3" s="1"/>
  <c r="B210" i="3"/>
  <c r="C209" i="3"/>
  <c r="E85" i="3" l="1"/>
  <c r="I85" i="3" s="1"/>
  <c r="J85" i="3" s="1"/>
  <c r="H86" i="3" s="1"/>
  <c r="B211" i="3"/>
  <c r="C210" i="3"/>
  <c r="G85" i="3" l="1"/>
  <c r="B212" i="3"/>
  <c r="C211" i="3"/>
  <c r="K85" i="3" l="1"/>
  <c r="L85" i="3" s="1"/>
  <c r="D86" i="3"/>
  <c r="B213" i="3"/>
  <c r="C212" i="3"/>
  <c r="F86" i="3" l="1"/>
  <c r="E86" i="3"/>
  <c r="B214" i="3"/>
  <c r="C213" i="3"/>
  <c r="I86" i="3" l="1"/>
  <c r="J86" i="3" s="1"/>
  <c r="H87" i="3" s="1"/>
  <c r="G86" i="3"/>
  <c r="K86" i="3" s="1"/>
  <c r="B215" i="3"/>
  <c r="C214" i="3"/>
  <c r="L86" i="3" l="1"/>
  <c r="D87" i="3"/>
  <c r="E87" i="3" s="1"/>
  <c r="B216" i="3"/>
  <c r="C215" i="3"/>
  <c r="F87" i="3" l="1"/>
  <c r="I87" i="3" s="1"/>
  <c r="J87" i="3" s="1"/>
  <c r="H88" i="3" s="1"/>
  <c r="B217" i="3"/>
  <c r="C216" i="3"/>
  <c r="G87" i="3" l="1"/>
  <c r="K87" i="3" s="1"/>
  <c r="L87" i="3" s="1"/>
  <c r="B218" i="3"/>
  <c r="C217" i="3"/>
  <c r="D88" i="3" l="1"/>
  <c r="E88" i="3" s="1"/>
  <c r="B219" i="3"/>
  <c r="C218" i="3"/>
  <c r="F88" i="3" l="1"/>
  <c r="G88" i="3" s="1"/>
  <c r="B220" i="3"/>
  <c r="C219" i="3"/>
  <c r="I88" i="3" l="1"/>
  <c r="J88" i="3" s="1"/>
  <c r="H89" i="3" s="1"/>
  <c r="D89" i="3"/>
  <c r="K88" i="3"/>
  <c r="B221" i="3"/>
  <c r="C220" i="3"/>
  <c r="L88" i="3" l="1"/>
  <c r="E89" i="3"/>
  <c r="F89" i="3"/>
  <c r="B222" i="3"/>
  <c r="C221" i="3"/>
  <c r="I89" i="3" l="1"/>
  <c r="J89" i="3" s="1"/>
  <c r="H90" i="3" s="1"/>
  <c r="G89" i="3"/>
  <c r="B223" i="3"/>
  <c r="C222" i="3"/>
  <c r="D90" i="3" l="1"/>
  <c r="E90" i="3" s="1"/>
  <c r="K89" i="3"/>
  <c r="L89" i="3" s="1"/>
  <c r="B224" i="3"/>
  <c r="C223" i="3"/>
  <c r="F90" i="3" l="1"/>
  <c r="I90" i="3" s="1"/>
  <c r="J90" i="3" s="1"/>
  <c r="H91" i="3" s="1"/>
  <c r="B225" i="3"/>
  <c r="C224" i="3"/>
  <c r="G90" i="3" l="1"/>
  <c r="B226" i="3"/>
  <c r="C225" i="3"/>
  <c r="D91" i="3" l="1"/>
  <c r="E91" i="3" s="1"/>
  <c r="K90" i="3"/>
  <c r="L90" i="3" s="1"/>
  <c r="B227" i="3"/>
  <c r="C226" i="3"/>
  <c r="F91" i="3" l="1"/>
  <c r="I91" i="3" s="1"/>
  <c r="J91" i="3" s="1"/>
  <c r="H92" i="3" s="1"/>
  <c r="B228" i="3"/>
  <c r="C227" i="3"/>
  <c r="G91" i="3" l="1"/>
  <c r="B229" i="3"/>
  <c r="C228" i="3"/>
  <c r="K91" i="3" l="1"/>
  <c r="L91" i="3" s="1"/>
  <c r="D92" i="3"/>
  <c r="F92" i="3" s="1"/>
  <c r="B230" i="3"/>
  <c r="C229" i="3"/>
  <c r="E92" i="3" l="1"/>
  <c r="I92" i="3" s="1"/>
  <c r="J92" i="3" s="1"/>
  <c r="H93" i="3" s="1"/>
  <c r="B231" i="3"/>
  <c r="C230" i="3"/>
  <c r="G92" i="3" l="1"/>
  <c r="B232" i="3"/>
  <c r="C231" i="3"/>
  <c r="K92" i="3" l="1"/>
  <c r="L92" i="3" s="1"/>
  <c r="D93" i="3"/>
  <c r="F93" i="3" s="1"/>
  <c r="B233" i="3"/>
  <c r="C232" i="3"/>
  <c r="E93" i="3" l="1"/>
  <c r="I93" i="3" s="1"/>
  <c r="J93" i="3" s="1"/>
  <c r="H94" i="3" s="1"/>
  <c r="B234" i="3"/>
  <c r="C233" i="3"/>
  <c r="G93" i="3" l="1"/>
  <c r="B235" i="3"/>
  <c r="C234" i="3"/>
  <c r="D94" i="3" l="1"/>
  <c r="K93" i="3"/>
  <c r="L93" i="3" s="1"/>
  <c r="B236" i="3"/>
  <c r="C235" i="3"/>
  <c r="F94" i="3" l="1"/>
  <c r="E94" i="3"/>
  <c r="B237" i="3"/>
  <c r="C236" i="3"/>
  <c r="I94" i="3" l="1"/>
  <c r="J94" i="3" s="1"/>
  <c r="H95" i="3" s="1"/>
  <c r="G94" i="3"/>
  <c r="B238" i="3"/>
  <c r="C237" i="3"/>
  <c r="K94" i="3" l="1"/>
  <c r="L94" i="3" s="1"/>
  <c r="D95" i="3"/>
  <c r="F95" i="3" s="1"/>
  <c r="B239" i="3"/>
  <c r="C238" i="3"/>
  <c r="E95" i="3" l="1"/>
  <c r="I95" i="3" s="1"/>
  <c r="J95" i="3" s="1"/>
  <c r="H96" i="3" s="1"/>
  <c r="B240" i="3"/>
  <c r="C239" i="3"/>
  <c r="G95" i="3" l="1"/>
  <c r="B241" i="3"/>
  <c r="C240" i="3"/>
  <c r="K95" i="3" l="1"/>
  <c r="L95" i="3" s="1"/>
  <c r="D96" i="3"/>
  <c r="E96" i="3" s="1"/>
  <c r="B242" i="3"/>
  <c r="C241" i="3"/>
  <c r="F96" i="3" l="1"/>
  <c r="I96" i="3" s="1"/>
  <c r="J96" i="3" s="1"/>
  <c r="H97" i="3" s="1"/>
  <c r="B243" i="3"/>
  <c r="C242" i="3"/>
  <c r="G96" i="3" l="1"/>
  <c r="B244" i="3"/>
  <c r="C243" i="3"/>
  <c r="K96" i="3" l="1"/>
  <c r="L96" i="3" s="1"/>
  <c r="D97" i="3"/>
  <c r="B245" i="3"/>
  <c r="C244" i="3"/>
  <c r="F97" i="3" l="1"/>
  <c r="E97" i="3"/>
  <c r="B246" i="3"/>
  <c r="C245" i="3"/>
  <c r="G97" i="3" l="1"/>
  <c r="D98" i="3" s="1"/>
  <c r="E98" i="3" s="1"/>
  <c r="I97" i="3"/>
  <c r="J97" i="3" s="1"/>
  <c r="H98" i="3" s="1"/>
  <c r="B247" i="3"/>
  <c r="C246" i="3"/>
  <c r="F98" i="3" l="1"/>
  <c r="G98" i="3" s="1"/>
  <c r="K97" i="3"/>
  <c r="L97" i="3" s="1"/>
  <c r="B248" i="3"/>
  <c r="C247" i="3"/>
  <c r="I98" i="3" l="1"/>
  <c r="J98" i="3" s="1"/>
  <c r="H99" i="3" s="1"/>
  <c r="K98" i="3"/>
  <c r="D99" i="3"/>
  <c r="E99" i="3" s="1"/>
  <c r="B249" i="3"/>
  <c r="C248" i="3"/>
  <c r="L98" i="3" l="1"/>
  <c r="F99" i="3"/>
  <c r="I99" i="3" s="1"/>
  <c r="J99" i="3" s="1"/>
  <c r="H100" i="3" s="1"/>
  <c r="B250" i="3"/>
  <c r="C249" i="3"/>
  <c r="G99" i="3" l="1"/>
  <c r="B251" i="3"/>
  <c r="C250" i="3"/>
  <c r="K99" i="3" l="1"/>
  <c r="L99" i="3" s="1"/>
  <c r="D100" i="3"/>
  <c r="F100" i="3" s="1"/>
  <c r="B252" i="3"/>
  <c r="C251" i="3"/>
  <c r="E100" i="3" l="1"/>
  <c r="I100" i="3" s="1"/>
  <c r="J100" i="3" s="1"/>
  <c r="H101" i="3" s="1"/>
  <c r="B253" i="3"/>
  <c r="C252" i="3"/>
  <c r="G100" i="3" l="1"/>
  <c r="B254" i="3"/>
  <c r="C253" i="3"/>
  <c r="D101" i="3" l="1"/>
  <c r="K100" i="3"/>
  <c r="L100" i="3" s="1"/>
  <c r="B255" i="3"/>
  <c r="C254" i="3"/>
  <c r="E101" i="3" l="1"/>
  <c r="F101" i="3"/>
  <c r="B256" i="3"/>
  <c r="C255" i="3"/>
  <c r="I101" i="3" l="1"/>
  <c r="J101" i="3" s="1"/>
  <c r="H102" i="3" s="1"/>
  <c r="G101" i="3"/>
  <c r="B257" i="3"/>
  <c r="C256" i="3"/>
  <c r="D102" i="3" l="1"/>
  <c r="K101" i="3"/>
  <c r="L101" i="3" s="1"/>
  <c r="B258" i="3"/>
  <c r="C257" i="3"/>
  <c r="F102" i="3" l="1"/>
  <c r="E102" i="3"/>
  <c r="B259" i="3"/>
  <c r="C258" i="3"/>
  <c r="G102" i="3" l="1"/>
  <c r="D103" i="3" s="1"/>
  <c r="E103" i="3" s="1"/>
  <c r="I102" i="3"/>
  <c r="J102" i="3" s="1"/>
  <c r="H103" i="3" s="1"/>
  <c r="B260" i="3"/>
  <c r="C259" i="3"/>
  <c r="F103" i="3" l="1"/>
  <c r="I103" i="3" s="1"/>
  <c r="J103" i="3" s="1"/>
  <c r="H104" i="3" s="1"/>
  <c r="K102" i="3"/>
  <c r="L102" i="3" s="1"/>
  <c r="B261" i="3"/>
  <c r="C260" i="3"/>
  <c r="G103" i="3" l="1"/>
  <c r="D104" i="3" s="1"/>
  <c r="F104" i="3" s="1"/>
  <c r="B262" i="3"/>
  <c r="C261" i="3"/>
  <c r="K103" i="3" l="1"/>
  <c r="L103" i="3" s="1"/>
  <c r="E104" i="3"/>
  <c r="I104" i="3" s="1"/>
  <c r="J104" i="3" s="1"/>
  <c r="H105" i="3" s="1"/>
  <c r="B263" i="3"/>
  <c r="C262" i="3"/>
  <c r="G104" i="3" l="1"/>
  <c r="B264" i="3"/>
  <c r="C263" i="3"/>
  <c r="K104" i="3" l="1"/>
  <c r="L104" i="3" s="1"/>
  <c r="D105" i="3"/>
  <c r="F105" i="3" s="1"/>
  <c r="B265" i="3"/>
  <c r="C264" i="3"/>
  <c r="E105" i="3" l="1"/>
  <c r="I105" i="3" s="1"/>
  <c r="J105" i="3" s="1"/>
  <c r="H106" i="3" s="1"/>
  <c r="C265" i="3"/>
  <c r="B7" i="3"/>
  <c r="B8" i="3"/>
  <c r="G105" i="3" l="1"/>
  <c r="D106" i="3" l="1"/>
  <c r="F106" i="3" s="1"/>
  <c r="K105" i="3"/>
  <c r="L105" i="3" s="1"/>
  <c r="E106" i="3" l="1"/>
  <c r="I106" i="3" s="1"/>
  <c r="J106" i="3" s="1"/>
  <c r="H107" i="3" s="1"/>
  <c r="G106" i="3" l="1"/>
  <c r="D107" i="3" l="1"/>
  <c r="K106" i="3"/>
  <c r="L106" i="3" s="1"/>
  <c r="E107" i="3" l="1"/>
  <c r="F107" i="3"/>
  <c r="I107" i="3" l="1"/>
  <c r="J107" i="3" s="1"/>
  <c r="H108" i="3" s="1"/>
  <c r="G107" i="3"/>
  <c r="K107" i="3" l="1"/>
  <c r="L107" i="3" s="1"/>
  <c r="D108" i="3"/>
  <c r="F108" i="3" s="1"/>
  <c r="E108" i="3" l="1"/>
  <c r="I108" i="3" s="1"/>
  <c r="J108" i="3" s="1"/>
  <c r="H109" i="3" s="1"/>
  <c r="G108" i="3" l="1"/>
  <c r="K108" i="3" l="1"/>
  <c r="L108" i="3" s="1"/>
  <c r="D109" i="3"/>
  <c r="F109" i="3" s="1"/>
  <c r="E109" i="3" l="1"/>
  <c r="I109" i="3" s="1"/>
  <c r="J109" i="3" s="1"/>
  <c r="H110" i="3" s="1"/>
  <c r="G109" i="3" l="1"/>
  <c r="D110" i="3" l="1"/>
  <c r="F110" i="3" s="1"/>
  <c r="K109" i="3"/>
  <c r="L109" i="3" s="1"/>
  <c r="E110" i="3" l="1"/>
  <c r="I110" i="3" s="1"/>
  <c r="J110" i="3" s="1"/>
  <c r="H111" i="3" s="1"/>
  <c r="G110" i="3" l="1"/>
  <c r="K110" i="3" l="1"/>
  <c r="L110" i="3" s="1"/>
  <c r="D111" i="3"/>
  <c r="F111" i="3" s="1"/>
  <c r="E111" i="3" l="1"/>
  <c r="I111" i="3" s="1"/>
  <c r="J111" i="3" s="1"/>
  <c r="H112" i="3" s="1"/>
  <c r="G111" i="3" l="1"/>
  <c r="D112" i="3" l="1"/>
  <c r="E112" i="3" s="1"/>
  <c r="K111" i="3"/>
  <c r="L111" i="3" s="1"/>
  <c r="F112" i="3" l="1"/>
  <c r="I112" i="3" s="1"/>
  <c r="J112" i="3" s="1"/>
  <c r="H113" i="3" s="1"/>
  <c r="G112" i="3" l="1"/>
  <c r="K112" i="3" l="1"/>
  <c r="L112" i="3" s="1"/>
  <c r="D113" i="3"/>
  <c r="E113" i="3" s="1"/>
  <c r="F113" i="3" l="1"/>
  <c r="I113" i="3" s="1"/>
  <c r="J113" i="3" s="1"/>
  <c r="H114" i="3" s="1"/>
  <c r="G113" i="3" l="1"/>
  <c r="K113" i="3" l="1"/>
  <c r="L113" i="3" s="1"/>
  <c r="D114" i="3"/>
  <c r="F114" i="3" s="1"/>
  <c r="E114" i="3" l="1"/>
  <c r="I114" i="3" s="1"/>
  <c r="J114" i="3" s="1"/>
  <c r="H115" i="3" s="1"/>
  <c r="G114" i="3" l="1"/>
  <c r="D115" i="3" l="1"/>
  <c r="K114" i="3"/>
  <c r="L114" i="3" s="1"/>
  <c r="E115" i="3" l="1"/>
  <c r="F115" i="3"/>
  <c r="G115" i="3" l="1"/>
  <c r="D116" i="3" s="1"/>
  <c r="E116" i="3" s="1"/>
  <c r="I115" i="3"/>
  <c r="J115" i="3" s="1"/>
  <c r="H116" i="3" s="1"/>
  <c r="F116" i="3" l="1"/>
  <c r="I116" i="3" s="1"/>
  <c r="J116" i="3" s="1"/>
  <c r="H117" i="3" s="1"/>
  <c r="K115" i="3"/>
  <c r="L115" i="3" s="1"/>
  <c r="G116" i="3" l="1"/>
  <c r="K116" i="3" s="1"/>
  <c r="L116" i="3" s="1"/>
  <c r="D117" i="3" l="1"/>
  <c r="F117" i="3" s="1"/>
  <c r="E117" i="3" l="1"/>
  <c r="I117" i="3" s="1"/>
  <c r="J117" i="3" s="1"/>
  <c r="H118" i="3" s="1"/>
  <c r="G117" i="3" l="1"/>
  <c r="D118" i="3" s="1"/>
  <c r="E118" i="3" s="1"/>
  <c r="K117" i="3" l="1"/>
  <c r="L117" i="3" s="1"/>
  <c r="F118" i="3"/>
  <c r="I118" i="3" s="1"/>
  <c r="J118" i="3" s="1"/>
  <c r="H119" i="3" s="1"/>
  <c r="G118" i="3" l="1"/>
  <c r="K118" i="3" l="1"/>
  <c r="L118" i="3" s="1"/>
  <c r="D119" i="3"/>
  <c r="E119" i="3" s="1"/>
  <c r="F119" i="3" l="1"/>
  <c r="I119" i="3" s="1"/>
  <c r="J119" i="3" s="1"/>
  <c r="H120" i="3" s="1"/>
  <c r="G119" i="3" l="1"/>
  <c r="K119" i="3" l="1"/>
  <c r="L119" i="3" s="1"/>
  <c r="D120" i="3"/>
  <c r="F120" i="3" s="1"/>
  <c r="E120" i="3" l="1"/>
  <c r="I120" i="3" s="1"/>
  <c r="J120" i="3" s="1"/>
  <c r="H121" i="3" s="1"/>
  <c r="G120" i="3" l="1"/>
  <c r="K120" i="3" l="1"/>
  <c r="L120" i="3" s="1"/>
  <c r="D121" i="3"/>
  <c r="F121" i="3" l="1"/>
  <c r="E121" i="3"/>
  <c r="G121" i="3" l="1"/>
  <c r="K121" i="3" s="1"/>
  <c r="I121" i="3"/>
  <c r="J121" i="3" s="1"/>
  <c r="H122" i="3" s="1"/>
  <c r="D122" i="3" l="1"/>
  <c r="E122" i="3" s="1"/>
  <c r="L121" i="3"/>
  <c r="F122" i="3" l="1"/>
  <c r="G122" i="3" s="1"/>
  <c r="I122" i="3" l="1"/>
  <c r="J122" i="3" s="1"/>
  <c r="H123" i="3" s="1"/>
  <c r="K122" i="3"/>
  <c r="D123" i="3"/>
  <c r="F123" i="3" l="1"/>
  <c r="E123" i="3"/>
  <c r="L122" i="3"/>
  <c r="G123" i="3" l="1"/>
  <c r="K123" i="3" s="1"/>
  <c r="I123" i="3"/>
  <c r="J123" i="3" s="1"/>
  <c r="H124" i="3" s="1"/>
  <c r="D124" i="3" l="1"/>
  <c r="F124" i="3" s="1"/>
  <c r="L123" i="3"/>
  <c r="E124" i="3" l="1"/>
  <c r="I124" i="3" s="1"/>
  <c r="J124" i="3" s="1"/>
  <c r="H125" i="3" s="1"/>
  <c r="G124" i="3" l="1"/>
  <c r="D125" i="3" s="1"/>
  <c r="F125" i="3" s="1"/>
  <c r="K124" i="3" l="1"/>
  <c r="L124" i="3" s="1"/>
  <c r="E125" i="3"/>
  <c r="I125" i="3" s="1"/>
  <c r="J125" i="3" s="1"/>
  <c r="H126" i="3" l="1"/>
  <c r="G125" i="3"/>
  <c r="K125" i="3" l="1"/>
  <c r="L125" i="3" s="1"/>
  <c r="D126" i="3"/>
  <c r="E126" i="3" s="1"/>
  <c r="F126" i="3" l="1"/>
  <c r="I126" i="3" s="1"/>
  <c r="J126" i="3" s="1"/>
  <c r="H127" i="3" s="1"/>
  <c r="G126" i="3" l="1"/>
  <c r="K126" i="3" l="1"/>
  <c r="L126" i="3" s="1"/>
  <c r="D127" i="3"/>
  <c r="F127" i="3" s="1"/>
  <c r="E127" i="3" l="1"/>
  <c r="I127" i="3" s="1"/>
  <c r="J127" i="3" s="1"/>
  <c r="H128" i="3" s="1"/>
  <c r="G127" i="3" l="1"/>
  <c r="D128" i="3" l="1"/>
  <c r="K127" i="3"/>
  <c r="L127" i="3" s="1"/>
  <c r="F128" i="3" l="1"/>
  <c r="E128" i="3"/>
  <c r="I128" i="3" l="1"/>
  <c r="J128" i="3" s="1"/>
  <c r="H129" i="3" s="1"/>
  <c r="G128" i="3"/>
  <c r="D129" i="3" l="1"/>
  <c r="K128" i="3"/>
  <c r="L128" i="3" s="1"/>
  <c r="F129" i="3" l="1"/>
  <c r="E129" i="3"/>
  <c r="I129" i="3" l="1"/>
  <c r="J129" i="3" s="1"/>
  <c r="H130" i="3" s="1"/>
  <c r="G129" i="3"/>
  <c r="D130" i="3" l="1"/>
  <c r="K129" i="3"/>
  <c r="L129" i="3" s="1"/>
  <c r="F130" i="3" l="1"/>
  <c r="E130" i="3"/>
  <c r="I130" i="3" l="1"/>
  <c r="J130" i="3" s="1"/>
  <c r="H131" i="3" s="1"/>
  <c r="G130" i="3"/>
  <c r="D131" i="3" l="1"/>
  <c r="K130" i="3"/>
  <c r="L130" i="3" s="1"/>
  <c r="F131" i="3" l="1"/>
  <c r="E131" i="3"/>
  <c r="I131" i="3" l="1"/>
  <c r="J131" i="3" s="1"/>
  <c r="H132" i="3" s="1"/>
  <c r="G131" i="3"/>
  <c r="D132" i="3" l="1"/>
  <c r="K131" i="3"/>
  <c r="L131" i="3" s="1"/>
  <c r="E132" i="3" l="1"/>
  <c r="F132" i="3"/>
  <c r="I132" i="3" l="1"/>
  <c r="J132" i="3" s="1"/>
  <c r="H133" i="3" s="1"/>
  <c r="G132" i="3"/>
  <c r="K132" i="3" l="1"/>
  <c r="L132" i="3" s="1"/>
  <c r="D133" i="3"/>
  <c r="F133" i="3" l="1"/>
  <c r="E133" i="3"/>
  <c r="G133" i="3" l="1"/>
  <c r="K133" i="3" s="1"/>
  <c r="I133" i="3"/>
  <c r="J133" i="3" s="1"/>
  <c r="H134" i="3" s="1"/>
  <c r="D134" i="3" l="1"/>
  <c r="E134" i="3" s="1"/>
  <c r="L133" i="3"/>
  <c r="F134" i="3" l="1"/>
  <c r="G134" i="3" s="1"/>
  <c r="K134" i="3" s="1"/>
  <c r="I134" i="3" l="1"/>
  <c r="J134" i="3" s="1"/>
  <c r="H135" i="3" s="1"/>
  <c r="D135" i="3"/>
  <c r="E135" i="3" s="1"/>
  <c r="L134" i="3" l="1"/>
  <c r="F135" i="3"/>
  <c r="I135" i="3" s="1"/>
  <c r="J135" i="3" s="1"/>
  <c r="H136" i="3" s="1"/>
  <c r="G135" i="3" l="1"/>
  <c r="D136" i="3" s="1"/>
  <c r="F136" i="3" s="1"/>
  <c r="E136" i="3" l="1"/>
  <c r="G136" i="3" s="1"/>
  <c r="K135" i="3"/>
  <c r="L135" i="3" s="1"/>
  <c r="I136" i="3" l="1"/>
  <c r="J136" i="3" s="1"/>
  <c r="H137" i="3" s="1"/>
  <c r="D137" i="3"/>
  <c r="K136" i="3"/>
  <c r="L136" i="3" l="1"/>
  <c r="F137" i="3"/>
  <c r="E137" i="3"/>
  <c r="I137" i="3" l="1"/>
  <c r="J137" i="3" s="1"/>
  <c r="H138" i="3" s="1"/>
  <c r="G137" i="3"/>
  <c r="K137" i="3" l="1"/>
  <c r="L137" i="3" s="1"/>
  <c r="D138" i="3"/>
  <c r="F138" i="3" l="1"/>
  <c r="E138" i="3"/>
  <c r="I138" i="3" l="1"/>
  <c r="J138" i="3" s="1"/>
  <c r="H139" i="3" s="1"/>
  <c r="G138" i="3"/>
  <c r="D139" i="3" l="1"/>
  <c r="F139" i="3" s="1"/>
  <c r="K138" i="3"/>
  <c r="L138" i="3" s="1"/>
  <c r="E139" i="3" l="1"/>
  <c r="I139" i="3" s="1"/>
  <c r="J139" i="3" s="1"/>
  <c r="H140" i="3" s="1"/>
  <c r="G139" i="3" l="1"/>
  <c r="K139" i="3" l="1"/>
  <c r="L139" i="3" s="1"/>
  <c r="D140" i="3"/>
  <c r="E140" i="3" s="1"/>
  <c r="F140" i="3" l="1"/>
  <c r="I140" i="3" s="1"/>
  <c r="J140" i="3" s="1"/>
  <c r="G140" i="3" l="1"/>
  <c r="H141" i="3"/>
  <c r="K140" i="3" l="1"/>
  <c r="L140" i="3" s="1"/>
  <c r="D141" i="3"/>
  <c r="E141" i="3" s="1"/>
  <c r="F141" i="3" l="1"/>
  <c r="I141" i="3" s="1"/>
  <c r="J141" i="3" s="1"/>
  <c r="H142" i="3" s="1"/>
  <c r="G141" i="3" l="1"/>
  <c r="D142" i="3" l="1"/>
  <c r="E142" i="3" s="1"/>
  <c r="K141" i="3"/>
  <c r="L141" i="3" s="1"/>
  <c r="F142" i="3" l="1"/>
  <c r="I142" i="3" s="1"/>
  <c r="J142" i="3" s="1"/>
  <c r="H143" i="3" s="1"/>
  <c r="G142" i="3" l="1"/>
  <c r="D143" i="3" l="1"/>
  <c r="E143" i="3" s="1"/>
  <c r="K142" i="3"/>
  <c r="L142" i="3" s="1"/>
  <c r="F143" i="3" l="1"/>
  <c r="I143" i="3" s="1"/>
  <c r="J143" i="3" s="1"/>
  <c r="H144" i="3" s="1"/>
  <c r="G143" i="3" l="1"/>
  <c r="D144" i="3" l="1"/>
  <c r="E144" i="3" s="1"/>
  <c r="K143" i="3"/>
  <c r="L143" i="3" s="1"/>
  <c r="F144" i="3" l="1"/>
  <c r="I144" i="3" s="1"/>
  <c r="J144" i="3" s="1"/>
  <c r="H145" i="3" s="1"/>
  <c r="G144" i="3" l="1"/>
  <c r="D145" i="3" l="1"/>
  <c r="E145" i="3" s="1"/>
  <c r="K144" i="3"/>
  <c r="L144" i="3" s="1"/>
  <c r="F145" i="3" l="1"/>
  <c r="I145" i="3" s="1"/>
  <c r="J145" i="3" s="1"/>
  <c r="H146" i="3" s="1"/>
  <c r="G145" i="3" l="1"/>
  <c r="K145" i="3" l="1"/>
  <c r="L145" i="3" s="1"/>
  <c r="D146" i="3"/>
  <c r="F146" i="3" l="1"/>
  <c r="E146" i="3"/>
  <c r="G146" i="3" l="1"/>
  <c r="D147" i="3" s="1"/>
  <c r="I146" i="3"/>
  <c r="J146" i="3" s="1"/>
  <c r="H147" i="3" s="1"/>
  <c r="K146" i="3" l="1"/>
  <c r="L146" i="3" s="1"/>
  <c r="F147" i="3"/>
  <c r="E147" i="3"/>
  <c r="I147" i="3" l="1"/>
  <c r="J147" i="3" s="1"/>
  <c r="H148" i="3" s="1"/>
  <c r="G147" i="3"/>
  <c r="K147" i="3" s="1"/>
  <c r="L147" i="3" l="1"/>
  <c r="D148" i="3"/>
  <c r="F148" i="3" s="1"/>
  <c r="E148" i="3" l="1"/>
  <c r="I148" i="3" s="1"/>
  <c r="J148" i="3" s="1"/>
  <c r="H149" i="3" s="1"/>
  <c r="G148" i="3" l="1"/>
  <c r="D149" i="3" s="1"/>
  <c r="E149" i="3" s="1"/>
  <c r="K148" i="3" l="1"/>
  <c r="L148" i="3" s="1"/>
  <c r="F149" i="3"/>
  <c r="I149" i="3" s="1"/>
  <c r="J149" i="3" s="1"/>
  <c r="H150" i="3" s="1"/>
  <c r="G149" i="3" l="1"/>
  <c r="K149" i="3" l="1"/>
  <c r="L149" i="3" s="1"/>
  <c r="D150" i="3"/>
  <c r="E150" i="3" s="1"/>
  <c r="F150" i="3" l="1"/>
  <c r="I150" i="3" s="1"/>
  <c r="J150" i="3" s="1"/>
  <c r="H151" i="3" s="1"/>
  <c r="G150" i="3" l="1"/>
  <c r="D151" i="3" l="1"/>
  <c r="E151" i="3" s="1"/>
  <c r="K150" i="3"/>
  <c r="L150" i="3" s="1"/>
  <c r="F151" i="3" l="1"/>
  <c r="I151" i="3" s="1"/>
  <c r="J151" i="3" s="1"/>
  <c r="H152" i="3" l="1"/>
  <c r="G151" i="3"/>
  <c r="K151" i="3" l="1"/>
  <c r="L151" i="3" s="1"/>
  <c r="D152" i="3"/>
  <c r="F152" i="3" s="1"/>
  <c r="E152" i="3" l="1"/>
  <c r="I152" i="3" s="1"/>
  <c r="J152" i="3" s="1"/>
  <c r="H153" i="3" s="1"/>
  <c r="G152" i="3" l="1"/>
  <c r="D153" i="3" l="1"/>
  <c r="F153" i="3" s="1"/>
  <c r="K152" i="3"/>
  <c r="L152" i="3" s="1"/>
  <c r="E153" i="3" l="1"/>
  <c r="I153" i="3" s="1"/>
  <c r="J153" i="3" s="1"/>
  <c r="H154" i="3" s="1"/>
  <c r="G153" i="3" l="1"/>
  <c r="K153" i="3" l="1"/>
  <c r="L153" i="3" s="1"/>
  <c r="D154" i="3"/>
  <c r="F154" i="3" s="1"/>
  <c r="E154" i="3" l="1"/>
  <c r="I154" i="3" s="1"/>
  <c r="J154" i="3" s="1"/>
  <c r="H155" i="3" s="1"/>
  <c r="G154" i="3" l="1"/>
  <c r="K154" i="3" l="1"/>
  <c r="L154" i="3" s="1"/>
  <c r="D155" i="3"/>
  <c r="E155" i="3" l="1"/>
  <c r="F155" i="3"/>
  <c r="I155" i="3" l="1"/>
  <c r="J155" i="3" s="1"/>
  <c r="H156" i="3" s="1"/>
  <c r="G155" i="3"/>
  <c r="D156" i="3" l="1"/>
  <c r="F156" i="3" s="1"/>
  <c r="K155" i="3"/>
  <c r="L155" i="3" s="1"/>
  <c r="E156" i="3" l="1"/>
  <c r="I156" i="3" s="1"/>
  <c r="J156" i="3" s="1"/>
  <c r="H157" i="3" s="1"/>
  <c r="G156" i="3" l="1"/>
  <c r="K156" i="3" l="1"/>
  <c r="L156" i="3" s="1"/>
  <c r="D157" i="3"/>
  <c r="F157" i="3" s="1"/>
  <c r="E157" i="3" l="1"/>
  <c r="I157" i="3" s="1"/>
  <c r="J157" i="3" s="1"/>
  <c r="H158" i="3" s="1"/>
  <c r="G157" i="3" l="1"/>
  <c r="K157" i="3" l="1"/>
  <c r="L157" i="3" s="1"/>
  <c r="D158" i="3"/>
  <c r="F158" i="3" s="1"/>
  <c r="E158" i="3" l="1"/>
  <c r="I158" i="3" s="1"/>
  <c r="J158" i="3" s="1"/>
  <c r="H159" i="3" l="1"/>
  <c r="G158" i="3"/>
  <c r="D159" i="3" l="1"/>
  <c r="F159" i="3" s="1"/>
  <c r="K158" i="3"/>
  <c r="L158" i="3" s="1"/>
  <c r="E159" i="3" l="1"/>
  <c r="I159" i="3" s="1"/>
  <c r="J159" i="3" s="1"/>
  <c r="H160" i="3" s="1"/>
  <c r="G159" i="3" l="1"/>
  <c r="K159" i="3" l="1"/>
  <c r="L159" i="3" s="1"/>
  <c r="D160" i="3"/>
  <c r="F160" i="3" s="1"/>
  <c r="E160" i="3" l="1"/>
  <c r="I160" i="3" s="1"/>
  <c r="J160" i="3" s="1"/>
  <c r="H161" i="3" s="1"/>
  <c r="G160" i="3" l="1"/>
  <c r="D161" i="3" l="1"/>
  <c r="F161" i="3" s="1"/>
  <c r="K160" i="3"/>
  <c r="L160" i="3" s="1"/>
  <c r="E161" i="3" l="1"/>
  <c r="I161" i="3" s="1"/>
  <c r="J161" i="3" s="1"/>
  <c r="H162" i="3" s="1"/>
  <c r="G161" i="3" l="1"/>
  <c r="K161" i="3" l="1"/>
  <c r="L161" i="3" s="1"/>
  <c r="D162" i="3"/>
  <c r="E162" i="3" s="1"/>
  <c r="F162" i="3" l="1"/>
  <c r="I162" i="3" s="1"/>
  <c r="J162" i="3" s="1"/>
  <c r="H163" i="3" s="1"/>
  <c r="G162" i="3" l="1"/>
  <c r="K162" i="3" l="1"/>
  <c r="L162" i="3" s="1"/>
  <c r="D163" i="3"/>
  <c r="E163" i="3" l="1"/>
  <c r="F163" i="3"/>
  <c r="I163" i="3" l="1"/>
  <c r="J163" i="3" s="1"/>
  <c r="H164" i="3" s="1"/>
  <c r="G163" i="3"/>
  <c r="K163" i="3" l="1"/>
  <c r="L163" i="3" s="1"/>
  <c r="D164" i="3"/>
  <c r="E164" i="3" s="1"/>
  <c r="F164" i="3" l="1"/>
  <c r="I164" i="3" s="1"/>
  <c r="J164" i="3" s="1"/>
  <c r="H165" i="3" s="1"/>
  <c r="G164" i="3" l="1"/>
  <c r="K164" i="3" l="1"/>
  <c r="L164" i="3" s="1"/>
  <c r="D165" i="3"/>
  <c r="F165" i="3" s="1"/>
  <c r="E165" i="3" l="1"/>
  <c r="I165" i="3" s="1"/>
  <c r="J165" i="3" s="1"/>
  <c r="H166" i="3" s="1"/>
  <c r="G165" i="3" l="1"/>
  <c r="D166" i="3" l="1"/>
  <c r="K165" i="3"/>
  <c r="L165" i="3" s="1"/>
  <c r="E166" i="3" l="1"/>
  <c r="F166" i="3"/>
  <c r="G166" i="3" l="1"/>
  <c r="D167" i="3" s="1"/>
  <c r="I166" i="3"/>
  <c r="J166" i="3" s="1"/>
  <c r="H167" i="3" s="1"/>
  <c r="K166" i="3" l="1"/>
  <c r="L166" i="3" s="1"/>
  <c r="F167" i="3"/>
  <c r="E167" i="3"/>
  <c r="I167" i="3" l="1"/>
  <c r="J167" i="3" s="1"/>
  <c r="H168" i="3" s="1"/>
  <c r="G167" i="3"/>
  <c r="K167" i="3" l="1"/>
  <c r="L167" i="3" s="1"/>
  <c r="D168" i="3"/>
  <c r="E168" i="3" s="1"/>
  <c r="F168" i="3" l="1"/>
  <c r="I168" i="3" s="1"/>
  <c r="J168" i="3" s="1"/>
  <c r="H169" i="3" s="1"/>
  <c r="G168" i="3" l="1"/>
  <c r="K168" i="3" l="1"/>
  <c r="L168" i="3" s="1"/>
  <c r="D169" i="3"/>
  <c r="E169" i="3" s="1"/>
  <c r="F169" i="3" l="1"/>
  <c r="I169" i="3" s="1"/>
  <c r="J169" i="3" s="1"/>
  <c r="H170" i="3" s="1"/>
  <c r="G169" i="3" l="1"/>
  <c r="K169" i="3" s="1"/>
  <c r="L169" i="3" s="1"/>
  <c r="D170" i="3" l="1"/>
  <c r="E170" i="3" s="1"/>
  <c r="F170" i="3" l="1"/>
  <c r="I170" i="3" s="1"/>
  <c r="J170" i="3" s="1"/>
  <c r="H171" i="3" s="1"/>
  <c r="G170" i="3" l="1"/>
  <c r="K170" i="3" s="1"/>
  <c r="L170" i="3" s="1"/>
  <c r="D171" i="3" l="1"/>
  <c r="F171" i="3" s="1"/>
  <c r="E171" i="3" l="1"/>
  <c r="G171" i="3" s="1"/>
  <c r="D172" i="3" s="1"/>
  <c r="E172" i="3" s="1"/>
  <c r="I171" i="3" l="1"/>
  <c r="J171" i="3" s="1"/>
  <c r="H172" i="3" s="1"/>
  <c r="F172" i="3" s="1"/>
  <c r="I172" i="3" s="1"/>
  <c r="K171" i="3"/>
  <c r="J172" i="3" l="1"/>
  <c r="H173" i="3" s="1"/>
  <c r="L171" i="3"/>
  <c r="G172" i="3"/>
  <c r="D173" i="3" l="1"/>
  <c r="K172" i="3"/>
  <c r="L172" i="3" s="1"/>
  <c r="F173" i="3" l="1"/>
  <c r="E173" i="3"/>
  <c r="G173" i="3" l="1"/>
  <c r="K173" i="3" s="1"/>
  <c r="I173" i="3"/>
  <c r="J173" i="3" s="1"/>
  <c r="H174" i="3" s="1"/>
  <c r="D174" i="3" l="1"/>
  <c r="F174" i="3" s="1"/>
  <c r="L173" i="3"/>
  <c r="E174" i="3" l="1"/>
  <c r="G174" i="3" s="1"/>
  <c r="K174" i="3" s="1"/>
  <c r="I174" i="3" l="1"/>
  <c r="J174" i="3" s="1"/>
  <c r="H175" i="3" s="1"/>
  <c r="D175" i="3"/>
  <c r="E175" i="3" s="1"/>
  <c r="L174" i="3" l="1"/>
  <c r="F175" i="3"/>
  <c r="G175" i="3" s="1"/>
  <c r="K175" i="3" s="1"/>
  <c r="I175" i="3" l="1"/>
  <c r="J175" i="3" s="1"/>
  <c r="H176" i="3" s="1"/>
  <c r="D176" i="3"/>
  <c r="L175" i="3" l="1"/>
  <c r="F176" i="3"/>
  <c r="E176" i="3"/>
  <c r="I176" i="3" l="1"/>
  <c r="J176" i="3" s="1"/>
  <c r="H177" i="3" s="1"/>
  <c r="G176" i="3"/>
  <c r="K176" i="3" l="1"/>
  <c r="L176" i="3" s="1"/>
  <c r="D177" i="3"/>
  <c r="F177" i="3" l="1"/>
  <c r="E177" i="3"/>
  <c r="I177" i="3" l="1"/>
  <c r="J177" i="3" s="1"/>
  <c r="H178" i="3" s="1"/>
  <c r="G177" i="3"/>
  <c r="K177" i="3" l="1"/>
  <c r="L177" i="3" s="1"/>
  <c r="D178" i="3"/>
  <c r="E178" i="3" l="1"/>
  <c r="F178" i="3"/>
  <c r="G178" i="3" l="1"/>
  <c r="I178" i="3"/>
  <c r="J178" i="3" s="1"/>
  <c r="H179" i="3" s="1"/>
  <c r="K178" i="3" l="1"/>
  <c r="L178" i="3" s="1"/>
  <c r="D179" i="3"/>
  <c r="E179" i="3" l="1"/>
  <c r="F179" i="3"/>
  <c r="I179" i="3" l="1"/>
  <c r="J179" i="3" s="1"/>
  <c r="H180" i="3" s="1"/>
  <c r="G179" i="3"/>
  <c r="K179" i="3" l="1"/>
  <c r="L179" i="3" s="1"/>
  <c r="D180" i="3"/>
  <c r="E180" i="3" l="1"/>
  <c r="F180" i="3"/>
  <c r="G180" i="3" l="1"/>
  <c r="I180" i="3"/>
  <c r="J180" i="3" s="1"/>
  <c r="H181" i="3" s="1"/>
  <c r="K180" i="3" l="1"/>
  <c r="L180" i="3" s="1"/>
  <c r="D181" i="3"/>
  <c r="E181" i="3" l="1"/>
  <c r="F181" i="3"/>
  <c r="G181" i="3" l="1"/>
  <c r="I181" i="3"/>
  <c r="J181" i="3" s="1"/>
  <c r="H182" i="3" s="1"/>
  <c r="K181" i="3" l="1"/>
  <c r="L181" i="3" s="1"/>
  <c r="D182" i="3"/>
  <c r="F182" i="3" l="1"/>
  <c r="E182" i="3"/>
  <c r="G182" i="3" l="1"/>
  <c r="I182" i="3"/>
  <c r="J182" i="3" s="1"/>
  <c r="H183" i="3" s="1"/>
  <c r="D183" i="3" l="1"/>
  <c r="K182" i="3"/>
  <c r="L182" i="3" s="1"/>
  <c r="E183" i="3" l="1"/>
  <c r="F183" i="3"/>
  <c r="I183" i="3" l="1"/>
  <c r="J183" i="3" s="1"/>
  <c r="H184" i="3" s="1"/>
  <c r="G183" i="3"/>
  <c r="D184" i="3" l="1"/>
  <c r="K183" i="3"/>
  <c r="L183" i="3" s="1"/>
  <c r="F184" i="3" l="1"/>
  <c r="E184" i="3"/>
  <c r="G184" i="3" l="1"/>
  <c r="D185" i="3" s="1"/>
  <c r="E185" i="3" s="1"/>
  <c r="I184" i="3"/>
  <c r="J184" i="3" s="1"/>
  <c r="H185" i="3" s="1"/>
  <c r="K184" i="3" l="1"/>
  <c r="L184" i="3" s="1"/>
  <c r="F185" i="3"/>
  <c r="I185" i="3" s="1"/>
  <c r="J185" i="3" s="1"/>
  <c r="H186" i="3" s="1"/>
  <c r="G185" i="3" l="1"/>
  <c r="K185" i="3" l="1"/>
  <c r="L185" i="3" s="1"/>
  <c r="D186" i="3"/>
  <c r="E186" i="3" l="1"/>
  <c r="F186" i="3"/>
  <c r="G186" i="3" l="1"/>
  <c r="I186" i="3"/>
  <c r="J186" i="3" s="1"/>
  <c r="H187" i="3" s="1"/>
  <c r="D187" i="3" l="1"/>
  <c r="K186" i="3"/>
  <c r="L186" i="3" s="1"/>
  <c r="E187" i="3" l="1"/>
  <c r="F187" i="3"/>
  <c r="I187" i="3" l="1"/>
  <c r="J187" i="3" s="1"/>
  <c r="H188" i="3" s="1"/>
  <c r="G187" i="3"/>
  <c r="D188" i="3" l="1"/>
  <c r="K187" i="3"/>
  <c r="L187" i="3" s="1"/>
  <c r="F188" i="3" l="1"/>
  <c r="E188" i="3"/>
  <c r="I188" i="3" l="1"/>
  <c r="J188" i="3" s="1"/>
  <c r="H189" i="3" s="1"/>
  <c r="G188" i="3"/>
  <c r="D189" i="3" l="1"/>
  <c r="K188" i="3"/>
  <c r="L188" i="3" s="1"/>
  <c r="E189" i="3" l="1"/>
  <c r="F189" i="3"/>
  <c r="I189" i="3" l="1"/>
  <c r="J189" i="3" s="1"/>
  <c r="G189" i="3"/>
  <c r="H190" i="3" l="1"/>
  <c r="D190" i="3"/>
  <c r="K189" i="3"/>
  <c r="L189" i="3" s="1"/>
  <c r="E190" i="3" l="1"/>
  <c r="F190" i="3"/>
  <c r="G190" i="3" l="1"/>
  <c r="D191" i="3" s="1"/>
  <c r="E191" i="3" s="1"/>
  <c r="I190" i="3"/>
  <c r="J190" i="3" s="1"/>
  <c r="H191" i="3" s="1"/>
  <c r="K190" i="3" l="1"/>
  <c r="L190" i="3" s="1"/>
  <c r="F191" i="3"/>
  <c r="I191" i="3" s="1"/>
  <c r="J191" i="3" s="1"/>
  <c r="H192" i="3" s="1"/>
  <c r="G191" i="3" l="1"/>
  <c r="K191" i="3" l="1"/>
  <c r="L191" i="3" s="1"/>
  <c r="D192" i="3"/>
  <c r="E192" i="3" s="1"/>
  <c r="F192" i="3" l="1"/>
  <c r="I192" i="3" s="1"/>
  <c r="J192" i="3" s="1"/>
  <c r="H193" i="3" s="1"/>
  <c r="G192" i="3" l="1"/>
  <c r="K192" i="3" l="1"/>
  <c r="L192" i="3" s="1"/>
  <c r="D193" i="3"/>
  <c r="E193" i="3" s="1"/>
  <c r="F193" i="3" l="1"/>
  <c r="I193" i="3" s="1"/>
  <c r="J193" i="3" s="1"/>
  <c r="H194" i="3" s="1"/>
  <c r="G193" i="3" l="1"/>
  <c r="D194" i="3" l="1"/>
  <c r="E194" i="3" s="1"/>
  <c r="K193" i="3"/>
  <c r="L193" i="3" s="1"/>
  <c r="F194" i="3" l="1"/>
  <c r="I194" i="3" s="1"/>
  <c r="J194" i="3" s="1"/>
  <c r="H195" i="3" s="1"/>
  <c r="G194" i="3" l="1"/>
  <c r="D195" i="3" l="1"/>
  <c r="E195" i="3" s="1"/>
  <c r="K194" i="3"/>
  <c r="L194" i="3" s="1"/>
  <c r="F195" i="3" l="1"/>
  <c r="I195" i="3" s="1"/>
  <c r="J195" i="3" s="1"/>
  <c r="H196" i="3" s="1"/>
  <c r="G195" i="3" l="1"/>
  <c r="K195" i="3" l="1"/>
  <c r="L195" i="3" s="1"/>
  <c r="D196" i="3"/>
  <c r="E196" i="3" s="1"/>
  <c r="F196" i="3" l="1"/>
  <c r="I196" i="3" s="1"/>
  <c r="J196" i="3" s="1"/>
  <c r="H197" i="3" s="1"/>
  <c r="G196" i="3" l="1"/>
  <c r="D197" i="3" l="1"/>
  <c r="F197" i="3" s="1"/>
  <c r="K196" i="3"/>
  <c r="L196" i="3" s="1"/>
  <c r="E197" i="3" l="1"/>
  <c r="I197" i="3" s="1"/>
  <c r="J197" i="3" s="1"/>
  <c r="H198" i="3" s="1"/>
  <c r="G197" i="3" l="1"/>
  <c r="D198" i="3" l="1"/>
  <c r="E198" i="3" s="1"/>
  <c r="K197" i="3"/>
  <c r="L197" i="3" s="1"/>
  <c r="F198" i="3" l="1"/>
  <c r="I198" i="3" s="1"/>
  <c r="J198" i="3" s="1"/>
  <c r="H199" i="3" s="1"/>
  <c r="G198" i="3" l="1"/>
  <c r="K198" i="3" l="1"/>
  <c r="L198" i="3" s="1"/>
  <c r="D199" i="3"/>
  <c r="E199" i="3" s="1"/>
  <c r="F199" i="3" l="1"/>
  <c r="I199" i="3" s="1"/>
  <c r="J199" i="3" s="1"/>
  <c r="H200" i="3" s="1"/>
  <c r="G199" i="3" l="1"/>
  <c r="D200" i="3" l="1"/>
  <c r="E200" i="3" s="1"/>
  <c r="K199" i="3"/>
  <c r="L199" i="3" s="1"/>
  <c r="F200" i="3" l="1"/>
  <c r="I200" i="3" s="1"/>
  <c r="J200" i="3" s="1"/>
  <c r="H201" i="3" s="1"/>
  <c r="G200" i="3" l="1"/>
  <c r="D201" i="3" l="1"/>
  <c r="K200" i="3"/>
  <c r="L200" i="3" s="1"/>
  <c r="F201" i="3" l="1"/>
  <c r="E201" i="3"/>
  <c r="I201" i="3" l="1"/>
  <c r="J201" i="3" s="1"/>
  <c r="H202" i="3" s="1"/>
  <c r="G201" i="3"/>
  <c r="D202" i="3" l="1"/>
  <c r="K201" i="3"/>
  <c r="L201" i="3" s="1"/>
  <c r="F202" i="3" l="1"/>
  <c r="E202" i="3"/>
  <c r="I202" i="3" l="1"/>
  <c r="J202" i="3" s="1"/>
  <c r="H203" i="3" s="1"/>
  <c r="G202" i="3"/>
  <c r="D203" i="3" l="1"/>
  <c r="K202" i="3"/>
  <c r="L202" i="3" s="1"/>
  <c r="F203" i="3" l="1"/>
  <c r="E203" i="3"/>
  <c r="I203" i="3" l="1"/>
  <c r="J203" i="3" s="1"/>
  <c r="H204" i="3" s="1"/>
  <c r="G203" i="3"/>
  <c r="D204" i="3" l="1"/>
  <c r="E204" i="3" s="1"/>
  <c r="K203" i="3"/>
  <c r="L203" i="3" s="1"/>
  <c r="F204" i="3" l="1"/>
  <c r="I204" i="3" s="1"/>
  <c r="J204" i="3" s="1"/>
  <c r="H205" i="3" s="1"/>
  <c r="G204" i="3" l="1"/>
  <c r="K204" i="3" l="1"/>
  <c r="L204" i="3" s="1"/>
  <c r="D205" i="3"/>
  <c r="E205" i="3" l="1"/>
  <c r="F205" i="3"/>
  <c r="G205" i="3" l="1"/>
  <c r="I205" i="3"/>
  <c r="J205" i="3" s="1"/>
  <c r="H206" i="3" s="1"/>
  <c r="D206" i="3" l="1"/>
  <c r="K205" i="3"/>
  <c r="L205" i="3" s="1"/>
  <c r="F206" i="3" l="1"/>
  <c r="E206" i="3"/>
  <c r="I206" i="3" l="1"/>
  <c r="J206" i="3" s="1"/>
  <c r="H207" i="3" s="1"/>
  <c r="G206" i="3"/>
  <c r="K206" i="3" l="1"/>
  <c r="L206" i="3" s="1"/>
  <c r="D207" i="3"/>
  <c r="E207" i="3" l="1"/>
  <c r="F207" i="3"/>
  <c r="G207" i="3" l="1"/>
  <c r="K207" i="3" s="1"/>
  <c r="I207" i="3"/>
  <c r="J207" i="3" s="1"/>
  <c r="H208" i="3" s="1"/>
  <c r="D208" i="3" l="1"/>
  <c r="F208" i="3" s="1"/>
  <c r="L207" i="3"/>
  <c r="E208" i="3" l="1"/>
  <c r="G208" i="3" s="1"/>
  <c r="D209" i="3" s="1"/>
  <c r="I208" i="3" l="1"/>
  <c r="J208" i="3" s="1"/>
  <c r="H209" i="3" s="1"/>
  <c r="F209" i="3" s="1"/>
  <c r="K208" i="3"/>
  <c r="E209" i="3"/>
  <c r="L208" i="3" l="1"/>
  <c r="G209" i="3"/>
  <c r="D210" i="3" s="1"/>
  <c r="E210" i="3" s="1"/>
  <c r="I209" i="3"/>
  <c r="J209" i="3" s="1"/>
  <c r="H210" i="3" s="1"/>
  <c r="F210" i="3" l="1"/>
  <c r="G210" i="3" s="1"/>
  <c r="K209" i="3"/>
  <c r="L209" i="3" s="1"/>
  <c r="I210" i="3" l="1"/>
  <c r="J210" i="3" s="1"/>
  <c r="H211" i="3" s="1"/>
  <c r="D211" i="3"/>
  <c r="E211" i="3" s="1"/>
  <c r="K210" i="3"/>
  <c r="L210" i="3" l="1"/>
  <c r="F211" i="3"/>
  <c r="I211" i="3" s="1"/>
  <c r="J211" i="3" s="1"/>
  <c r="H212" i="3" s="1"/>
  <c r="G211" i="3" l="1"/>
  <c r="D212" i="3" l="1"/>
  <c r="E212" i="3" s="1"/>
  <c r="K211" i="3"/>
  <c r="L211" i="3" s="1"/>
  <c r="F212" i="3" l="1"/>
  <c r="I212" i="3" s="1"/>
  <c r="J212" i="3" s="1"/>
  <c r="H213" i="3" s="1"/>
  <c r="G212" i="3" l="1"/>
  <c r="D213" i="3" l="1"/>
  <c r="E213" i="3" s="1"/>
  <c r="K212" i="3"/>
  <c r="L212" i="3" s="1"/>
  <c r="F213" i="3" l="1"/>
  <c r="I213" i="3" s="1"/>
  <c r="J213" i="3" s="1"/>
  <c r="H214" i="3" s="1"/>
  <c r="G213" i="3" l="1"/>
  <c r="K213" i="3" l="1"/>
  <c r="L213" i="3" s="1"/>
  <c r="D214" i="3"/>
  <c r="E214" i="3" l="1"/>
  <c r="F214" i="3"/>
  <c r="G214" i="3" l="1"/>
  <c r="D215" i="3" s="1"/>
  <c r="I214" i="3"/>
  <c r="J214" i="3" s="1"/>
  <c r="H215" i="3" s="1"/>
  <c r="K214" i="3" l="1"/>
  <c r="L214" i="3" s="1"/>
  <c r="F215" i="3"/>
  <c r="E215" i="3"/>
  <c r="I215" i="3" l="1"/>
  <c r="J215" i="3" s="1"/>
  <c r="H216" i="3" s="1"/>
  <c r="G215" i="3"/>
  <c r="K215" i="3" l="1"/>
  <c r="L215" i="3" s="1"/>
  <c r="D216" i="3"/>
  <c r="E216" i="3" s="1"/>
  <c r="F216" i="3" l="1"/>
  <c r="I216" i="3" s="1"/>
  <c r="J216" i="3" s="1"/>
  <c r="H217" i="3" s="1"/>
  <c r="G216" i="3" l="1"/>
  <c r="K216" i="3" l="1"/>
  <c r="L216" i="3" s="1"/>
  <c r="D217" i="3"/>
  <c r="E217" i="3" s="1"/>
  <c r="F217" i="3" l="1"/>
  <c r="I217" i="3" s="1"/>
  <c r="J217" i="3" s="1"/>
  <c r="H218" i="3" s="1"/>
  <c r="G217" i="3" l="1"/>
  <c r="D218" i="3" s="1"/>
  <c r="K217" i="3" l="1"/>
  <c r="L217" i="3" s="1"/>
  <c r="E218" i="3"/>
  <c r="F218" i="3"/>
  <c r="I218" i="3" l="1"/>
  <c r="J218" i="3" s="1"/>
  <c r="H219" i="3" s="1"/>
  <c r="G218" i="3"/>
  <c r="D219" i="3" l="1"/>
  <c r="F219" i="3" s="1"/>
  <c r="K218" i="3"/>
  <c r="L218" i="3" s="1"/>
  <c r="E219" i="3" l="1"/>
  <c r="I219" i="3" s="1"/>
  <c r="J219" i="3" s="1"/>
  <c r="H220" i="3" s="1"/>
  <c r="G219" i="3" l="1"/>
  <c r="K219" i="3" l="1"/>
  <c r="L219" i="3" s="1"/>
  <c r="D220" i="3"/>
  <c r="F220" i="3" s="1"/>
  <c r="E220" i="3" l="1"/>
  <c r="I220" i="3" s="1"/>
  <c r="J220" i="3" s="1"/>
  <c r="H221" i="3" s="1"/>
  <c r="G220" i="3" l="1"/>
  <c r="K220" i="3" l="1"/>
  <c r="L220" i="3" s="1"/>
  <c r="D221" i="3"/>
  <c r="F221" i="3" l="1"/>
  <c r="E221" i="3"/>
  <c r="I221" i="3" l="1"/>
  <c r="J221" i="3" s="1"/>
  <c r="H222" i="3" s="1"/>
  <c r="G221" i="3"/>
  <c r="D222" i="3" l="1"/>
  <c r="K221" i="3"/>
  <c r="L221" i="3" s="1"/>
  <c r="F222" i="3" l="1"/>
  <c r="E222" i="3"/>
  <c r="I222" i="3" l="1"/>
  <c r="J222" i="3" s="1"/>
  <c r="H223" i="3" s="1"/>
  <c r="G222" i="3"/>
  <c r="K222" i="3" l="1"/>
  <c r="L222" i="3" s="1"/>
  <c r="D223" i="3"/>
  <c r="E223" i="3" s="1"/>
  <c r="F223" i="3" l="1"/>
  <c r="I223" i="3" s="1"/>
  <c r="J223" i="3" s="1"/>
  <c r="H224" i="3" s="1"/>
  <c r="G223" i="3" l="1"/>
  <c r="K223" i="3" l="1"/>
  <c r="L223" i="3" s="1"/>
  <c r="D224" i="3"/>
  <c r="E224" i="3" s="1"/>
  <c r="F224" i="3" l="1"/>
  <c r="I224" i="3" s="1"/>
  <c r="J224" i="3" s="1"/>
  <c r="H225" i="3" s="1"/>
  <c r="G224" i="3" l="1"/>
  <c r="D225" i="3" l="1"/>
  <c r="E225" i="3" s="1"/>
  <c r="K224" i="3"/>
  <c r="L224" i="3" s="1"/>
  <c r="F225" i="3" l="1"/>
  <c r="I225" i="3" s="1"/>
  <c r="J225" i="3" s="1"/>
  <c r="H226" i="3" s="1"/>
  <c r="G225" i="3" l="1"/>
  <c r="K225" i="3" l="1"/>
  <c r="L225" i="3" s="1"/>
  <c r="D226" i="3"/>
  <c r="F226" i="3" s="1"/>
  <c r="E226" i="3" l="1"/>
  <c r="I226" i="3" s="1"/>
  <c r="J226" i="3" s="1"/>
  <c r="H227" i="3" s="1"/>
  <c r="G226" i="3" l="1"/>
  <c r="K226" i="3" l="1"/>
  <c r="L226" i="3" s="1"/>
  <c r="D227" i="3"/>
  <c r="F227" i="3" s="1"/>
  <c r="E227" i="3" l="1"/>
  <c r="I227" i="3" s="1"/>
  <c r="J227" i="3" s="1"/>
  <c r="H228" i="3" s="1"/>
  <c r="G227" i="3" l="1"/>
  <c r="K227" i="3" l="1"/>
  <c r="L227" i="3" s="1"/>
  <c r="D228" i="3"/>
  <c r="F228" i="3" s="1"/>
  <c r="E228" i="3" l="1"/>
  <c r="I228" i="3" s="1"/>
  <c r="J228" i="3" s="1"/>
  <c r="H229" i="3" s="1"/>
  <c r="G228" i="3" l="1"/>
  <c r="D229" i="3" l="1"/>
  <c r="E229" i="3" s="1"/>
  <c r="K228" i="3"/>
  <c r="L228" i="3" s="1"/>
  <c r="F229" i="3" l="1"/>
  <c r="I229" i="3" s="1"/>
  <c r="J229" i="3" s="1"/>
  <c r="H230" i="3" s="1"/>
  <c r="G229" i="3" l="1"/>
  <c r="K229" i="3" l="1"/>
  <c r="L229" i="3" s="1"/>
  <c r="D230" i="3"/>
  <c r="E230" i="3" s="1"/>
  <c r="F230" i="3" l="1"/>
  <c r="I230" i="3" s="1"/>
  <c r="J230" i="3" s="1"/>
  <c r="H231" i="3" s="1"/>
  <c r="G230" i="3" l="1"/>
  <c r="D231" i="3" l="1"/>
  <c r="F231" i="3" s="1"/>
  <c r="K230" i="3"/>
  <c r="L230" i="3" s="1"/>
  <c r="E231" i="3" l="1"/>
  <c r="I231" i="3" s="1"/>
  <c r="J231" i="3" s="1"/>
  <c r="H232" i="3" s="1"/>
  <c r="G231" i="3" l="1"/>
  <c r="K231" i="3" l="1"/>
  <c r="L231" i="3" s="1"/>
  <c r="D232" i="3"/>
  <c r="E232" i="3" s="1"/>
  <c r="F232" i="3" l="1"/>
  <c r="I232" i="3" s="1"/>
  <c r="J232" i="3" s="1"/>
  <c r="H233" i="3" s="1"/>
  <c r="G232" i="3" l="1"/>
  <c r="K232" i="3" l="1"/>
  <c r="L232" i="3" s="1"/>
  <c r="D233" i="3"/>
  <c r="F233" i="3" s="1"/>
  <c r="E233" i="3" l="1"/>
  <c r="I233" i="3" s="1"/>
  <c r="J233" i="3" s="1"/>
  <c r="H234" i="3" s="1"/>
  <c r="G233" i="3" l="1"/>
  <c r="D234" i="3" l="1"/>
  <c r="F234" i="3" s="1"/>
  <c r="K233" i="3"/>
  <c r="L233" i="3" s="1"/>
  <c r="E234" i="3" l="1"/>
  <c r="I234" i="3" s="1"/>
  <c r="J234" i="3" s="1"/>
  <c r="H235" i="3" s="1"/>
  <c r="G234" i="3" l="1"/>
  <c r="K234" i="3" l="1"/>
  <c r="L234" i="3" s="1"/>
  <c r="D235" i="3"/>
  <c r="F235" i="3" s="1"/>
  <c r="E235" i="3" l="1"/>
  <c r="I235" i="3" s="1"/>
  <c r="J235" i="3" s="1"/>
  <c r="H236" i="3" s="1"/>
  <c r="G235" i="3" l="1"/>
  <c r="K235" i="3" l="1"/>
  <c r="L235" i="3" s="1"/>
  <c r="D236" i="3"/>
  <c r="F236" i="3" l="1"/>
  <c r="E236" i="3"/>
  <c r="I236" i="3" l="1"/>
  <c r="J236" i="3" s="1"/>
  <c r="H237" i="3" s="1"/>
  <c r="G236" i="3"/>
  <c r="K236" i="3" l="1"/>
  <c r="L236" i="3" s="1"/>
  <c r="D237" i="3"/>
  <c r="F237" i="3" l="1"/>
  <c r="E237" i="3"/>
  <c r="I237" i="3" l="1"/>
  <c r="J237" i="3" s="1"/>
  <c r="H238" i="3" s="1"/>
  <c r="G237" i="3"/>
  <c r="K237" i="3" l="1"/>
  <c r="L237" i="3" s="1"/>
  <c r="D238" i="3"/>
  <c r="E238" i="3" s="1"/>
  <c r="F238" i="3" l="1"/>
  <c r="I238" i="3" s="1"/>
  <c r="J238" i="3" s="1"/>
  <c r="H239" i="3" s="1"/>
  <c r="G238" i="3" l="1"/>
  <c r="D239" i="3" l="1"/>
  <c r="E239" i="3" s="1"/>
  <c r="K238" i="3"/>
  <c r="L238" i="3" s="1"/>
  <c r="F239" i="3" l="1"/>
  <c r="I239" i="3" s="1"/>
  <c r="J239" i="3" s="1"/>
  <c r="H240" i="3" s="1"/>
  <c r="G239" i="3" l="1"/>
  <c r="K239" i="3" l="1"/>
  <c r="L239" i="3" s="1"/>
  <c r="D240" i="3"/>
  <c r="E240" i="3" l="1"/>
  <c r="F240" i="3"/>
  <c r="I240" i="3" l="1"/>
  <c r="J240" i="3" s="1"/>
  <c r="H241" i="3" s="1"/>
  <c r="G240" i="3"/>
  <c r="D241" i="3" l="1"/>
  <c r="E241" i="3" s="1"/>
  <c r="K240" i="3"/>
  <c r="L240" i="3" s="1"/>
  <c r="F241" i="3" l="1"/>
  <c r="I241" i="3" s="1"/>
  <c r="J241" i="3" s="1"/>
  <c r="H242" i="3" s="1"/>
  <c r="G241" i="3" l="1"/>
  <c r="D242" i="3" l="1"/>
  <c r="F242" i="3" s="1"/>
  <c r="K241" i="3"/>
  <c r="L241" i="3" s="1"/>
  <c r="E242" i="3" l="1"/>
  <c r="I242" i="3" s="1"/>
  <c r="J242" i="3" s="1"/>
  <c r="H243" i="3" s="1"/>
  <c r="G242" i="3" l="1"/>
  <c r="D243" i="3" l="1"/>
  <c r="F243" i="3" s="1"/>
  <c r="K242" i="3"/>
  <c r="L242" i="3" s="1"/>
  <c r="E243" i="3" l="1"/>
  <c r="I243" i="3" s="1"/>
  <c r="J243" i="3" s="1"/>
  <c r="H244" i="3" s="1"/>
  <c r="G243" i="3" l="1"/>
  <c r="K243" i="3" s="1"/>
  <c r="L243" i="3" s="1"/>
  <c r="D244" i="3" l="1"/>
  <c r="F244" i="3" s="1"/>
  <c r="E244" i="3" l="1"/>
  <c r="I244" i="3" s="1"/>
  <c r="J244" i="3" s="1"/>
  <c r="H245" i="3" s="1"/>
  <c r="G244" i="3" l="1"/>
  <c r="D245" i="3" l="1"/>
  <c r="F245" i="3" s="1"/>
  <c r="K244" i="3"/>
  <c r="L244" i="3" s="1"/>
  <c r="E245" i="3" l="1"/>
  <c r="I245" i="3" s="1"/>
  <c r="J245" i="3" s="1"/>
  <c r="H246" i="3" l="1"/>
  <c r="G245" i="3"/>
  <c r="K245" i="3" l="1"/>
  <c r="L245" i="3" s="1"/>
  <c r="D246" i="3"/>
  <c r="E246" i="3" s="1"/>
  <c r="F246" i="3" l="1"/>
  <c r="I246" i="3" s="1"/>
  <c r="J246" i="3" s="1"/>
  <c r="H247" i="3" s="1"/>
  <c r="G246" i="3" l="1"/>
  <c r="D247" i="3" l="1"/>
  <c r="K246" i="3"/>
  <c r="L246" i="3" s="1"/>
  <c r="E247" i="3" l="1"/>
  <c r="F247" i="3"/>
  <c r="I247" i="3" l="1"/>
  <c r="J247" i="3" s="1"/>
  <c r="H248" i="3" s="1"/>
  <c r="G247" i="3"/>
  <c r="K247" i="3" l="1"/>
  <c r="L247" i="3" s="1"/>
  <c r="D248" i="3"/>
  <c r="F248" i="3" s="1"/>
  <c r="E248" i="3" l="1"/>
  <c r="I248" i="3" s="1"/>
  <c r="J248" i="3" s="1"/>
  <c r="H249" i="3" s="1"/>
  <c r="G248" i="3" l="1"/>
  <c r="D249" i="3" l="1"/>
  <c r="K248" i="3"/>
  <c r="L248" i="3" s="1"/>
  <c r="F249" i="3" l="1"/>
  <c r="E249" i="3"/>
  <c r="G249" i="3" l="1"/>
  <c r="K249" i="3" s="1"/>
  <c r="I249" i="3"/>
  <c r="J249" i="3" s="1"/>
  <c r="H250" i="3" s="1"/>
  <c r="D250" i="3" l="1"/>
  <c r="E250" i="3" s="1"/>
  <c r="L249" i="3"/>
  <c r="F250" i="3" l="1"/>
  <c r="I250" i="3" s="1"/>
  <c r="J250" i="3" s="1"/>
  <c r="H251" i="3" s="1"/>
  <c r="G250" i="3" l="1"/>
  <c r="K250" i="3" s="1"/>
  <c r="L250" i="3" s="1"/>
  <c r="D251" i="3" l="1"/>
  <c r="E251" i="3" s="1"/>
  <c r="F251" i="3" l="1"/>
  <c r="I251" i="3" s="1"/>
  <c r="J251" i="3" s="1"/>
  <c r="H252" i="3" s="1"/>
  <c r="G251" i="3" l="1"/>
  <c r="K251" i="3" s="1"/>
  <c r="L251" i="3" s="1"/>
  <c r="D252" i="3" l="1"/>
  <c r="F252" i="3" s="1"/>
  <c r="E252" i="3" l="1"/>
  <c r="G252" i="3" s="1"/>
  <c r="D253" i="3" s="1"/>
  <c r="E253" i="3" s="1"/>
  <c r="I252" i="3" l="1"/>
  <c r="J252" i="3" s="1"/>
  <c r="H253" i="3" s="1"/>
  <c r="F253" i="3" s="1"/>
  <c r="G253" i="3" s="1"/>
  <c r="K252" i="3"/>
  <c r="L252" i="3" l="1"/>
  <c r="I253" i="3"/>
  <c r="J253" i="3" s="1"/>
  <c r="H254" i="3" s="1"/>
  <c r="K253" i="3"/>
  <c r="D254" i="3"/>
  <c r="F254" i="3" l="1"/>
  <c r="L253" i="3"/>
  <c r="E254" i="3"/>
  <c r="I254" i="3" l="1"/>
  <c r="J254" i="3" s="1"/>
  <c r="H255" i="3" s="1"/>
  <c r="G254" i="3"/>
  <c r="K254" i="3" l="1"/>
  <c r="L254" i="3" s="1"/>
  <c r="D255" i="3"/>
  <c r="E255" i="3" s="1"/>
  <c r="F255" i="3" l="1"/>
  <c r="I255" i="3" s="1"/>
  <c r="J255" i="3" s="1"/>
  <c r="H256" i="3" s="1"/>
  <c r="G255" i="3" l="1"/>
  <c r="K255" i="3" l="1"/>
  <c r="L255" i="3" s="1"/>
  <c r="D256" i="3"/>
  <c r="E256" i="3" l="1"/>
  <c r="F256" i="3"/>
  <c r="I256" i="3" l="1"/>
  <c r="J256" i="3" s="1"/>
  <c r="H257" i="3" s="1"/>
  <c r="G256" i="3"/>
  <c r="D257" i="3" l="1"/>
  <c r="K256" i="3"/>
  <c r="L256" i="3" s="1"/>
  <c r="E257" i="3" l="1"/>
  <c r="F257" i="3"/>
  <c r="I257" i="3" l="1"/>
  <c r="J257" i="3" s="1"/>
  <c r="H258" i="3" s="1"/>
  <c r="G257" i="3"/>
  <c r="D258" i="3" l="1"/>
  <c r="K257" i="3"/>
  <c r="L257" i="3" s="1"/>
  <c r="E258" i="3" l="1"/>
  <c r="F258" i="3"/>
  <c r="I258" i="3" l="1"/>
  <c r="J258" i="3" s="1"/>
  <c r="H259" i="3" s="1"/>
  <c r="G258" i="3"/>
  <c r="D259" i="3" l="1"/>
  <c r="E259" i="3" s="1"/>
  <c r="K258" i="3"/>
  <c r="L258" i="3" s="1"/>
  <c r="F259" i="3" l="1"/>
  <c r="I259" i="3" s="1"/>
  <c r="J259" i="3" s="1"/>
  <c r="H260" i="3" s="1"/>
  <c r="G259" i="3" l="1"/>
  <c r="D260" i="3" l="1"/>
  <c r="K259" i="3"/>
  <c r="L259" i="3" s="1"/>
  <c r="E260" i="3" l="1"/>
  <c r="F260" i="3"/>
  <c r="G260" i="3" l="1"/>
  <c r="K260" i="3" s="1"/>
  <c r="I260" i="3"/>
  <c r="J260" i="3" s="1"/>
  <c r="H261" i="3" s="1"/>
  <c r="D261" i="3" l="1"/>
  <c r="L260" i="3"/>
  <c r="E261" i="3" l="1"/>
  <c r="F261" i="3"/>
  <c r="I261" i="3" l="1"/>
  <c r="J261" i="3" s="1"/>
  <c r="H262" i="3" s="1"/>
  <c r="G261" i="3"/>
  <c r="D262" i="3" l="1"/>
  <c r="K261" i="3"/>
  <c r="L261" i="3" s="1"/>
  <c r="F262" i="3" l="1"/>
  <c r="E262" i="3"/>
  <c r="G262" i="3" l="1"/>
  <c r="D263" i="3" s="1"/>
  <c r="E263" i="3" s="1"/>
  <c r="I262" i="3"/>
  <c r="J262" i="3" s="1"/>
  <c r="H263" i="3" s="1"/>
  <c r="F263" i="3" l="1"/>
  <c r="I263" i="3" s="1"/>
  <c r="J263" i="3" s="1"/>
  <c r="H264" i="3" s="1"/>
  <c r="K262" i="3"/>
  <c r="L262" i="3" s="1"/>
  <c r="G263" i="3" l="1"/>
  <c r="K263" i="3" s="1"/>
  <c r="L263" i="3" s="1"/>
  <c r="D264" i="3" l="1"/>
  <c r="F264" i="3" s="1"/>
  <c r="E264" i="3" l="1"/>
  <c r="I264" i="3" s="1"/>
  <c r="J264" i="3" s="1"/>
  <c r="H265" i="3" s="1"/>
  <c r="G264" i="3" l="1"/>
  <c r="D265" i="3" s="1"/>
  <c r="E265" i="3" s="1"/>
  <c r="K264" i="3" l="1"/>
  <c r="L264" i="3" s="1"/>
  <c r="F265" i="3"/>
  <c r="I265" i="3" s="1"/>
  <c r="J265" i="3" s="1"/>
  <c r="B4" i="3" s="1"/>
  <c r="G265" i="3" l="1"/>
  <c r="K265" i="3" s="1"/>
  <c r="B5" i="3" s="1"/>
  <c r="L265" i="3" l="1"/>
  <c r="B6" i="3" s="1"/>
</calcChain>
</file>

<file path=xl/sharedStrings.xml><?xml version="1.0" encoding="utf-8"?>
<sst xmlns="http://schemas.openxmlformats.org/spreadsheetml/2006/main" count="142" uniqueCount="117">
  <si>
    <t>Stock Market Simulation</t>
  </si>
  <si>
    <t>Inputs</t>
  </si>
  <si>
    <t>Initial cash</t>
  </si>
  <si>
    <t>Daily growth rate of stock price</t>
  </si>
  <si>
    <t>Mean</t>
  </si>
  <si>
    <t>StDev</t>
  </si>
  <si>
    <t>Implication for the year (assuming 250 trading days per year)</t>
  </si>
  <si>
    <t xml:space="preserve">   (average annual growth rate of stock price)</t>
  </si>
  <si>
    <t xml:space="preserve">   (standard deviation of annual growth rate)</t>
  </si>
  <si>
    <t>Trading strategy</t>
  </si>
  <si>
    <t>Buying: if change is negative</t>
  </si>
  <si>
    <t xml:space="preserve">     3 days in a row, buy</t>
  </si>
  <si>
    <t xml:space="preserve">   of current shares</t>
  </si>
  <si>
    <t xml:space="preserve">     2 days in a row, buy</t>
  </si>
  <si>
    <t>Selling: if change is positive</t>
  </si>
  <si>
    <t xml:space="preserve">     3 days in a row, sell</t>
  </si>
  <si>
    <t xml:space="preserve">     2 days in a row, sell</t>
  </si>
  <si>
    <t>Simulation</t>
  </si>
  <si>
    <t>Day</t>
  </si>
  <si>
    <t>Shares sold</t>
  </si>
  <si>
    <t>Shares purchased</t>
  </si>
  <si>
    <t>Beginning cash</t>
  </si>
  <si>
    <t>Change in cash</t>
  </si>
  <si>
    <t>Ending cash</t>
  </si>
  <si>
    <t>Cumulative gain/loss</t>
  </si>
  <si>
    <t>Initial shares owned</t>
  </si>
  <si>
    <t>Current</t>
  </si>
  <si>
    <t>3 days ago</t>
  </si>
  <si>
    <t>2 days ago</t>
  </si>
  <si>
    <t>1 day ago</t>
  </si>
  <si>
    <t>Recent stock prices</t>
  </si>
  <si>
    <t>Change from previous day</t>
  </si>
  <si>
    <t>Beginning price</t>
  </si>
  <si>
    <t>Worth of shares</t>
  </si>
  <si>
    <t>Stock price</t>
  </si>
  <si>
    <t>Trading activity</t>
  </si>
  <si>
    <t>Beginning shares</t>
  </si>
  <si>
    <t>Ending shares</t>
  </si>
  <si>
    <t>Ending value of stock owned</t>
  </si>
  <si>
    <t>Value of stock/cash portfolio</t>
  </si>
  <si>
    <t>Inputs to simulation</t>
  </si>
  <si>
    <t>Outputs from one year-long simulation</t>
  </si>
  <si>
    <t>Results of individual replications</t>
  </si>
  <si>
    <t>Replication</t>
  </si>
  <si>
    <t>Ending stock value</t>
  </si>
  <si>
    <t>Cum gain/loss</t>
  </si>
  <si>
    <t>Summary results from the simulation</t>
  </si>
  <si>
    <t>Min</t>
  </si>
  <si>
    <t>Max</t>
  </si>
  <si>
    <t>Average</t>
  </si>
  <si>
    <t>Stdev</t>
  </si>
  <si>
    <t>5th percentile</t>
  </si>
  <si>
    <t>95th percentile</t>
  </si>
  <si>
    <t>Median</t>
  </si>
  <si>
    <t>Lowest stock price</t>
  </si>
  <si>
    <t>Highest stock price</t>
  </si>
  <si>
    <t>Min price</t>
  </si>
  <si>
    <t>Max price</t>
  </si>
  <si>
    <t>Upper limit</t>
  </si>
  <si>
    <t>Category</t>
  </si>
  <si>
    <t>Frequency</t>
  </si>
  <si>
    <t>Frequency table for Ending cash</t>
  </si>
  <si>
    <t>Frequency table for Ending stock value</t>
  </si>
  <si>
    <t>Frequency table for Cum gain/loss</t>
  </si>
  <si>
    <t>Frequency table for Min price</t>
  </si>
  <si>
    <t>Frequency table for Max price</t>
  </si>
  <si>
    <t>Stock Market Trading Simulation</t>
  </si>
  <si>
    <t>38-41</t>
  </si>
  <si>
    <t>41-44</t>
  </si>
  <si>
    <t>44-47</t>
  </si>
  <si>
    <t>&lt;=50</t>
  </si>
  <si>
    <t>50-55</t>
  </si>
  <si>
    <t>55-60</t>
  </si>
  <si>
    <t>69-74</t>
  </si>
  <si>
    <t>74-79</t>
  </si>
  <si>
    <t>79-84</t>
  </si>
  <si>
    <t>84-88</t>
  </si>
  <si>
    <t>&gt;88</t>
  </si>
  <si>
    <t>47-50</t>
  </si>
  <si>
    <t>&gt;50</t>
  </si>
  <si>
    <t>&lt;=26</t>
  </si>
  <si>
    <t>26-29</t>
  </si>
  <si>
    <t>29-32</t>
  </si>
  <si>
    <t>32-35</t>
  </si>
  <si>
    <t>60-64</t>
  </si>
  <si>
    <t>64-69</t>
  </si>
  <si>
    <t>&lt;=42832</t>
  </si>
  <si>
    <t>42832-50942</t>
  </si>
  <si>
    <t>50942-59053</t>
  </si>
  <si>
    <t>59053-67164</t>
  </si>
  <si>
    <t>67164-75275</t>
  </si>
  <si>
    <t>75275-83386</t>
  </si>
  <si>
    <t>83386-91496</t>
  </si>
  <si>
    <t>91496-99607</t>
  </si>
  <si>
    <t>99607-107718</t>
  </si>
  <si>
    <t>&gt;107718</t>
  </si>
  <si>
    <t>&lt;=52</t>
  </si>
  <si>
    <t>52-6417</t>
  </si>
  <si>
    <t>6417-12783</t>
  </si>
  <si>
    <t>12783-19148</t>
  </si>
  <si>
    <t>19148-25514</t>
  </si>
  <si>
    <t>25514-31879</t>
  </si>
  <si>
    <t>31879-38245</t>
  </si>
  <si>
    <t>38245-44610</t>
  </si>
  <si>
    <t>44610-50976</t>
  </si>
  <si>
    <t>&gt;50976</t>
  </si>
  <si>
    <t>&lt;=-16352</t>
  </si>
  <si>
    <t>-16352--12866</t>
  </si>
  <si>
    <t>-12866--9379</t>
  </si>
  <si>
    <t>-9379--5892</t>
  </si>
  <si>
    <t>-5892--2405</t>
  </si>
  <si>
    <t>-2405-1081</t>
  </si>
  <si>
    <t>1081-4568</t>
  </si>
  <si>
    <t>4568-8055</t>
  </si>
  <si>
    <t>8055-11542</t>
  </si>
  <si>
    <t>&gt;11542</t>
  </si>
  <si>
    <t>35-38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</si>
</sst>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164" formatCode="0.0%"/>
    <numFmt numFmtId="165" formatCode="&quot;$&quot;#,##0;\-&quot;$&quot;#,##0"/>
    <numFmt numFmtId="166" formatCode="&quot;$&quot;#,##0.00;\-&quot;$&quot;#,##0.00"/>
  </numFmts>
  <fonts count="5" x14ac:knownFonts="1">
    <font>
      <sz val="10"/>
      <name val="Arial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4" tint="0.599963377788628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0" borderId="0" xfId="0" applyFont="1" applyFill="1"/>
    <xf numFmtId="0" fontId="2" fillId="0" borderId="0" xfId="0" applyFont="1" applyFill="1"/>
    <xf numFmtId="0" fontId="2" fillId="0" borderId="0" xfId="0" applyFont="1" applyFill="1" applyAlignment="1">
      <alignment horizontal="center"/>
    </xf>
    <xf numFmtId="0" fontId="2" fillId="0" borderId="0" xfId="0" applyFont="1"/>
    <xf numFmtId="0" fontId="1" fillId="0" borderId="0" xfId="0" applyFont="1"/>
    <xf numFmtId="164" fontId="1" fillId="0" borderId="0" xfId="0" applyNumberFormat="1" applyFont="1"/>
    <xf numFmtId="165" fontId="1" fillId="5" borderId="0" xfId="0" applyNumberFormat="1" applyFont="1" applyFill="1" applyBorder="1"/>
    <xf numFmtId="166" fontId="1" fillId="5" borderId="0" xfId="0" applyNumberFormat="1" applyFont="1" applyFill="1" applyBorder="1"/>
    <xf numFmtId="1" fontId="1" fillId="5" borderId="0" xfId="0" applyNumberFormat="1" applyFont="1" applyFill="1" applyBorder="1"/>
    <xf numFmtId="9" fontId="1" fillId="5" borderId="0" xfId="0" applyNumberFormat="1" applyFont="1" applyFill="1" applyBorder="1"/>
    <xf numFmtId="6" fontId="1" fillId="0" borderId="0" xfId="0" applyNumberFormat="1" applyFont="1"/>
    <xf numFmtId="6" fontId="1" fillId="0" borderId="0" xfId="0" applyNumberFormat="1" applyFont="1" applyBorder="1"/>
    <xf numFmtId="9" fontId="1" fillId="0" borderId="0" xfId="0" applyNumberFormat="1" applyFont="1"/>
    <xf numFmtId="10" fontId="1" fillId="5" borderId="0" xfId="0" applyNumberFormat="1" applyFont="1" applyFill="1" applyBorder="1"/>
    <xf numFmtId="164" fontId="1" fillId="5" borderId="0" xfId="0" applyNumberFormat="1" applyFont="1" applyFill="1" applyBorder="1"/>
    <xf numFmtId="10" fontId="1" fillId="0" borderId="0" xfId="0" applyNumberFormat="1" applyFont="1" applyBorder="1"/>
    <xf numFmtId="0" fontId="1" fillId="0" borderId="0" xfId="0" applyFont="1" applyAlignment="1">
      <alignment horizontal="right"/>
    </xf>
    <xf numFmtId="166" fontId="1" fillId="0" borderId="0" xfId="0" applyNumberFormat="1" applyFont="1"/>
    <xf numFmtId="49" fontId="1" fillId="0" borderId="0" xfId="0" applyNumberFormat="1" applyFont="1" applyAlignment="1">
      <alignment horizontal="right"/>
    </xf>
    <xf numFmtId="0" fontId="1" fillId="0" borderId="0" xfId="0" applyFont="1" applyBorder="1"/>
    <xf numFmtId="0" fontId="1" fillId="0" borderId="0" xfId="0" applyFont="1" applyFill="1" applyBorder="1"/>
    <xf numFmtId="8" fontId="1" fillId="0" borderId="0" xfId="0" applyNumberFormat="1" applyFont="1"/>
    <xf numFmtId="6" fontId="1" fillId="0" borderId="0" xfId="0" applyNumberFormat="1" applyFont="1" applyFill="1" applyBorder="1"/>
    <xf numFmtId="0" fontId="2" fillId="2" borderId="0" xfId="0" applyFont="1" applyFill="1"/>
    <xf numFmtId="0" fontId="1" fillId="2" borderId="0" xfId="0" applyFont="1" applyFill="1"/>
    <xf numFmtId="0" fontId="2" fillId="3" borderId="0" xfId="0" applyFont="1" applyFill="1"/>
    <xf numFmtId="0" fontId="1" fillId="3" borderId="0" xfId="0" applyFont="1" applyFill="1"/>
    <xf numFmtId="0" fontId="2" fillId="4" borderId="0" xfId="0" applyFont="1" applyFill="1"/>
    <xf numFmtId="0" fontId="1" fillId="4" borderId="0" xfId="0" applyFont="1" applyFill="1"/>
    <xf numFmtId="0" fontId="1" fillId="0" borderId="0" xfId="0" applyFont="1" applyAlignment="1">
      <alignment horizontal="right" wrapText="1"/>
    </xf>
    <xf numFmtId="0" fontId="1" fillId="0" borderId="0" xfId="0" quotePrefix="1" applyFont="1" applyAlignment="1">
      <alignment horizontal="right" wrapText="1"/>
    </xf>
    <xf numFmtId="166" fontId="1" fillId="0" borderId="0" xfId="0" quotePrefix="1" applyNumberFormat="1" applyFont="1" applyAlignment="1">
      <alignment horizontal="right" wrapText="1"/>
    </xf>
    <xf numFmtId="166" fontId="1" fillId="0" borderId="0" xfId="0" applyNumberFormat="1" applyFont="1" applyAlignment="1">
      <alignment horizontal="right" wrapText="1"/>
    </xf>
    <xf numFmtId="1" fontId="1" fillId="0" borderId="0" xfId="0" applyNumberFormat="1" applyFont="1"/>
    <xf numFmtId="6" fontId="1" fillId="0" borderId="0" xfId="0" applyNumberFormat="1" applyFont="1" applyAlignment="1">
      <alignment horizontal="right"/>
    </xf>
    <xf numFmtId="7" fontId="1" fillId="0" borderId="0" xfId="0" applyNumberFormat="1" applyFont="1"/>
    <xf numFmtId="0" fontId="3" fillId="0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Histogram for Ending Cash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'Histogram 1'!$C$3</c:f>
              <c:strCache>
                <c:ptCount val="1"/>
                <c:pt idx="0">
                  <c:v>Frequency</c:v>
                </c:pt>
              </c:strCache>
            </c:strRef>
          </c:tx>
          <c:spPr>
            <a:ln>
              <a:solidFill>
                <a:sysClr val="window" lastClr="FFFFFF">
                  <a:shade val="50000"/>
                </a:sysClr>
              </a:solidFill>
            </a:ln>
          </c:spPr>
          <c:invertIfNegative val="0"/>
          <c:cat>
            <c:strRef>
              <c:f>'Histogram 1'!$B$4:$B$13</c:f>
              <c:strCache>
                <c:ptCount val="10"/>
                <c:pt idx="0">
                  <c:v>&lt;=42832</c:v>
                </c:pt>
                <c:pt idx="1">
                  <c:v>42832-50942</c:v>
                </c:pt>
                <c:pt idx="2">
                  <c:v>50942-59053</c:v>
                </c:pt>
                <c:pt idx="3">
                  <c:v>59053-67164</c:v>
                </c:pt>
                <c:pt idx="4">
                  <c:v>67164-75275</c:v>
                </c:pt>
                <c:pt idx="5">
                  <c:v>75275-83386</c:v>
                </c:pt>
                <c:pt idx="6">
                  <c:v>83386-91496</c:v>
                </c:pt>
                <c:pt idx="7">
                  <c:v>91496-99607</c:v>
                </c:pt>
                <c:pt idx="8">
                  <c:v>99607-107718</c:v>
                </c:pt>
                <c:pt idx="9">
                  <c:v>&gt;107718</c:v>
                </c:pt>
              </c:strCache>
            </c:strRef>
          </c:cat>
          <c:val>
            <c:numRef>
              <c:f>'Histogram 1'!$C$4:$C$13</c:f>
              <c:numCache>
                <c:formatCode>General</c:formatCode>
                <c:ptCount val="10"/>
                <c:pt idx="0">
                  <c:v>25</c:v>
                </c:pt>
                <c:pt idx="1">
                  <c:v>10</c:v>
                </c:pt>
                <c:pt idx="2">
                  <c:v>9</c:v>
                </c:pt>
                <c:pt idx="3">
                  <c:v>15</c:v>
                </c:pt>
                <c:pt idx="4">
                  <c:v>18</c:v>
                </c:pt>
                <c:pt idx="5">
                  <c:v>23</c:v>
                </c:pt>
                <c:pt idx="6">
                  <c:v>39</c:v>
                </c:pt>
                <c:pt idx="7">
                  <c:v>96</c:v>
                </c:pt>
                <c:pt idx="8">
                  <c:v>240</c:v>
                </c:pt>
                <c:pt idx="9">
                  <c:v>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613313416"/>
        <c:axId val="613314200"/>
      </c:barChart>
      <c:catAx>
        <c:axId val="6133134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613314200"/>
        <c:crosses val="autoZero"/>
        <c:auto val="1"/>
        <c:lblAlgn val="ctr"/>
        <c:lblOffset val="100"/>
        <c:noMultiLvlLbl val="0"/>
      </c:catAx>
      <c:valAx>
        <c:axId val="613314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133134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Histogram for Ending Stock Value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'Histogram 2'!$C$3</c:f>
              <c:strCache>
                <c:ptCount val="1"/>
                <c:pt idx="0">
                  <c:v>Frequency</c:v>
                </c:pt>
              </c:strCache>
            </c:strRef>
          </c:tx>
          <c:spPr>
            <a:ln>
              <a:solidFill>
                <a:sysClr val="window" lastClr="FFFFFF">
                  <a:shade val="50000"/>
                </a:sysClr>
              </a:solidFill>
            </a:ln>
          </c:spPr>
          <c:invertIfNegative val="0"/>
          <c:cat>
            <c:strRef>
              <c:f>'Histogram 2'!$B$4:$B$13</c:f>
              <c:strCache>
                <c:ptCount val="10"/>
                <c:pt idx="0">
                  <c:v>&lt;=52</c:v>
                </c:pt>
                <c:pt idx="1">
                  <c:v>52-6417</c:v>
                </c:pt>
                <c:pt idx="2">
                  <c:v>6417-12783</c:v>
                </c:pt>
                <c:pt idx="3">
                  <c:v>12783-19148</c:v>
                </c:pt>
                <c:pt idx="4">
                  <c:v>19148-25514</c:v>
                </c:pt>
                <c:pt idx="5">
                  <c:v>25514-31879</c:v>
                </c:pt>
                <c:pt idx="6">
                  <c:v>31879-38245</c:v>
                </c:pt>
                <c:pt idx="7">
                  <c:v>38245-44610</c:v>
                </c:pt>
                <c:pt idx="8">
                  <c:v>44610-50976</c:v>
                </c:pt>
                <c:pt idx="9">
                  <c:v>&gt;50976</c:v>
                </c:pt>
              </c:strCache>
            </c:strRef>
          </c:cat>
          <c:val>
            <c:numRef>
              <c:f>'Histogram 2'!$C$4:$C$13</c:f>
              <c:numCache>
                <c:formatCode>General</c:formatCode>
                <c:ptCount val="10"/>
                <c:pt idx="0">
                  <c:v>27</c:v>
                </c:pt>
                <c:pt idx="1">
                  <c:v>313</c:v>
                </c:pt>
                <c:pt idx="2">
                  <c:v>62</c:v>
                </c:pt>
                <c:pt idx="3">
                  <c:v>20</c:v>
                </c:pt>
                <c:pt idx="4">
                  <c:v>17</c:v>
                </c:pt>
                <c:pt idx="5">
                  <c:v>10</c:v>
                </c:pt>
                <c:pt idx="6">
                  <c:v>7</c:v>
                </c:pt>
                <c:pt idx="7">
                  <c:v>10</c:v>
                </c:pt>
                <c:pt idx="8">
                  <c:v>9</c:v>
                </c:pt>
                <c:pt idx="9">
                  <c:v>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613287544"/>
        <c:axId val="613291072"/>
      </c:barChart>
      <c:catAx>
        <c:axId val="61328754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613291072"/>
        <c:crosses val="autoZero"/>
        <c:auto val="1"/>
        <c:lblAlgn val="ctr"/>
        <c:lblOffset val="100"/>
        <c:noMultiLvlLbl val="0"/>
      </c:catAx>
      <c:valAx>
        <c:axId val="6132910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132875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Histogram for Cumulative Gain/Loss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'Histogram 3'!$C$3</c:f>
              <c:strCache>
                <c:ptCount val="1"/>
                <c:pt idx="0">
                  <c:v>Frequency</c:v>
                </c:pt>
              </c:strCache>
            </c:strRef>
          </c:tx>
          <c:spPr>
            <a:ln>
              <a:solidFill>
                <a:sysClr val="window" lastClr="FFFFFF">
                  <a:shade val="50000"/>
                </a:sysClr>
              </a:solidFill>
            </a:ln>
          </c:spPr>
          <c:invertIfNegative val="0"/>
          <c:cat>
            <c:strRef>
              <c:f>'Histogram 3'!$B$4:$B$13</c:f>
              <c:strCache>
                <c:ptCount val="10"/>
                <c:pt idx="0">
                  <c:v>&lt;=-16352</c:v>
                </c:pt>
                <c:pt idx="1">
                  <c:v>-16352--12866</c:v>
                </c:pt>
                <c:pt idx="2">
                  <c:v>-12866--9379</c:v>
                </c:pt>
                <c:pt idx="3">
                  <c:v>-9379--5892</c:v>
                </c:pt>
                <c:pt idx="4">
                  <c:v>-5892--2405</c:v>
                </c:pt>
                <c:pt idx="5">
                  <c:v>-2405-1081</c:v>
                </c:pt>
                <c:pt idx="6">
                  <c:v>1081-4568</c:v>
                </c:pt>
                <c:pt idx="7">
                  <c:v>4568-8055</c:v>
                </c:pt>
                <c:pt idx="8">
                  <c:v>8055-11542</c:v>
                </c:pt>
                <c:pt idx="9">
                  <c:v>&gt;11542</c:v>
                </c:pt>
              </c:strCache>
            </c:strRef>
          </c:cat>
          <c:val>
            <c:numRef>
              <c:f>'Histogram 3'!$C$4:$C$13</c:f>
              <c:numCache>
                <c:formatCode>General</c:formatCode>
                <c:ptCount val="10"/>
                <c:pt idx="0">
                  <c:v>25</c:v>
                </c:pt>
                <c:pt idx="1">
                  <c:v>12</c:v>
                </c:pt>
                <c:pt idx="2">
                  <c:v>12</c:v>
                </c:pt>
                <c:pt idx="3">
                  <c:v>13</c:v>
                </c:pt>
                <c:pt idx="4">
                  <c:v>28</c:v>
                </c:pt>
                <c:pt idx="5">
                  <c:v>78</c:v>
                </c:pt>
                <c:pt idx="6">
                  <c:v>206</c:v>
                </c:pt>
                <c:pt idx="7">
                  <c:v>73</c:v>
                </c:pt>
                <c:pt idx="8">
                  <c:v>28</c:v>
                </c:pt>
                <c:pt idx="9">
                  <c:v>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613288720"/>
        <c:axId val="613290288"/>
      </c:barChart>
      <c:catAx>
        <c:axId val="61328872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613290288"/>
        <c:crosses val="autoZero"/>
        <c:auto val="1"/>
        <c:lblAlgn val="ctr"/>
        <c:lblOffset val="100"/>
        <c:noMultiLvlLbl val="0"/>
      </c:catAx>
      <c:valAx>
        <c:axId val="613290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132887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Histogram for Minimum Price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'Histogram 4'!$C$3</c:f>
              <c:strCache>
                <c:ptCount val="1"/>
                <c:pt idx="0">
                  <c:v>Frequency</c:v>
                </c:pt>
              </c:strCache>
            </c:strRef>
          </c:tx>
          <c:spPr>
            <a:ln>
              <a:solidFill>
                <a:schemeClr val="lt1">
                  <a:shade val="50000"/>
                </a:schemeClr>
              </a:solidFill>
            </a:ln>
          </c:spPr>
          <c:invertIfNegative val="0"/>
          <c:cat>
            <c:strRef>
              <c:f>'Histogram 4'!$B$4:$B$13</c:f>
              <c:strCache>
                <c:ptCount val="10"/>
                <c:pt idx="0">
                  <c:v>&lt;=26</c:v>
                </c:pt>
                <c:pt idx="1">
                  <c:v>26-29</c:v>
                </c:pt>
                <c:pt idx="2">
                  <c:v>29-32</c:v>
                </c:pt>
                <c:pt idx="3">
                  <c:v>32-35</c:v>
                </c:pt>
                <c:pt idx="4">
                  <c:v>35-38</c:v>
                </c:pt>
                <c:pt idx="5">
                  <c:v>38-41</c:v>
                </c:pt>
                <c:pt idx="6">
                  <c:v>41-44</c:v>
                </c:pt>
                <c:pt idx="7">
                  <c:v>44-47</c:v>
                </c:pt>
                <c:pt idx="8">
                  <c:v>47-50</c:v>
                </c:pt>
                <c:pt idx="9">
                  <c:v>&gt;50</c:v>
                </c:pt>
              </c:strCache>
            </c:strRef>
          </c:cat>
          <c:val>
            <c:numRef>
              <c:f>'Histogram 4'!$C$4:$C$13</c:f>
              <c:numCache>
                <c:formatCode>General</c:formatCode>
                <c:ptCount val="10"/>
                <c:pt idx="0">
                  <c:v>26</c:v>
                </c:pt>
                <c:pt idx="1">
                  <c:v>22</c:v>
                </c:pt>
                <c:pt idx="2">
                  <c:v>30</c:v>
                </c:pt>
                <c:pt idx="3">
                  <c:v>53</c:v>
                </c:pt>
                <c:pt idx="4">
                  <c:v>62</c:v>
                </c:pt>
                <c:pt idx="5">
                  <c:v>78</c:v>
                </c:pt>
                <c:pt idx="6">
                  <c:v>71</c:v>
                </c:pt>
                <c:pt idx="7">
                  <c:v>81</c:v>
                </c:pt>
                <c:pt idx="8">
                  <c:v>77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613293424"/>
        <c:axId val="563954272"/>
      </c:barChart>
      <c:catAx>
        <c:axId val="61329342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63954272"/>
        <c:crosses val="autoZero"/>
        <c:auto val="1"/>
        <c:lblAlgn val="ctr"/>
        <c:lblOffset val="100"/>
        <c:noMultiLvlLbl val="0"/>
      </c:catAx>
      <c:valAx>
        <c:axId val="5639542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132934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Histogram for Maximum Price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'Histogram 5'!$C$3</c:f>
              <c:strCache>
                <c:ptCount val="1"/>
                <c:pt idx="0">
                  <c:v>Frequency</c:v>
                </c:pt>
              </c:strCache>
            </c:strRef>
          </c:tx>
          <c:spPr>
            <a:ln>
              <a:solidFill>
                <a:sysClr val="window" lastClr="FFFFFF">
                  <a:shade val="50000"/>
                </a:sysClr>
              </a:solidFill>
            </a:ln>
          </c:spPr>
          <c:invertIfNegative val="0"/>
          <c:cat>
            <c:strRef>
              <c:f>'Histogram 5'!$B$4:$B$13</c:f>
              <c:strCache>
                <c:ptCount val="10"/>
                <c:pt idx="0">
                  <c:v>&lt;=50</c:v>
                </c:pt>
                <c:pt idx="1">
                  <c:v>50-55</c:v>
                </c:pt>
                <c:pt idx="2">
                  <c:v>55-60</c:v>
                </c:pt>
                <c:pt idx="3">
                  <c:v>60-64</c:v>
                </c:pt>
                <c:pt idx="4">
                  <c:v>64-69</c:v>
                </c:pt>
                <c:pt idx="5">
                  <c:v>69-74</c:v>
                </c:pt>
                <c:pt idx="6">
                  <c:v>74-79</c:v>
                </c:pt>
                <c:pt idx="7">
                  <c:v>79-84</c:v>
                </c:pt>
                <c:pt idx="8">
                  <c:v>84-88</c:v>
                </c:pt>
                <c:pt idx="9">
                  <c:v>&gt;88</c:v>
                </c:pt>
              </c:strCache>
            </c:strRef>
          </c:cat>
          <c:val>
            <c:numRef>
              <c:f>'Histogram 5'!$C$4:$C$13</c:f>
              <c:numCache>
                <c:formatCode>General</c:formatCode>
                <c:ptCount val="10"/>
                <c:pt idx="0">
                  <c:v>26</c:v>
                </c:pt>
                <c:pt idx="1">
                  <c:v>98</c:v>
                </c:pt>
                <c:pt idx="2">
                  <c:v>98</c:v>
                </c:pt>
                <c:pt idx="3">
                  <c:v>69</c:v>
                </c:pt>
                <c:pt idx="4">
                  <c:v>71</c:v>
                </c:pt>
                <c:pt idx="5">
                  <c:v>42</c:v>
                </c:pt>
                <c:pt idx="6">
                  <c:v>39</c:v>
                </c:pt>
                <c:pt idx="7">
                  <c:v>17</c:v>
                </c:pt>
                <c:pt idx="8">
                  <c:v>12</c:v>
                </c:pt>
                <c:pt idx="9">
                  <c:v>28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563953096"/>
        <c:axId val="563953488"/>
      </c:barChart>
      <c:catAx>
        <c:axId val="56395309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63953488"/>
        <c:crosses val="autoZero"/>
        <c:auto val="1"/>
        <c:lblAlgn val="ctr"/>
        <c:lblOffset val="100"/>
        <c:noMultiLvlLbl val="0"/>
      </c:catAx>
      <c:valAx>
        <c:axId val="563953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39530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4</xdr:row>
      <xdr:rowOff>155576</xdr:rowOff>
    </xdr:from>
    <xdr:to>
      <xdr:col>10</xdr:col>
      <xdr:colOff>28575</xdr:colOff>
      <xdr:row>19</xdr:row>
      <xdr:rowOff>28576</xdr:rowOff>
    </xdr:to>
    <xdr:sp macro="" textlink="">
      <xdr:nvSpPr>
        <xdr:cNvPr id="3" name="TextBox 2"/>
        <xdr:cNvSpPr txBox="1"/>
      </xdr:nvSpPr>
      <xdr:spPr>
        <a:xfrm>
          <a:off x="676275" y="965201"/>
          <a:ext cx="5743575" cy="2730500"/>
        </a:xfrm>
        <a:prstGeom prst="round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sz="1100"/>
            <a:t>This application simulates the stock market and the trading strategy of an investor.  The investor owns some cash and shares of a stock at the beginning of day 1.  From then on, the investor uses a buy/sell strategy that depends on the recent stock price changes.  The current strategy, described on the Inputs sheet, is a version of "buy low/sell high."  The only constraint is that the investor can't buy more shares than he can afford with the current cash on hand.
The stock price changes according to a "lognormal model," a model commonly used by financial analysts.
The user can view/change the inputs first or run the simulation with the current inputs. A summary of the results are shown on the Summary sheet,</a:t>
          </a:r>
          <a:r>
            <a:rPr lang="en-US" sz="1100" baseline="0"/>
            <a:t> and corresponding histograms are shown on the histogram sheets. The results of the individual replications of the simulation are available on the (hidden) Replications sheet.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2</xdr:row>
          <xdr:rowOff>57150</xdr:rowOff>
        </xdr:from>
        <xdr:to>
          <xdr:col>4</xdr:col>
          <xdr:colOff>571500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View/change inputs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276225</xdr:colOff>
          <xdr:row>2</xdr:row>
          <xdr:rowOff>57150</xdr:rowOff>
        </xdr:from>
        <xdr:to>
          <xdr:col>8</xdr:col>
          <xdr:colOff>180975</xdr:colOff>
          <xdr:row>4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the simulation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755650</xdr:colOff>
      <xdr:row>14</xdr:row>
      <xdr:rowOff>9525</xdr:rowOff>
    </xdr:from>
    <xdr:to>
      <xdr:col>8</xdr:col>
      <xdr:colOff>228600</xdr:colOff>
      <xdr:row>17</xdr:row>
      <xdr:rowOff>58419</xdr:rowOff>
    </xdr:to>
    <xdr:sp macro="" textlink="">
      <xdr:nvSpPr>
        <xdr:cNvPr id="3" name="TextBox 2"/>
        <xdr:cNvSpPr txBox="1"/>
      </xdr:nvSpPr>
      <xdr:spPr>
        <a:xfrm>
          <a:off x="3279775" y="2676525"/>
          <a:ext cx="2787650" cy="620394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sz="1100"/>
            <a:t>Enter any new inputs in the blue cells. Then click the Run Simulation button</a:t>
          </a:r>
          <a:r>
            <a:rPr lang="en-US" sz="1100" baseline="0"/>
            <a:t> below.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200025</xdr:colOff>
          <xdr:row>18</xdr:row>
          <xdr:rowOff>28575</xdr:rowOff>
        </xdr:from>
        <xdr:to>
          <xdr:col>7</xdr:col>
          <xdr:colOff>228600</xdr:colOff>
          <xdr:row>19</xdr:row>
          <xdr:rowOff>152400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Simulation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565150</xdr:colOff>
      <xdr:row>10</xdr:row>
      <xdr:rowOff>142875</xdr:rowOff>
    </xdr:from>
    <xdr:to>
      <xdr:col>4</xdr:col>
      <xdr:colOff>85725</xdr:colOff>
      <xdr:row>14</xdr:row>
      <xdr:rowOff>66675</xdr:rowOff>
    </xdr:to>
    <xdr:sp macro="" textlink="">
      <xdr:nvSpPr>
        <xdr:cNvPr id="3" name="TextBox 2"/>
        <xdr:cNvSpPr txBox="1"/>
      </xdr:nvSpPr>
      <xdr:spPr>
        <a:xfrm>
          <a:off x="1546225" y="2047875"/>
          <a:ext cx="3063875" cy="685800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sz="1100"/>
            <a:t>For further results, take a look at any of the histogram sheets.  They show histograms of the various output measures.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609599</xdr:colOff>
      <xdr:row>1</xdr:row>
      <xdr:rowOff>38099</xdr:rowOff>
    </xdr:from>
    <xdr:to>
      <xdr:col>13</xdr:col>
      <xdr:colOff>600074</xdr:colOff>
      <xdr:row>24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19049</xdr:colOff>
      <xdr:row>1</xdr:row>
      <xdr:rowOff>9524</xdr:rowOff>
    </xdr:from>
    <xdr:to>
      <xdr:col>14</xdr:col>
      <xdr:colOff>9524</xdr:colOff>
      <xdr:row>24</xdr:row>
      <xdr:rowOff>133349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9524</xdr:colOff>
      <xdr:row>1</xdr:row>
      <xdr:rowOff>66674</xdr:rowOff>
    </xdr:from>
    <xdr:to>
      <xdr:col>13</xdr:col>
      <xdr:colOff>590549</xdr:colOff>
      <xdr:row>24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47624</xdr:colOff>
      <xdr:row>1</xdr:row>
      <xdr:rowOff>38100</xdr:rowOff>
    </xdr:from>
    <xdr:to>
      <xdr:col>13</xdr:col>
      <xdr:colOff>590549</xdr:colOff>
      <xdr:row>24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28575</xdr:rowOff>
    </xdr:from>
    <xdr:to>
      <xdr:col>14</xdr:col>
      <xdr:colOff>0</xdr:colOff>
      <xdr:row>25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Explanation">
    <pageSetUpPr fitToPage="1"/>
  </sheetPr>
  <dimension ref="B2:I18"/>
  <sheetViews>
    <sheetView showGridLines="0" showRowColHeaders="0" tabSelected="1" workbookViewId="0"/>
  </sheetViews>
  <sheetFormatPr defaultRowHeight="15" x14ac:dyDescent="0.25"/>
  <cols>
    <col min="1" max="3" width="9.140625" style="1"/>
    <col min="4" max="4" width="11.85546875" style="1" customWidth="1"/>
    <col min="5" max="5" width="10.85546875" style="1" customWidth="1"/>
    <col min="6" max="16384" width="9.140625" style="1"/>
  </cols>
  <sheetData>
    <row r="2" spans="2:9" ht="18.75" x14ac:dyDescent="0.3">
      <c r="B2" s="37" t="s">
        <v>66</v>
      </c>
      <c r="C2" s="37"/>
      <c r="D2" s="37"/>
      <c r="E2" s="37"/>
      <c r="F2" s="37"/>
      <c r="G2" s="37"/>
      <c r="H2" s="37"/>
      <c r="I2" s="37"/>
    </row>
    <row r="17" spans="4:8" x14ac:dyDescent="0.25">
      <c r="D17" s="2"/>
      <c r="E17" s="2"/>
      <c r="F17" s="2"/>
      <c r="G17" s="3"/>
      <c r="H17" s="2"/>
    </row>
    <row r="18" spans="4:8" x14ac:dyDescent="0.25">
      <c r="D18" s="2"/>
      <c r="E18" s="2"/>
      <c r="F18" s="2"/>
      <c r="G18" s="3"/>
      <c r="H18" s="2"/>
    </row>
  </sheetData>
  <mergeCells count="1">
    <mergeCell ref="B2:I2"/>
  </mergeCells>
  <phoneticPr fontId="0" type="noConversion"/>
  <printOptions gridLinesSet="0"/>
  <pageMargins left="0.75" right="0.75" top="1" bottom="1" header="0.5" footer="0.5"/>
  <pageSetup scale="85" orientation="portrait" horizontalDpi="1200" verticalDpi="1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Line="0" autoPict="0" macro="[0]!ViewChangeInputs">
                <anchor moveWithCells="1" sizeWithCells="1">
                  <from>
                    <xdr:col>2</xdr:col>
                    <xdr:colOff>57150</xdr:colOff>
                    <xdr:row>2</xdr:row>
                    <xdr:rowOff>57150</xdr:rowOff>
                  </from>
                  <to>
                    <xdr:col>4</xdr:col>
                    <xdr:colOff>571500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autoFill="0" autoLine="0" autoPict="0" macro="[0]!Main">
                <anchor moveWithCells="1" sizeWithCells="1">
                  <from>
                    <xdr:col>5</xdr:col>
                    <xdr:colOff>276225</xdr:colOff>
                    <xdr:row>2</xdr:row>
                    <xdr:rowOff>57150</xdr:rowOff>
                  </from>
                  <to>
                    <xdr:col>8</xdr:col>
                    <xdr:colOff>180975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Inputs">
    <pageSetUpPr fitToPage="1"/>
  </sheetPr>
  <dimension ref="A1:K13"/>
  <sheetViews>
    <sheetView workbookViewId="0"/>
  </sheetViews>
  <sheetFormatPr defaultRowHeight="15" x14ac:dyDescent="0.25"/>
  <cols>
    <col min="1" max="1" width="19.5703125" style="5" customWidth="1"/>
    <col min="2" max="3" width="9.140625" style="5"/>
    <col min="4" max="4" width="13.140625" style="5" customWidth="1"/>
    <col min="5" max="8" width="9.140625" style="5"/>
    <col min="9" max="9" width="14" style="5" customWidth="1"/>
    <col min="10" max="16384" width="9.140625" style="5"/>
  </cols>
  <sheetData>
    <row r="1" spans="1:11" x14ac:dyDescent="0.25">
      <c r="A1" s="4" t="s">
        <v>40</v>
      </c>
    </row>
    <row r="3" spans="1:11" x14ac:dyDescent="0.25">
      <c r="A3" s="4" t="s">
        <v>1</v>
      </c>
      <c r="D3" s="4" t="s">
        <v>30</v>
      </c>
      <c r="H3" s="4" t="s">
        <v>9</v>
      </c>
      <c r="I3" s="6"/>
    </row>
    <row r="4" spans="1:11" x14ac:dyDescent="0.25">
      <c r="A4" s="5" t="s">
        <v>2</v>
      </c>
      <c r="B4" s="7">
        <v>75000</v>
      </c>
      <c r="D4" s="5" t="s">
        <v>27</v>
      </c>
      <c r="E4" s="8">
        <v>49.86</v>
      </c>
      <c r="H4" s="5" t="s">
        <v>10</v>
      </c>
      <c r="I4" s="6"/>
    </row>
    <row r="5" spans="1:11" x14ac:dyDescent="0.25">
      <c r="A5" s="5" t="s">
        <v>25</v>
      </c>
      <c r="B5" s="9">
        <v>500</v>
      </c>
      <c r="D5" s="5" t="s">
        <v>28</v>
      </c>
      <c r="E5" s="8">
        <v>49.79</v>
      </c>
      <c r="H5" s="5" t="s">
        <v>11</v>
      </c>
      <c r="I5" s="6"/>
      <c r="J5" s="10">
        <v>0.25</v>
      </c>
      <c r="K5" s="5" t="s">
        <v>12</v>
      </c>
    </row>
    <row r="6" spans="1:11" x14ac:dyDescent="0.25">
      <c r="B6" s="11"/>
      <c r="D6" s="12" t="s">
        <v>29</v>
      </c>
      <c r="E6" s="8">
        <v>49.95</v>
      </c>
      <c r="H6" s="5" t="s">
        <v>13</v>
      </c>
      <c r="I6" s="6"/>
      <c r="J6" s="10">
        <v>0.1</v>
      </c>
      <c r="K6" s="5" t="s">
        <v>12</v>
      </c>
    </row>
    <row r="7" spans="1:11" x14ac:dyDescent="0.25">
      <c r="A7" s="5" t="s">
        <v>3</v>
      </c>
      <c r="B7" s="11"/>
      <c r="D7" s="12" t="s">
        <v>26</v>
      </c>
      <c r="E7" s="8">
        <v>50</v>
      </c>
      <c r="H7" s="5" t="s">
        <v>14</v>
      </c>
      <c r="I7" s="6"/>
      <c r="J7" s="13"/>
    </row>
    <row r="8" spans="1:11" x14ac:dyDescent="0.25">
      <c r="A8" s="5" t="s">
        <v>4</v>
      </c>
      <c r="B8" s="14">
        <v>1E-4</v>
      </c>
      <c r="H8" s="5" t="s">
        <v>15</v>
      </c>
      <c r="I8" s="6"/>
      <c r="J8" s="10">
        <v>0.25</v>
      </c>
      <c r="K8" s="5" t="s">
        <v>12</v>
      </c>
    </row>
    <row r="9" spans="1:11" x14ac:dyDescent="0.25">
      <c r="A9" s="5" t="s">
        <v>5</v>
      </c>
      <c r="B9" s="15">
        <v>0.02</v>
      </c>
      <c r="H9" s="5" t="s">
        <v>16</v>
      </c>
      <c r="I9" s="6"/>
      <c r="J9" s="10">
        <v>0.1</v>
      </c>
      <c r="K9" s="5" t="s">
        <v>12</v>
      </c>
    </row>
    <row r="10" spans="1:11" x14ac:dyDescent="0.25">
      <c r="B10" s="6"/>
    </row>
    <row r="11" spans="1:11" x14ac:dyDescent="0.25">
      <c r="A11" s="5" t="s">
        <v>6</v>
      </c>
      <c r="B11" s="6"/>
    </row>
    <row r="12" spans="1:11" x14ac:dyDescent="0.25">
      <c r="A12" s="5" t="s">
        <v>4</v>
      </c>
      <c r="B12" s="16">
        <f>250*B8</f>
        <v>2.5000000000000001E-2</v>
      </c>
      <c r="C12" s="5" t="s">
        <v>7</v>
      </c>
      <c r="J12" s="17"/>
    </row>
    <row r="13" spans="1:11" x14ac:dyDescent="0.25">
      <c r="A13" s="5" t="s">
        <v>5</v>
      </c>
      <c r="B13" s="16">
        <f>SQRT(250)*B9</f>
        <v>0.31622776601683794</v>
      </c>
      <c r="C13" s="5" t="s">
        <v>8</v>
      </c>
    </row>
  </sheetData>
  <phoneticPr fontId="0" type="noConversion"/>
  <printOptions headings="1" gridLines="1"/>
  <pageMargins left="0.75" right="0.75" top="1" bottom="1" header="0.5" footer="0.5"/>
  <pageSetup scale="68" orientation="portrait" horizontalDpi="1200" verticalDpi="1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autoFill="0" autoPict="0" macro="[0]!Main">
                <anchor moveWithCells="1" sizeWithCells="1">
                  <from>
                    <xdr:col>4</xdr:col>
                    <xdr:colOff>200025</xdr:colOff>
                    <xdr:row>18</xdr:row>
                    <xdr:rowOff>28575</xdr:rowOff>
                  </from>
                  <to>
                    <xdr:col>7</xdr:col>
                    <xdr:colOff>228600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Model">
    <pageSetUpPr fitToPage="1"/>
  </sheetPr>
  <dimension ref="A1:L265"/>
  <sheetViews>
    <sheetView zoomScaleNormal="100" workbookViewId="0">
      <selection activeCell="A2" sqref="A2"/>
    </sheetView>
  </sheetViews>
  <sheetFormatPr defaultRowHeight="15" x14ac:dyDescent="0.25"/>
  <cols>
    <col min="1" max="1" width="26.7109375" style="5" customWidth="1"/>
    <col min="2" max="2" width="10.7109375" style="5" customWidth="1"/>
    <col min="3" max="3" width="12.7109375" style="5" customWidth="1"/>
    <col min="4" max="4" width="11.5703125" style="5" customWidth="1"/>
    <col min="5" max="7" width="9.140625" style="5"/>
    <col min="8" max="8" width="10.140625" style="5" customWidth="1"/>
    <col min="9" max="9" width="10.7109375" style="5" customWidth="1"/>
    <col min="10" max="11" width="9.140625" style="5"/>
    <col min="12" max="12" width="11.5703125" style="5" customWidth="1"/>
    <col min="13" max="14" width="9.140625" style="5"/>
    <col min="15" max="15" width="10.7109375" style="5" customWidth="1"/>
    <col min="16" max="16384" width="9.140625" style="5"/>
  </cols>
  <sheetData>
    <row r="1" spans="1:12" x14ac:dyDescent="0.25">
      <c r="A1" s="4" t="s">
        <v>0</v>
      </c>
    </row>
    <row r="2" spans="1:12" ht="12.75" customHeight="1" x14ac:dyDescent="0.25"/>
    <row r="3" spans="1:12" x14ac:dyDescent="0.25">
      <c r="A3" s="4" t="s">
        <v>41</v>
      </c>
      <c r="B3" s="6"/>
      <c r="G3" s="20"/>
    </row>
    <row r="4" spans="1:12" x14ac:dyDescent="0.25">
      <c r="A4" s="5" t="s">
        <v>23</v>
      </c>
      <c r="B4" s="11">
        <f ca="1">J265</f>
        <v>100999.21000000002</v>
      </c>
      <c r="C4" s="21"/>
      <c r="G4" s="20"/>
    </row>
    <row r="5" spans="1:12" x14ac:dyDescent="0.25">
      <c r="A5" s="21" t="s">
        <v>38</v>
      </c>
      <c r="B5" s="11">
        <f ca="1">K265</f>
        <v>56.9</v>
      </c>
      <c r="C5" s="21"/>
      <c r="G5" s="20"/>
      <c r="H5" s="12"/>
      <c r="I5" s="20"/>
    </row>
    <row r="6" spans="1:12" x14ac:dyDescent="0.25">
      <c r="A6" s="21" t="s">
        <v>24</v>
      </c>
      <c r="B6" s="11">
        <f ca="1">L265</f>
        <v>1056.1100000000151</v>
      </c>
      <c r="C6" s="21"/>
      <c r="G6" s="20"/>
      <c r="H6" s="12"/>
      <c r="I6" s="20"/>
    </row>
    <row r="7" spans="1:12" x14ac:dyDescent="0.25">
      <c r="A7" s="21" t="s">
        <v>54</v>
      </c>
      <c r="B7" s="22">
        <f ca="1">MIN(B16:B265)</f>
        <v>45.82</v>
      </c>
      <c r="C7" s="21"/>
      <c r="G7" s="20"/>
      <c r="H7" s="12"/>
      <c r="I7" s="20"/>
    </row>
    <row r="8" spans="1:12" x14ac:dyDescent="0.25">
      <c r="A8" s="21" t="s">
        <v>55</v>
      </c>
      <c r="B8" s="22">
        <f ca="1">MAX(B16:B265)</f>
        <v>75.95</v>
      </c>
      <c r="C8" s="21"/>
      <c r="G8" s="20"/>
      <c r="H8" s="12"/>
      <c r="I8" s="20"/>
    </row>
    <row r="9" spans="1:12" x14ac:dyDescent="0.25">
      <c r="A9" s="21"/>
      <c r="B9" s="23"/>
      <c r="C9" s="21"/>
      <c r="G9" s="20"/>
      <c r="H9" s="12"/>
      <c r="I9" s="20"/>
    </row>
    <row r="10" spans="1:12" x14ac:dyDescent="0.25">
      <c r="A10" s="4" t="s">
        <v>17</v>
      </c>
    </row>
    <row r="11" spans="1:12" x14ac:dyDescent="0.25">
      <c r="A11" s="4"/>
      <c r="B11" s="24" t="s">
        <v>34</v>
      </c>
      <c r="C11" s="25"/>
      <c r="D11" s="26" t="s">
        <v>35</v>
      </c>
      <c r="E11" s="27"/>
      <c r="F11" s="27"/>
      <c r="G11" s="27"/>
      <c r="H11" s="28" t="s">
        <v>39</v>
      </c>
      <c r="I11" s="29"/>
      <c r="J11" s="29"/>
      <c r="K11" s="29"/>
      <c r="L11" s="29"/>
    </row>
    <row r="12" spans="1:12" s="30" customFormat="1" ht="27" customHeight="1" x14ac:dyDescent="0.25">
      <c r="A12" s="30" t="s">
        <v>18</v>
      </c>
      <c r="B12" s="31" t="s">
        <v>32</v>
      </c>
      <c r="C12" s="30" t="s">
        <v>31</v>
      </c>
      <c r="D12" s="31" t="s">
        <v>36</v>
      </c>
      <c r="E12" s="30" t="s">
        <v>19</v>
      </c>
      <c r="F12" s="30" t="s">
        <v>20</v>
      </c>
      <c r="G12" s="31" t="s">
        <v>37</v>
      </c>
      <c r="H12" s="31" t="s">
        <v>21</v>
      </c>
      <c r="I12" s="30" t="s">
        <v>22</v>
      </c>
      <c r="J12" s="31" t="s">
        <v>23</v>
      </c>
      <c r="K12" s="31" t="s">
        <v>33</v>
      </c>
      <c r="L12" s="30" t="s">
        <v>24</v>
      </c>
    </row>
    <row r="13" spans="1:12" s="30" customFormat="1" ht="15" customHeight="1" x14ac:dyDescent="0.25">
      <c r="B13" s="32">
        <f>Inputs!E4</f>
        <v>49.86</v>
      </c>
      <c r="D13" s="31"/>
      <c r="G13" s="31"/>
      <c r="H13" s="31"/>
      <c r="J13" s="31"/>
      <c r="K13" s="31"/>
    </row>
    <row r="14" spans="1:12" s="30" customFormat="1" ht="15" customHeight="1" x14ac:dyDescent="0.25">
      <c r="B14" s="32">
        <f>Inputs!E5</f>
        <v>49.79</v>
      </c>
      <c r="C14" s="33">
        <f t="shared" ref="C14:C77" si="0">B14-B13</f>
        <v>-7.0000000000000284E-2</v>
      </c>
      <c r="D14" s="31"/>
      <c r="G14" s="31"/>
      <c r="H14" s="31"/>
      <c r="J14" s="31"/>
      <c r="K14" s="31"/>
    </row>
    <row r="15" spans="1:12" s="30" customFormat="1" ht="15" customHeight="1" x14ac:dyDescent="0.25">
      <c r="B15" s="32">
        <f>Inputs!E6</f>
        <v>49.95</v>
      </c>
      <c r="C15" s="33">
        <f t="shared" si="0"/>
        <v>0.16000000000000369</v>
      </c>
      <c r="D15" s="31"/>
      <c r="G15" s="31"/>
      <c r="H15" s="31"/>
      <c r="J15" s="31"/>
      <c r="K15" s="31"/>
    </row>
    <row r="16" spans="1:12" ht="15" customHeight="1" x14ac:dyDescent="0.25">
      <c r="A16" s="5">
        <v>1</v>
      </c>
      <c r="B16" s="18">
        <f>InitPrice</f>
        <v>50</v>
      </c>
      <c r="C16" s="33">
        <f t="shared" si="0"/>
        <v>4.9999999999997158E-2</v>
      </c>
      <c r="D16" s="34">
        <f>InitShares</f>
        <v>500</v>
      </c>
      <c r="E16" s="5">
        <f t="shared" ref="E16:E79" si="1">IF(AND(C14&gt;0,C15&gt;0,C16&gt;0),ROUND(SellPct3*D16,0),IF(AND(C15&gt;0,C16&gt;0),ROUND(SellPct2*D16,0),0))</f>
        <v>50</v>
      </c>
      <c r="F16" s="5">
        <f t="shared" ref="F16:F79" si="2">IF(AND(C14&lt;0,C15&lt;0,C16&lt;0),MIN(ROUND(BuyPct3*D16,0),INT(H16/B16)),IF(AND(C15&lt;0,C16&lt;0),MIN(ROUND(BuyPct2*D16,0),INT(H16/B16)),0))</f>
        <v>0</v>
      </c>
      <c r="G16" s="5">
        <f t="shared" ref="G16:G79" si="3">D16-E16+F16</f>
        <v>450</v>
      </c>
      <c r="H16" s="11">
        <f>InitCash</f>
        <v>75000</v>
      </c>
      <c r="I16" s="11">
        <f t="shared" ref="I16:I79" si="4">(E16-F16)*B16</f>
        <v>2500</v>
      </c>
      <c r="J16" s="11">
        <f t="shared" ref="J16:J79" si="5">H16+I16</f>
        <v>77500</v>
      </c>
      <c r="K16" s="11">
        <f t="shared" ref="K16:K79" si="6">G16*B16</f>
        <v>22500</v>
      </c>
      <c r="L16" s="11">
        <f t="shared" ref="L16:L79" si="7">(J16+K16)-(InitCash+InitShares*InitPrice)</f>
        <v>0</v>
      </c>
    </row>
    <row r="17" spans="1:12" x14ac:dyDescent="0.25">
      <c r="A17" s="5">
        <v>2</v>
      </c>
      <c r="B17" s="18">
        <f t="shared" ref="B17:B80" ca="1" si="8">ROUND(B16*EXP((GrMean-0.5*GrStdev^2)+GrStdev*NORMINV(RAND(),0,1)),2)</f>
        <v>51.45</v>
      </c>
      <c r="C17" s="33">
        <f t="shared" ca="1" si="0"/>
        <v>1.4500000000000028</v>
      </c>
      <c r="D17" s="5">
        <f t="shared" ref="D17:D80" si="9">G16</f>
        <v>450</v>
      </c>
      <c r="E17" s="5">
        <f t="shared" ca="1" si="1"/>
        <v>113</v>
      </c>
      <c r="F17" s="5">
        <f t="shared" ca="1" si="2"/>
        <v>0</v>
      </c>
      <c r="G17" s="5">
        <f t="shared" ca="1" si="3"/>
        <v>337</v>
      </c>
      <c r="H17" s="11">
        <f t="shared" ref="H17:H80" si="10">J16</f>
        <v>77500</v>
      </c>
      <c r="I17" s="11">
        <f t="shared" ca="1" si="4"/>
        <v>5813.85</v>
      </c>
      <c r="J17" s="11">
        <f t="shared" ca="1" si="5"/>
        <v>83313.850000000006</v>
      </c>
      <c r="K17" s="11">
        <f t="shared" ca="1" si="6"/>
        <v>17338.650000000001</v>
      </c>
      <c r="L17" s="11">
        <f t="shared" ca="1" si="7"/>
        <v>652.5</v>
      </c>
    </row>
    <row r="18" spans="1:12" x14ac:dyDescent="0.25">
      <c r="A18" s="5">
        <v>3</v>
      </c>
      <c r="B18" s="18">
        <f t="shared" ca="1" si="8"/>
        <v>51.34</v>
      </c>
      <c r="C18" s="33">
        <f t="shared" ca="1" si="0"/>
        <v>-0.10999999999999943</v>
      </c>
      <c r="D18" s="5">
        <f t="shared" ca="1" si="9"/>
        <v>337</v>
      </c>
      <c r="E18" s="5">
        <f t="shared" ca="1" si="1"/>
        <v>0</v>
      </c>
      <c r="F18" s="5">
        <f t="shared" ca="1" si="2"/>
        <v>0</v>
      </c>
      <c r="G18" s="5">
        <f t="shared" ca="1" si="3"/>
        <v>337</v>
      </c>
      <c r="H18" s="11">
        <f t="shared" ca="1" si="10"/>
        <v>83313.850000000006</v>
      </c>
      <c r="I18" s="11">
        <f t="shared" ca="1" si="4"/>
        <v>0</v>
      </c>
      <c r="J18" s="11">
        <f t="shared" ca="1" si="5"/>
        <v>83313.850000000006</v>
      </c>
      <c r="K18" s="11">
        <f t="shared" ca="1" si="6"/>
        <v>17301.580000000002</v>
      </c>
      <c r="L18" s="11">
        <f t="shared" ca="1" si="7"/>
        <v>615.43000000000757</v>
      </c>
    </row>
    <row r="19" spans="1:12" x14ac:dyDescent="0.25">
      <c r="A19" s="5">
        <v>4</v>
      </c>
      <c r="B19" s="18">
        <f t="shared" ca="1" si="8"/>
        <v>50.84</v>
      </c>
      <c r="C19" s="33">
        <f t="shared" ca="1" si="0"/>
        <v>-0.5</v>
      </c>
      <c r="D19" s="5">
        <f t="shared" ca="1" si="9"/>
        <v>337</v>
      </c>
      <c r="E19" s="5">
        <f t="shared" ca="1" si="1"/>
        <v>0</v>
      </c>
      <c r="F19" s="5">
        <f t="shared" ca="1" si="2"/>
        <v>34</v>
      </c>
      <c r="G19" s="5">
        <f t="shared" ca="1" si="3"/>
        <v>371</v>
      </c>
      <c r="H19" s="11">
        <f t="shared" ca="1" si="10"/>
        <v>83313.850000000006</v>
      </c>
      <c r="I19" s="11">
        <f t="shared" ca="1" si="4"/>
        <v>-1728.5600000000002</v>
      </c>
      <c r="J19" s="11">
        <f t="shared" ca="1" si="5"/>
        <v>81585.290000000008</v>
      </c>
      <c r="K19" s="11">
        <f t="shared" ca="1" si="6"/>
        <v>18861.640000000003</v>
      </c>
      <c r="L19" s="11">
        <f t="shared" ca="1" si="7"/>
        <v>446.93000000000757</v>
      </c>
    </row>
    <row r="20" spans="1:12" x14ac:dyDescent="0.25">
      <c r="A20" s="5">
        <v>5</v>
      </c>
      <c r="B20" s="18">
        <f t="shared" ca="1" si="8"/>
        <v>51.23</v>
      </c>
      <c r="C20" s="33">
        <f t="shared" ca="1" si="0"/>
        <v>0.38999999999999346</v>
      </c>
      <c r="D20" s="5">
        <f t="shared" ca="1" si="9"/>
        <v>371</v>
      </c>
      <c r="E20" s="5">
        <f t="shared" ca="1" si="1"/>
        <v>0</v>
      </c>
      <c r="F20" s="5">
        <f t="shared" ca="1" si="2"/>
        <v>0</v>
      </c>
      <c r="G20" s="5">
        <f t="shared" ca="1" si="3"/>
        <v>371</v>
      </c>
      <c r="H20" s="11">
        <f t="shared" ca="1" si="10"/>
        <v>81585.290000000008</v>
      </c>
      <c r="I20" s="11">
        <f t="shared" ca="1" si="4"/>
        <v>0</v>
      </c>
      <c r="J20" s="11">
        <f t="shared" ca="1" si="5"/>
        <v>81585.290000000008</v>
      </c>
      <c r="K20" s="11">
        <f t="shared" ca="1" si="6"/>
        <v>19006.329999999998</v>
      </c>
      <c r="L20" s="11">
        <f t="shared" ca="1" si="7"/>
        <v>591.6200000000099</v>
      </c>
    </row>
    <row r="21" spans="1:12" x14ac:dyDescent="0.25">
      <c r="A21" s="5">
        <v>6</v>
      </c>
      <c r="B21" s="18">
        <f t="shared" ca="1" si="8"/>
        <v>52.4</v>
      </c>
      <c r="C21" s="33">
        <f t="shared" ca="1" si="0"/>
        <v>1.1700000000000017</v>
      </c>
      <c r="D21" s="5">
        <f t="shared" ca="1" si="9"/>
        <v>371</v>
      </c>
      <c r="E21" s="5">
        <f t="shared" ca="1" si="1"/>
        <v>37</v>
      </c>
      <c r="F21" s="5">
        <f t="shared" ca="1" si="2"/>
        <v>0</v>
      </c>
      <c r="G21" s="5">
        <f t="shared" ca="1" si="3"/>
        <v>334</v>
      </c>
      <c r="H21" s="11">
        <f t="shared" ca="1" si="10"/>
        <v>81585.290000000008</v>
      </c>
      <c r="I21" s="11">
        <f t="shared" ca="1" si="4"/>
        <v>1938.8</v>
      </c>
      <c r="J21" s="11">
        <f t="shared" ca="1" si="5"/>
        <v>83524.090000000011</v>
      </c>
      <c r="K21" s="11">
        <f t="shared" ca="1" si="6"/>
        <v>17501.599999999999</v>
      </c>
      <c r="L21" s="11">
        <f t="shared" ca="1" si="7"/>
        <v>1025.6900000000023</v>
      </c>
    </row>
    <row r="22" spans="1:12" x14ac:dyDescent="0.25">
      <c r="A22" s="5">
        <v>7</v>
      </c>
      <c r="B22" s="18">
        <f t="shared" ca="1" si="8"/>
        <v>53.53</v>
      </c>
      <c r="C22" s="33">
        <f t="shared" ca="1" si="0"/>
        <v>1.1300000000000026</v>
      </c>
      <c r="D22" s="5">
        <f t="shared" ca="1" si="9"/>
        <v>334</v>
      </c>
      <c r="E22" s="5">
        <f t="shared" ca="1" si="1"/>
        <v>84</v>
      </c>
      <c r="F22" s="5">
        <f t="shared" ca="1" si="2"/>
        <v>0</v>
      </c>
      <c r="G22" s="5">
        <f t="shared" ca="1" si="3"/>
        <v>250</v>
      </c>
      <c r="H22" s="11">
        <f t="shared" ca="1" si="10"/>
        <v>83524.090000000011</v>
      </c>
      <c r="I22" s="11">
        <f t="shared" ca="1" si="4"/>
        <v>4496.5200000000004</v>
      </c>
      <c r="J22" s="11">
        <f t="shared" ca="1" si="5"/>
        <v>88020.610000000015</v>
      </c>
      <c r="K22" s="11">
        <f t="shared" ca="1" si="6"/>
        <v>13382.5</v>
      </c>
      <c r="L22" s="11">
        <f t="shared" ca="1" si="7"/>
        <v>1403.1100000000151</v>
      </c>
    </row>
    <row r="23" spans="1:12" x14ac:dyDescent="0.25">
      <c r="A23" s="5">
        <v>8</v>
      </c>
      <c r="B23" s="18">
        <f t="shared" ca="1" si="8"/>
        <v>53.06</v>
      </c>
      <c r="C23" s="33">
        <f t="shared" ca="1" si="0"/>
        <v>-0.46999999999999886</v>
      </c>
      <c r="D23" s="5">
        <f t="shared" ca="1" si="9"/>
        <v>250</v>
      </c>
      <c r="E23" s="5">
        <f t="shared" ca="1" si="1"/>
        <v>0</v>
      </c>
      <c r="F23" s="5">
        <f t="shared" ca="1" si="2"/>
        <v>0</v>
      </c>
      <c r="G23" s="5">
        <f t="shared" ca="1" si="3"/>
        <v>250</v>
      </c>
      <c r="H23" s="11">
        <f t="shared" ca="1" si="10"/>
        <v>88020.610000000015</v>
      </c>
      <c r="I23" s="11">
        <f t="shared" ca="1" si="4"/>
        <v>0</v>
      </c>
      <c r="J23" s="11">
        <f t="shared" ca="1" si="5"/>
        <v>88020.610000000015</v>
      </c>
      <c r="K23" s="11">
        <f t="shared" ca="1" si="6"/>
        <v>13265</v>
      </c>
      <c r="L23" s="11">
        <f t="shared" ca="1" si="7"/>
        <v>1285.6100000000151</v>
      </c>
    </row>
    <row r="24" spans="1:12" x14ac:dyDescent="0.25">
      <c r="A24" s="5">
        <v>9</v>
      </c>
      <c r="B24" s="18">
        <f t="shared" ca="1" si="8"/>
        <v>54.1</v>
      </c>
      <c r="C24" s="33">
        <f t="shared" ca="1" si="0"/>
        <v>1.0399999999999991</v>
      </c>
      <c r="D24" s="5">
        <f t="shared" ca="1" si="9"/>
        <v>250</v>
      </c>
      <c r="E24" s="5">
        <f t="shared" ca="1" si="1"/>
        <v>0</v>
      </c>
      <c r="F24" s="5">
        <f t="shared" ca="1" si="2"/>
        <v>0</v>
      </c>
      <c r="G24" s="5">
        <f t="shared" ca="1" si="3"/>
        <v>250</v>
      </c>
      <c r="H24" s="11">
        <f t="shared" ca="1" si="10"/>
        <v>88020.610000000015</v>
      </c>
      <c r="I24" s="11">
        <f t="shared" ca="1" si="4"/>
        <v>0</v>
      </c>
      <c r="J24" s="11">
        <f t="shared" ca="1" si="5"/>
        <v>88020.610000000015</v>
      </c>
      <c r="K24" s="11">
        <f t="shared" ca="1" si="6"/>
        <v>13525</v>
      </c>
      <c r="L24" s="11">
        <f t="shared" ca="1" si="7"/>
        <v>1545.6100000000151</v>
      </c>
    </row>
    <row r="25" spans="1:12" x14ac:dyDescent="0.25">
      <c r="A25" s="5">
        <v>10</v>
      </c>
      <c r="B25" s="18">
        <f t="shared" ca="1" si="8"/>
        <v>53.58</v>
      </c>
      <c r="C25" s="33">
        <f t="shared" ca="1" si="0"/>
        <v>-0.52000000000000313</v>
      </c>
      <c r="D25" s="5">
        <f t="shared" ca="1" si="9"/>
        <v>250</v>
      </c>
      <c r="E25" s="5">
        <f t="shared" ca="1" si="1"/>
        <v>0</v>
      </c>
      <c r="F25" s="5">
        <f t="shared" ca="1" si="2"/>
        <v>0</v>
      </c>
      <c r="G25" s="5">
        <f t="shared" ca="1" si="3"/>
        <v>250</v>
      </c>
      <c r="H25" s="11">
        <f t="shared" ca="1" si="10"/>
        <v>88020.610000000015</v>
      </c>
      <c r="I25" s="11">
        <f t="shared" ca="1" si="4"/>
        <v>0</v>
      </c>
      <c r="J25" s="11">
        <f t="shared" ca="1" si="5"/>
        <v>88020.610000000015</v>
      </c>
      <c r="K25" s="11">
        <f t="shared" ca="1" si="6"/>
        <v>13395</v>
      </c>
      <c r="L25" s="11">
        <f t="shared" ca="1" si="7"/>
        <v>1415.6100000000151</v>
      </c>
    </row>
    <row r="26" spans="1:12" x14ac:dyDescent="0.25">
      <c r="A26" s="5">
        <v>11</v>
      </c>
      <c r="B26" s="18">
        <f t="shared" ca="1" si="8"/>
        <v>54.22</v>
      </c>
      <c r="C26" s="33">
        <f t="shared" ca="1" si="0"/>
        <v>0.64000000000000057</v>
      </c>
      <c r="D26" s="5">
        <f t="shared" ca="1" si="9"/>
        <v>250</v>
      </c>
      <c r="E26" s="5">
        <f t="shared" ca="1" si="1"/>
        <v>0</v>
      </c>
      <c r="F26" s="5">
        <f t="shared" ca="1" si="2"/>
        <v>0</v>
      </c>
      <c r="G26" s="5">
        <f t="shared" ca="1" si="3"/>
        <v>250</v>
      </c>
      <c r="H26" s="11">
        <f t="shared" ca="1" si="10"/>
        <v>88020.610000000015</v>
      </c>
      <c r="I26" s="11">
        <f t="shared" ca="1" si="4"/>
        <v>0</v>
      </c>
      <c r="J26" s="11">
        <f t="shared" ca="1" si="5"/>
        <v>88020.610000000015</v>
      </c>
      <c r="K26" s="11">
        <f t="shared" ca="1" si="6"/>
        <v>13555</v>
      </c>
      <c r="L26" s="11">
        <f t="shared" ca="1" si="7"/>
        <v>1575.6100000000151</v>
      </c>
    </row>
    <row r="27" spans="1:12" x14ac:dyDescent="0.25">
      <c r="A27" s="5">
        <v>12</v>
      </c>
      <c r="B27" s="18">
        <f t="shared" ca="1" si="8"/>
        <v>52.2</v>
      </c>
      <c r="C27" s="33">
        <f t="shared" ca="1" si="0"/>
        <v>-2.019999999999996</v>
      </c>
      <c r="D27" s="5">
        <f t="shared" ca="1" si="9"/>
        <v>250</v>
      </c>
      <c r="E27" s="5">
        <f t="shared" ca="1" si="1"/>
        <v>0</v>
      </c>
      <c r="F27" s="5">
        <f t="shared" ca="1" si="2"/>
        <v>0</v>
      </c>
      <c r="G27" s="5">
        <f t="shared" ca="1" si="3"/>
        <v>250</v>
      </c>
      <c r="H27" s="11">
        <f t="shared" ca="1" si="10"/>
        <v>88020.610000000015</v>
      </c>
      <c r="I27" s="11">
        <f t="shared" ca="1" si="4"/>
        <v>0</v>
      </c>
      <c r="J27" s="11">
        <f t="shared" ca="1" si="5"/>
        <v>88020.610000000015</v>
      </c>
      <c r="K27" s="11">
        <f t="shared" ca="1" si="6"/>
        <v>13050</v>
      </c>
      <c r="L27" s="11">
        <f t="shared" ca="1" si="7"/>
        <v>1070.6100000000151</v>
      </c>
    </row>
    <row r="28" spans="1:12" x14ac:dyDescent="0.25">
      <c r="A28" s="5">
        <v>13</v>
      </c>
      <c r="B28" s="18">
        <f t="shared" ca="1" si="8"/>
        <v>52.24</v>
      </c>
      <c r="C28" s="33">
        <f t="shared" ca="1" si="0"/>
        <v>3.9999999999999147E-2</v>
      </c>
      <c r="D28" s="5">
        <f t="shared" ca="1" si="9"/>
        <v>250</v>
      </c>
      <c r="E28" s="5">
        <f t="shared" ca="1" si="1"/>
        <v>0</v>
      </c>
      <c r="F28" s="5">
        <f t="shared" ca="1" si="2"/>
        <v>0</v>
      </c>
      <c r="G28" s="5">
        <f t="shared" ca="1" si="3"/>
        <v>250</v>
      </c>
      <c r="H28" s="11">
        <f t="shared" ca="1" si="10"/>
        <v>88020.610000000015</v>
      </c>
      <c r="I28" s="11">
        <f t="shared" ca="1" si="4"/>
        <v>0</v>
      </c>
      <c r="J28" s="11">
        <f t="shared" ca="1" si="5"/>
        <v>88020.610000000015</v>
      </c>
      <c r="K28" s="11">
        <f t="shared" ca="1" si="6"/>
        <v>13060</v>
      </c>
      <c r="L28" s="11">
        <f t="shared" ca="1" si="7"/>
        <v>1080.6100000000151</v>
      </c>
    </row>
    <row r="29" spans="1:12" x14ac:dyDescent="0.25">
      <c r="A29" s="5">
        <v>14</v>
      </c>
      <c r="B29" s="18">
        <f t="shared" ca="1" si="8"/>
        <v>52.21</v>
      </c>
      <c r="C29" s="33">
        <f t="shared" ca="1" si="0"/>
        <v>-3.0000000000001137E-2</v>
      </c>
      <c r="D29" s="5">
        <f t="shared" ca="1" si="9"/>
        <v>250</v>
      </c>
      <c r="E29" s="5">
        <f t="shared" ca="1" si="1"/>
        <v>0</v>
      </c>
      <c r="F29" s="5">
        <f t="shared" ca="1" si="2"/>
        <v>0</v>
      </c>
      <c r="G29" s="5">
        <f t="shared" ca="1" si="3"/>
        <v>250</v>
      </c>
      <c r="H29" s="11">
        <f t="shared" ca="1" si="10"/>
        <v>88020.610000000015</v>
      </c>
      <c r="I29" s="11">
        <f t="shared" ca="1" si="4"/>
        <v>0</v>
      </c>
      <c r="J29" s="11">
        <f t="shared" ca="1" si="5"/>
        <v>88020.610000000015</v>
      </c>
      <c r="K29" s="11">
        <f t="shared" ca="1" si="6"/>
        <v>13052.5</v>
      </c>
      <c r="L29" s="11">
        <f t="shared" ca="1" si="7"/>
        <v>1073.1100000000151</v>
      </c>
    </row>
    <row r="30" spans="1:12" x14ac:dyDescent="0.25">
      <c r="A30" s="5">
        <v>15</v>
      </c>
      <c r="B30" s="18">
        <f t="shared" ca="1" si="8"/>
        <v>53.04</v>
      </c>
      <c r="C30" s="33">
        <f t="shared" ca="1" si="0"/>
        <v>0.82999999999999829</v>
      </c>
      <c r="D30" s="5">
        <f t="shared" ca="1" si="9"/>
        <v>250</v>
      </c>
      <c r="E30" s="5">
        <f t="shared" ca="1" si="1"/>
        <v>0</v>
      </c>
      <c r="F30" s="5">
        <f t="shared" ca="1" si="2"/>
        <v>0</v>
      </c>
      <c r="G30" s="5">
        <f t="shared" ca="1" si="3"/>
        <v>250</v>
      </c>
      <c r="H30" s="11">
        <f t="shared" ca="1" si="10"/>
        <v>88020.610000000015</v>
      </c>
      <c r="I30" s="11">
        <f t="shared" ca="1" si="4"/>
        <v>0</v>
      </c>
      <c r="J30" s="11">
        <f t="shared" ca="1" si="5"/>
        <v>88020.610000000015</v>
      </c>
      <c r="K30" s="11">
        <f t="shared" ca="1" si="6"/>
        <v>13260</v>
      </c>
      <c r="L30" s="11">
        <f t="shared" ca="1" si="7"/>
        <v>1280.6100000000151</v>
      </c>
    </row>
    <row r="31" spans="1:12" x14ac:dyDescent="0.25">
      <c r="A31" s="5">
        <v>16</v>
      </c>
      <c r="B31" s="18">
        <f t="shared" ca="1" si="8"/>
        <v>50.79</v>
      </c>
      <c r="C31" s="33">
        <f t="shared" ca="1" si="0"/>
        <v>-2.25</v>
      </c>
      <c r="D31" s="5">
        <f t="shared" ca="1" si="9"/>
        <v>250</v>
      </c>
      <c r="E31" s="5">
        <f t="shared" ca="1" si="1"/>
        <v>0</v>
      </c>
      <c r="F31" s="5">
        <f t="shared" ca="1" si="2"/>
        <v>0</v>
      </c>
      <c r="G31" s="5">
        <f t="shared" ca="1" si="3"/>
        <v>250</v>
      </c>
      <c r="H31" s="11">
        <f t="shared" ca="1" si="10"/>
        <v>88020.610000000015</v>
      </c>
      <c r="I31" s="11">
        <f t="shared" ca="1" si="4"/>
        <v>0</v>
      </c>
      <c r="J31" s="11">
        <f t="shared" ca="1" si="5"/>
        <v>88020.610000000015</v>
      </c>
      <c r="K31" s="11">
        <f t="shared" ca="1" si="6"/>
        <v>12697.5</v>
      </c>
      <c r="L31" s="11">
        <f t="shared" ca="1" si="7"/>
        <v>718.11000000001513</v>
      </c>
    </row>
    <row r="32" spans="1:12" x14ac:dyDescent="0.25">
      <c r="A32" s="5">
        <v>17</v>
      </c>
      <c r="B32" s="18">
        <f t="shared" ca="1" si="8"/>
        <v>50.74</v>
      </c>
      <c r="C32" s="33">
        <f t="shared" ca="1" si="0"/>
        <v>-4.9999999999997158E-2</v>
      </c>
      <c r="D32" s="5">
        <f t="shared" ca="1" si="9"/>
        <v>250</v>
      </c>
      <c r="E32" s="5">
        <f t="shared" ca="1" si="1"/>
        <v>0</v>
      </c>
      <c r="F32" s="5">
        <f t="shared" ca="1" si="2"/>
        <v>25</v>
      </c>
      <c r="G32" s="5">
        <f t="shared" ca="1" si="3"/>
        <v>275</v>
      </c>
      <c r="H32" s="11">
        <f t="shared" ca="1" si="10"/>
        <v>88020.610000000015</v>
      </c>
      <c r="I32" s="11">
        <f t="shared" ca="1" si="4"/>
        <v>-1268.5</v>
      </c>
      <c r="J32" s="11">
        <f t="shared" ca="1" si="5"/>
        <v>86752.110000000015</v>
      </c>
      <c r="K32" s="11">
        <f t="shared" ca="1" si="6"/>
        <v>13953.5</v>
      </c>
      <c r="L32" s="11">
        <f t="shared" ca="1" si="7"/>
        <v>705.61000000001513</v>
      </c>
    </row>
    <row r="33" spans="1:12" x14ac:dyDescent="0.25">
      <c r="A33" s="5">
        <v>18</v>
      </c>
      <c r="B33" s="18">
        <f t="shared" ca="1" si="8"/>
        <v>50.21</v>
      </c>
      <c r="C33" s="33">
        <f t="shared" ca="1" si="0"/>
        <v>-0.53000000000000114</v>
      </c>
      <c r="D33" s="5">
        <f t="shared" ca="1" si="9"/>
        <v>275</v>
      </c>
      <c r="E33" s="5">
        <f t="shared" ca="1" si="1"/>
        <v>0</v>
      </c>
      <c r="F33" s="5">
        <f t="shared" ca="1" si="2"/>
        <v>69</v>
      </c>
      <c r="G33" s="5">
        <f t="shared" ca="1" si="3"/>
        <v>344</v>
      </c>
      <c r="H33" s="11">
        <f t="shared" ca="1" si="10"/>
        <v>86752.110000000015</v>
      </c>
      <c r="I33" s="11">
        <f t="shared" ca="1" si="4"/>
        <v>-3464.4900000000002</v>
      </c>
      <c r="J33" s="11">
        <f t="shared" ca="1" si="5"/>
        <v>83287.62000000001</v>
      </c>
      <c r="K33" s="11">
        <f t="shared" ca="1" si="6"/>
        <v>17272.240000000002</v>
      </c>
      <c r="L33" s="11">
        <f t="shared" ca="1" si="7"/>
        <v>559.86000000001513</v>
      </c>
    </row>
    <row r="34" spans="1:12" x14ac:dyDescent="0.25">
      <c r="A34" s="5">
        <v>19</v>
      </c>
      <c r="B34" s="18">
        <f t="shared" ca="1" si="8"/>
        <v>50.41</v>
      </c>
      <c r="C34" s="33">
        <f t="shared" ca="1" si="0"/>
        <v>0.19999999999999574</v>
      </c>
      <c r="D34" s="5">
        <f t="shared" ca="1" si="9"/>
        <v>344</v>
      </c>
      <c r="E34" s="5">
        <f t="shared" ca="1" si="1"/>
        <v>0</v>
      </c>
      <c r="F34" s="5">
        <f t="shared" ca="1" si="2"/>
        <v>0</v>
      </c>
      <c r="G34" s="5">
        <f t="shared" ca="1" si="3"/>
        <v>344</v>
      </c>
      <c r="H34" s="11">
        <f t="shared" ca="1" si="10"/>
        <v>83287.62000000001</v>
      </c>
      <c r="I34" s="11">
        <f t="shared" ca="1" si="4"/>
        <v>0</v>
      </c>
      <c r="J34" s="11">
        <f t="shared" ca="1" si="5"/>
        <v>83287.62000000001</v>
      </c>
      <c r="K34" s="11">
        <f t="shared" ca="1" si="6"/>
        <v>17341.039999999997</v>
      </c>
      <c r="L34" s="11">
        <f t="shared" ca="1" si="7"/>
        <v>628.66000000000349</v>
      </c>
    </row>
    <row r="35" spans="1:12" x14ac:dyDescent="0.25">
      <c r="A35" s="5">
        <v>20</v>
      </c>
      <c r="B35" s="18">
        <f t="shared" ca="1" si="8"/>
        <v>49.86</v>
      </c>
      <c r="C35" s="33">
        <f t="shared" ca="1" si="0"/>
        <v>-0.54999999999999716</v>
      </c>
      <c r="D35" s="5">
        <f t="shared" ca="1" si="9"/>
        <v>344</v>
      </c>
      <c r="E35" s="5">
        <f t="shared" ca="1" si="1"/>
        <v>0</v>
      </c>
      <c r="F35" s="5">
        <f t="shared" ca="1" si="2"/>
        <v>0</v>
      </c>
      <c r="G35" s="5">
        <f t="shared" ca="1" si="3"/>
        <v>344</v>
      </c>
      <c r="H35" s="11">
        <f t="shared" ca="1" si="10"/>
        <v>83287.62000000001</v>
      </c>
      <c r="I35" s="11">
        <f t="shared" ca="1" si="4"/>
        <v>0</v>
      </c>
      <c r="J35" s="11">
        <f t="shared" ca="1" si="5"/>
        <v>83287.62000000001</v>
      </c>
      <c r="K35" s="11">
        <f t="shared" ca="1" si="6"/>
        <v>17151.84</v>
      </c>
      <c r="L35" s="11">
        <f t="shared" ca="1" si="7"/>
        <v>439.4600000000064</v>
      </c>
    </row>
    <row r="36" spans="1:12" x14ac:dyDescent="0.25">
      <c r="A36" s="5">
        <v>21</v>
      </c>
      <c r="B36" s="18">
        <f t="shared" ca="1" si="8"/>
        <v>50.34</v>
      </c>
      <c r="C36" s="33">
        <f t="shared" ca="1" si="0"/>
        <v>0.48000000000000398</v>
      </c>
      <c r="D36" s="5">
        <f t="shared" ca="1" si="9"/>
        <v>344</v>
      </c>
      <c r="E36" s="5">
        <f t="shared" ca="1" si="1"/>
        <v>0</v>
      </c>
      <c r="F36" s="5">
        <f t="shared" ca="1" si="2"/>
        <v>0</v>
      </c>
      <c r="G36" s="5">
        <f t="shared" ca="1" si="3"/>
        <v>344</v>
      </c>
      <c r="H36" s="11">
        <f t="shared" ca="1" si="10"/>
        <v>83287.62000000001</v>
      </c>
      <c r="I36" s="11">
        <f t="shared" ca="1" si="4"/>
        <v>0</v>
      </c>
      <c r="J36" s="11">
        <f t="shared" ca="1" si="5"/>
        <v>83287.62000000001</v>
      </c>
      <c r="K36" s="11">
        <f t="shared" ca="1" si="6"/>
        <v>17316.960000000003</v>
      </c>
      <c r="L36" s="11">
        <f t="shared" ca="1" si="7"/>
        <v>604.5800000000163</v>
      </c>
    </row>
    <row r="37" spans="1:12" x14ac:dyDescent="0.25">
      <c r="A37" s="5">
        <v>22</v>
      </c>
      <c r="B37" s="18">
        <f t="shared" ca="1" si="8"/>
        <v>49.28</v>
      </c>
      <c r="C37" s="33">
        <f t="shared" ca="1" si="0"/>
        <v>-1.0600000000000023</v>
      </c>
      <c r="D37" s="5">
        <f t="shared" ca="1" si="9"/>
        <v>344</v>
      </c>
      <c r="E37" s="5">
        <f t="shared" ca="1" si="1"/>
        <v>0</v>
      </c>
      <c r="F37" s="5">
        <f t="shared" ca="1" si="2"/>
        <v>0</v>
      </c>
      <c r="G37" s="5">
        <f t="shared" ca="1" si="3"/>
        <v>344</v>
      </c>
      <c r="H37" s="11">
        <f t="shared" ca="1" si="10"/>
        <v>83287.62000000001</v>
      </c>
      <c r="I37" s="11">
        <f t="shared" ca="1" si="4"/>
        <v>0</v>
      </c>
      <c r="J37" s="11">
        <f t="shared" ca="1" si="5"/>
        <v>83287.62000000001</v>
      </c>
      <c r="K37" s="11">
        <f t="shared" ca="1" si="6"/>
        <v>16952.32</v>
      </c>
      <c r="L37" s="11">
        <f t="shared" ca="1" si="7"/>
        <v>239.94000000000233</v>
      </c>
    </row>
    <row r="38" spans="1:12" x14ac:dyDescent="0.25">
      <c r="A38" s="5">
        <v>23</v>
      </c>
      <c r="B38" s="18">
        <f t="shared" ca="1" si="8"/>
        <v>48.77</v>
      </c>
      <c r="C38" s="33">
        <f t="shared" ca="1" si="0"/>
        <v>-0.50999999999999801</v>
      </c>
      <c r="D38" s="5">
        <f t="shared" ca="1" si="9"/>
        <v>344</v>
      </c>
      <c r="E38" s="5">
        <f t="shared" ca="1" si="1"/>
        <v>0</v>
      </c>
      <c r="F38" s="5">
        <f t="shared" ca="1" si="2"/>
        <v>34</v>
      </c>
      <c r="G38" s="5">
        <f t="shared" ca="1" si="3"/>
        <v>378</v>
      </c>
      <c r="H38" s="11">
        <f t="shared" ca="1" si="10"/>
        <v>83287.62000000001</v>
      </c>
      <c r="I38" s="11">
        <f t="shared" ca="1" si="4"/>
        <v>-1658.18</v>
      </c>
      <c r="J38" s="11">
        <f t="shared" ca="1" si="5"/>
        <v>81629.440000000017</v>
      </c>
      <c r="K38" s="11">
        <f t="shared" ca="1" si="6"/>
        <v>18435.060000000001</v>
      </c>
      <c r="L38" s="11">
        <f t="shared" ca="1" si="7"/>
        <v>64.500000000014552</v>
      </c>
    </row>
    <row r="39" spans="1:12" x14ac:dyDescent="0.25">
      <c r="A39" s="5">
        <v>24</v>
      </c>
      <c r="B39" s="18">
        <f t="shared" ca="1" si="8"/>
        <v>47.79</v>
      </c>
      <c r="C39" s="33">
        <f t="shared" ca="1" si="0"/>
        <v>-0.98000000000000398</v>
      </c>
      <c r="D39" s="5">
        <f t="shared" ca="1" si="9"/>
        <v>378</v>
      </c>
      <c r="E39" s="5">
        <f t="shared" ca="1" si="1"/>
        <v>0</v>
      </c>
      <c r="F39" s="5">
        <f t="shared" ca="1" si="2"/>
        <v>95</v>
      </c>
      <c r="G39" s="5">
        <f t="shared" ca="1" si="3"/>
        <v>473</v>
      </c>
      <c r="H39" s="11">
        <f t="shared" ca="1" si="10"/>
        <v>81629.440000000017</v>
      </c>
      <c r="I39" s="11">
        <f t="shared" ca="1" si="4"/>
        <v>-4540.05</v>
      </c>
      <c r="J39" s="11">
        <f t="shared" ca="1" si="5"/>
        <v>77089.390000000014</v>
      </c>
      <c r="K39" s="11">
        <f t="shared" ca="1" si="6"/>
        <v>22604.67</v>
      </c>
      <c r="L39" s="11">
        <f t="shared" ca="1" si="7"/>
        <v>-305.93999999998778</v>
      </c>
    </row>
    <row r="40" spans="1:12" x14ac:dyDescent="0.25">
      <c r="A40" s="5">
        <v>25</v>
      </c>
      <c r="B40" s="18">
        <f t="shared" ca="1" si="8"/>
        <v>46.79</v>
      </c>
      <c r="C40" s="33">
        <f t="shared" ca="1" si="0"/>
        <v>-1</v>
      </c>
      <c r="D40" s="5">
        <f t="shared" ca="1" si="9"/>
        <v>473</v>
      </c>
      <c r="E40" s="5">
        <f t="shared" ca="1" si="1"/>
        <v>0</v>
      </c>
      <c r="F40" s="5">
        <f t="shared" ca="1" si="2"/>
        <v>118</v>
      </c>
      <c r="G40" s="5">
        <f t="shared" ca="1" si="3"/>
        <v>591</v>
      </c>
      <c r="H40" s="11">
        <f t="shared" ca="1" si="10"/>
        <v>77089.390000000014</v>
      </c>
      <c r="I40" s="11">
        <f t="shared" ca="1" si="4"/>
        <v>-5521.22</v>
      </c>
      <c r="J40" s="11">
        <f t="shared" ca="1" si="5"/>
        <v>71568.170000000013</v>
      </c>
      <c r="K40" s="11">
        <f t="shared" ca="1" si="6"/>
        <v>27652.89</v>
      </c>
      <c r="L40" s="11">
        <f t="shared" ca="1" si="7"/>
        <v>-778.93999999998778</v>
      </c>
    </row>
    <row r="41" spans="1:12" x14ac:dyDescent="0.25">
      <c r="A41" s="5">
        <v>26</v>
      </c>
      <c r="B41" s="18">
        <f t="shared" ca="1" si="8"/>
        <v>47.52</v>
      </c>
      <c r="C41" s="33">
        <f t="shared" ca="1" si="0"/>
        <v>0.73000000000000398</v>
      </c>
      <c r="D41" s="5">
        <f t="shared" ca="1" si="9"/>
        <v>591</v>
      </c>
      <c r="E41" s="5">
        <f t="shared" ca="1" si="1"/>
        <v>0</v>
      </c>
      <c r="F41" s="5">
        <f t="shared" ca="1" si="2"/>
        <v>0</v>
      </c>
      <c r="G41" s="5">
        <f t="shared" ca="1" si="3"/>
        <v>591</v>
      </c>
      <c r="H41" s="11">
        <f t="shared" ca="1" si="10"/>
        <v>71568.170000000013</v>
      </c>
      <c r="I41" s="11">
        <f t="shared" ca="1" si="4"/>
        <v>0</v>
      </c>
      <c r="J41" s="11">
        <f t="shared" ca="1" si="5"/>
        <v>71568.170000000013</v>
      </c>
      <c r="K41" s="11">
        <f t="shared" ca="1" si="6"/>
        <v>28084.320000000003</v>
      </c>
      <c r="L41" s="11">
        <f t="shared" ca="1" si="7"/>
        <v>-347.50999999998021</v>
      </c>
    </row>
    <row r="42" spans="1:12" x14ac:dyDescent="0.25">
      <c r="A42" s="5">
        <v>27</v>
      </c>
      <c r="B42" s="18">
        <f t="shared" ca="1" si="8"/>
        <v>48.42</v>
      </c>
      <c r="C42" s="33">
        <f t="shared" ca="1" si="0"/>
        <v>0.89999999999999858</v>
      </c>
      <c r="D42" s="5">
        <f t="shared" ca="1" si="9"/>
        <v>591</v>
      </c>
      <c r="E42" s="5">
        <f t="shared" ca="1" si="1"/>
        <v>59</v>
      </c>
      <c r="F42" s="5">
        <f t="shared" ca="1" si="2"/>
        <v>0</v>
      </c>
      <c r="G42" s="5">
        <f t="shared" ca="1" si="3"/>
        <v>532</v>
      </c>
      <c r="H42" s="11">
        <f t="shared" ca="1" si="10"/>
        <v>71568.170000000013</v>
      </c>
      <c r="I42" s="11">
        <f t="shared" ca="1" si="4"/>
        <v>2856.78</v>
      </c>
      <c r="J42" s="11">
        <f t="shared" ca="1" si="5"/>
        <v>74424.950000000012</v>
      </c>
      <c r="K42" s="11">
        <f t="shared" ca="1" si="6"/>
        <v>25759.440000000002</v>
      </c>
      <c r="L42" s="11">
        <f t="shared" ca="1" si="7"/>
        <v>184.39000000001397</v>
      </c>
    </row>
    <row r="43" spans="1:12" x14ac:dyDescent="0.25">
      <c r="A43" s="5">
        <v>28</v>
      </c>
      <c r="B43" s="18">
        <f t="shared" ca="1" si="8"/>
        <v>48.44</v>
      </c>
      <c r="C43" s="33">
        <f t="shared" ca="1" si="0"/>
        <v>1.9999999999996021E-2</v>
      </c>
      <c r="D43" s="5">
        <f t="shared" ca="1" si="9"/>
        <v>532</v>
      </c>
      <c r="E43" s="5">
        <f t="shared" ca="1" si="1"/>
        <v>133</v>
      </c>
      <c r="F43" s="5">
        <f t="shared" ca="1" si="2"/>
        <v>0</v>
      </c>
      <c r="G43" s="5">
        <f t="shared" ca="1" si="3"/>
        <v>399</v>
      </c>
      <c r="H43" s="11">
        <f t="shared" ca="1" si="10"/>
        <v>74424.950000000012</v>
      </c>
      <c r="I43" s="11">
        <f t="shared" ca="1" si="4"/>
        <v>6442.5199999999995</v>
      </c>
      <c r="J43" s="11">
        <f t="shared" ca="1" si="5"/>
        <v>80867.470000000016</v>
      </c>
      <c r="K43" s="11">
        <f t="shared" ca="1" si="6"/>
        <v>19327.559999999998</v>
      </c>
      <c r="L43" s="11">
        <f t="shared" ca="1" si="7"/>
        <v>195.03000000001339</v>
      </c>
    </row>
    <row r="44" spans="1:12" x14ac:dyDescent="0.25">
      <c r="A44" s="5">
        <v>29</v>
      </c>
      <c r="B44" s="18">
        <f t="shared" ca="1" si="8"/>
        <v>45.82</v>
      </c>
      <c r="C44" s="33">
        <f t="shared" ca="1" si="0"/>
        <v>-2.6199999999999974</v>
      </c>
      <c r="D44" s="5">
        <f t="shared" ca="1" si="9"/>
        <v>399</v>
      </c>
      <c r="E44" s="5">
        <f t="shared" ca="1" si="1"/>
        <v>0</v>
      </c>
      <c r="F44" s="5">
        <f t="shared" ca="1" si="2"/>
        <v>0</v>
      </c>
      <c r="G44" s="5">
        <f t="shared" ca="1" si="3"/>
        <v>399</v>
      </c>
      <c r="H44" s="11">
        <f t="shared" ca="1" si="10"/>
        <v>80867.470000000016</v>
      </c>
      <c r="I44" s="11">
        <f t="shared" ca="1" si="4"/>
        <v>0</v>
      </c>
      <c r="J44" s="11">
        <f t="shared" ca="1" si="5"/>
        <v>80867.470000000016</v>
      </c>
      <c r="K44" s="11">
        <f t="shared" ca="1" si="6"/>
        <v>18282.18</v>
      </c>
      <c r="L44" s="11">
        <f t="shared" ca="1" si="7"/>
        <v>-850.34999999997672</v>
      </c>
    </row>
    <row r="45" spans="1:12" x14ac:dyDescent="0.25">
      <c r="A45" s="5">
        <v>30</v>
      </c>
      <c r="B45" s="18">
        <f t="shared" ca="1" si="8"/>
        <v>46.13</v>
      </c>
      <c r="C45" s="33">
        <f t="shared" ca="1" si="0"/>
        <v>0.31000000000000227</v>
      </c>
      <c r="D45" s="5">
        <f t="shared" ca="1" si="9"/>
        <v>399</v>
      </c>
      <c r="E45" s="5">
        <f t="shared" ca="1" si="1"/>
        <v>0</v>
      </c>
      <c r="F45" s="5">
        <f t="shared" ca="1" si="2"/>
        <v>0</v>
      </c>
      <c r="G45" s="5">
        <f t="shared" ca="1" si="3"/>
        <v>399</v>
      </c>
      <c r="H45" s="11">
        <f t="shared" ca="1" si="10"/>
        <v>80867.470000000016</v>
      </c>
      <c r="I45" s="11">
        <f t="shared" ca="1" si="4"/>
        <v>0</v>
      </c>
      <c r="J45" s="11">
        <f t="shared" ca="1" si="5"/>
        <v>80867.470000000016</v>
      </c>
      <c r="K45" s="11">
        <f t="shared" ca="1" si="6"/>
        <v>18405.870000000003</v>
      </c>
      <c r="L45" s="11">
        <f t="shared" ca="1" si="7"/>
        <v>-726.65999999997439</v>
      </c>
    </row>
    <row r="46" spans="1:12" x14ac:dyDescent="0.25">
      <c r="A46" s="5">
        <v>31</v>
      </c>
      <c r="B46" s="18">
        <f t="shared" ca="1" si="8"/>
        <v>46.65</v>
      </c>
      <c r="C46" s="33">
        <f t="shared" ca="1" si="0"/>
        <v>0.51999999999999602</v>
      </c>
      <c r="D46" s="5">
        <f t="shared" ca="1" si="9"/>
        <v>399</v>
      </c>
      <c r="E46" s="5">
        <f t="shared" ca="1" si="1"/>
        <v>40</v>
      </c>
      <c r="F46" s="5">
        <f t="shared" ca="1" si="2"/>
        <v>0</v>
      </c>
      <c r="G46" s="5">
        <f t="shared" ca="1" si="3"/>
        <v>359</v>
      </c>
      <c r="H46" s="11">
        <f t="shared" ca="1" si="10"/>
        <v>80867.470000000016</v>
      </c>
      <c r="I46" s="11">
        <f t="shared" ca="1" si="4"/>
        <v>1866</v>
      </c>
      <c r="J46" s="11">
        <f t="shared" ca="1" si="5"/>
        <v>82733.470000000016</v>
      </c>
      <c r="K46" s="11">
        <f t="shared" ca="1" si="6"/>
        <v>16747.349999999999</v>
      </c>
      <c r="L46" s="11">
        <f t="shared" ca="1" si="7"/>
        <v>-519.17999999999302</v>
      </c>
    </row>
    <row r="47" spans="1:12" x14ac:dyDescent="0.25">
      <c r="A47" s="5">
        <v>32</v>
      </c>
      <c r="B47" s="18">
        <f t="shared" ca="1" si="8"/>
        <v>46.51</v>
      </c>
      <c r="C47" s="33">
        <f t="shared" ca="1" si="0"/>
        <v>-0.14000000000000057</v>
      </c>
      <c r="D47" s="5">
        <f t="shared" ca="1" si="9"/>
        <v>359</v>
      </c>
      <c r="E47" s="5">
        <f t="shared" ca="1" si="1"/>
        <v>0</v>
      </c>
      <c r="F47" s="5">
        <f t="shared" ca="1" si="2"/>
        <v>0</v>
      </c>
      <c r="G47" s="5">
        <f t="shared" ca="1" si="3"/>
        <v>359</v>
      </c>
      <c r="H47" s="11">
        <f t="shared" ca="1" si="10"/>
        <v>82733.470000000016</v>
      </c>
      <c r="I47" s="11">
        <f t="shared" ca="1" si="4"/>
        <v>0</v>
      </c>
      <c r="J47" s="11">
        <f t="shared" ca="1" si="5"/>
        <v>82733.470000000016</v>
      </c>
      <c r="K47" s="11">
        <f t="shared" ca="1" si="6"/>
        <v>16697.09</v>
      </c>
      <c r="L47" s="11">
        <f t="shared" ca="1" si="7"/>
        <v>-569.43999999998778</v>
      </c>
    </row>
    <row r="48" spans="1:12" x14ac:dyDescent="0.25">
      <c r="A48" s="5">
        <v>33</v>
      </c>
      <c r="B48" s="18">
        <f t="shared" ca="1" si="8"/>
        <v>46.44</v>
      </c>
      <c r="C48" s="33">
        <f t="shared" ca="1" si="0"/>
        <v>-7.0000000000000284E-2</v>
      </c>
      <c r="D48" s="5">
        <f t="shared" ca="1" si="9"/>
        <v>359</v>
      </c>
      <c r="E48" s="5">
        <f t="shared" ca="1" si="1"/>
        <v>0</v>
      </c>
      <c r="F48" s="5">
        <f t="shared" ca="1" si="2"/>
        <v>36</v>
      </c>
      <c r="G48" s="5">
        <f t="shared" ca="1" si="3"/>
        <v>395</v>
      </c>
      <c r="H48" s="11">
        <f t="shared" ca="1" si="10"/>
        <v>82733.470000000016</v>
      </c>
      <c r="I48" s="11">
        <f t="shared" ca="1" si="4"/>
        <v>-1671.84</v>
      </c>
      <c r="J48" s="11">
        <f t="shared" ca="1" si="5"/>
        <v>81061.630000000019</v>
      </c>
      <c r="K48" s="11">
        <f t="shared" ca="1" si="6"/>
        <v>18343.8</v>
      </c>
      <c r="L48" s="11">
        <f t="shared" ca="1" si="7"/>
        <v>-594.56999999997788</v>
      </c>
    </row>
    <row r="49" spans="1:12" x14ac:dyDescent="0.25">
      <c r="A49" s="5">
        <v>34</v>
      </c>
      <c r="B49" s="18">
        <f t="shared" ca="1" si="8"/>
        <v>46.95</v>
      </c>
      <c r="C49" s="33">
        <f t="shared" ca="1" si="0"/>
        <v>0.51000000000000512</v>
      </c>
      <c r="D49" s="5">
        <f t="shared" ca="1" si="9"/>
        <v>395</v>
      </c>
      <c r="E49" s="5">
        <f t="shared" ca="1" si="1"/>
        <v>0</v>
      </c>
      <c r="F49" s="5">
        <f t="shared" ca="1" si="2"/>
        <v>0</v>
      </c>
      <c r="G49" s="5">
        <f t="shared" ca="1" si="3"/>
        <v>395</v>
      </c>
      <c r="H49" s="11">
        <f t="shared" ca="1" si="10"/>
        <v>81061.630000000019</v>
      </c>
      <c r="I49" s="11">
        <f t="shared" ca="1" si="4"/>
        <v>0</v>
      </c>
      <c r="J49" s="11">
        <f t="shared" ca="1" si="5"/>
        <v>81061.630000000019</v>
      </c>
      <c r="K49" s="11">
        <f t="shared" ca="1" si="6"/>
        <v>18545.25</v>
      </c>
      <c r="L49" s="11">
        <f t="shared" ca="1" si="7"/>
        <v>-393.11999999998079</v>
      </c>
    </row>
    <row r="50" spans="1:12" x14ac:dyDescent="0.25">
      <c r="A50" s="5">
        <v>35</v>
      </c>
      <c r="B50" s="18">
        <f t="shared" ca="1" si="8"/>
        <v>47.08</v>
      </c>
      <c r="C50" s="33">
        <f t="shared" ca="1" si="0"/>
        <v>0.12999999999999545</v>
      </c>
      <c r="D50" s="5">
        <f t="shared" ca="1" si="9"/>
        <v>395</v>
      </c>
      <c r="E50" s="5">
        <f t="shared" ca="1" si="1"/>
        <v>40</v>
      </c>
      <c r="F50" s="5">
        <f t="shared" ca="1" si="2"/>
        <v>0</v>
      </c>
      <c r="G50" s="5">
        <f t="shared" ca="1" si="3"/>
        <v>355</v>
      </c>
      <c r="H50" s="11">
        <f t="shared" ca="1" si="10"/>
        <v>81061.630000000019</v>
      </c>
      <c r="I50" s="11">
        <f t="shared" ca="1" si="4"/>
        <v>1883.1999999999998</v>
      </c>
      <c r="J50" s="11">
        <f t="shared" ca="1" si="5"/>
        <v>82944.830000000016</v>
      </c>
      <c r="K50" s="11">
        <f t="shared" ca="1" si="6"/>
        <v>16713.399999999998</v>
      </c>
      <c r="L50" s="11">
        <f t="shared" ca="1" si="7"/>
        <v>-341.76999999998952</v>
      </c>
    </row>
    <row r="51" spans="1:12" x14ac:dyDescent="0.25">
      <c r="A51" s="5">
        <v>36</v>
      </c>
      <c r="B51" s="18">
        <f t="shared" ca="1" si="8"/>
        <v>48.26</v>
      </c>
      <c r="C51" s="33">
        <f t="shared" ca="1" si="0"/>
        <v>1.1799999999999997</v>
      </c>
      <c r="D51" s="5">
        <f t="shared" ca="1" si="9"/>
        <v>355</v>
      </c>
      <c r="E51" s="5">
        <f t="shared" ca="1" si="1"/>
        <v>89</v>
      </c>
      <c r="F51" s="5">
        <f t="shared" ca="1" si="2"/>
        <v>0</v>
      </c>
      <c r="G51" s="5">
        <f t="shared" ca="1" si="3"/>
        <v>266</v>
      </c>
      <c r="H51" s="11">
        <f t="shared" ca="1" si="10"/>
        <v>82944.830000000016</v>
      </c>
      <c r="I51" s="11">
        <f t="shared" ca="1" si="4"/>
        <v>4295.1399999999994</v>
      </c>
      <c r="J51" s="11">
        <f t="shared" ca="1" si="5"/>
        <v>87239.970000000016</v>
      </c>
      <c r="K51" s="11">
        <f t="shared" ca="1" si="6"/>
        <v>12837.16</v>
      </c>
      <c r="L51" s="11">
        <f t="shared" ca="1" si="7"/>
        <v>77.130000000019209</v>
      </c>
    </row>
    <row r="52" spans="1:12" x14ac:dyDescent="0.25">
      <c r="A52" s="5">
        <v>37</v>
      </c>
      <c r="B52" s="18">
        <f t="shared" ca="1" si="8"/>
        <v>48.29</v>
      </c>
      <c r="C52" s="33">
        <f t="shared" ca="1" si="0"/>
        <v>3.0000000000001137E-2</v>
      </c>
      <c r="D52" s="5">
        <f t="shared" ca="1" si="9"/>
        <v>266</v>
      </c>
      <c r="E52" s="5">
        <f t="shared" ca="1" si="1"/>
        <v>67</v>
      </c>
      <c r="F52" s="5">
        <f t="shared" ca="1" si="2"/>
        <v>0</v>
      </c>
      <c r="G52" s="5">
        <f t="shared" ca="1" si="3"/>
        <v>199</v>
      </c>
      <c r="H52" s="11">
        <f t="shared" ca="1" si="10"/>
        <v>87239.970000000016</v>
      </c>
      <c r="I52" s="11">
        <f t="shared" ca="1" si="4"/>
        <v>3235.43</v>
      </c>
      <c r="J52" s="11">
        <f t="shared" ca="1" si="5"/>
        <v>90475.400000000009</v>
      </c>
      <c r="K52" s="11">
        <f t="shared" ca="1" si="6"/>
        <v>9609.7099999999991</v>
      </c>
      <c r="L52" s="11">
        <f t="shared" ca="1" si="7"/>
        <v>85.110000000015134</v>
      </c>
    </row>
    <row r="53" spans="1:12" x14ac:dyDescent="0.25">
      <c r="A53" s="5">
        <v>38</v>
      </c>
      <c r="B53" s="18">
        <f t="shared" ca="1" si="8"/>
        <v>47.34</v>
      </c>
      <c r="C53" s="33">
        <f t="shared" ca="1" si="0"/>
        <v>-0.94999999999999574</v>
      </c>
      <c r="D53" s="5">
        <f t="shared" ca="1" si="9"/>
        <v>199</v>
      </c>
      <c r="E53" s="5">
        <f t="shared" ca="1" si="1"/>
        <v>0</v>
      </c>
      <c r="F53" s="5">
        <f t="shared" ca="1" si="2"/>
        <v>0</v>
      </c>
      <c r="G53" s="5">
        <f t="shared" ca="1" si="3"/>
        <v>199</v>
      </c>
      <c r="H53" s="11">
        <f t="shared" ca="1" si="10"/>
        <v>90475.400000000009</v>
      </c>
      <c r="I53" s="11">
        <f t="shared" ca="1" si="4"/>
        <v>0</v>
      </c>
      <c r="J53" s="11">
        <f t="shared" ca="1" si="5"/>
        <v>90475.400000000009</v>
      </c>
      <c r="K53" s="11">
        <f t="shared" ca="1" si="6"/>
        <v>9420.66</v>
      </c>
      <c r="L53" s="11">
        <f t="shared" ca="1" si="7"/>
        <v>-103.93999999998778</v>
      </c>
    </row>
    <row r="54" spans="1:12" x14ac:dyDescent="0.25">
      <c r="A54" s="5">
        <v>39</v>
      </c>
      <c r="B54" s="18">
        <f t="shared" ca="1" si="8"/>
        <v>47.64</v>
      </c>
      <c r="C54" s="33">
        <f t="shared" ca="1" si="0"/>
        <v>0.29999999999999716</v>
      </c>
      <c r="D54" s="5">
        <f t="shared" ca="1" si="9"/>
        <v>199</v>
      </c>
      <c r="E54" s="5">
        <f t="shared" ca="1" si="1"/>
        <v>0</v>
      </c>
      <c r="F54" s="5">
        <f t="shared" ca="1" si="2"/>
        <v>0</v>
      </c>
      <c r="G54" s="5">
        <f t="shared" ca="1" si="3"/>
        <v>199</v>
      </c>
      <c r="H54" s="11">
        <f t="shared" ca="1" si="10"/>
        <v>90475.400000000009</v>
      </c>
      <c r="I54" s="11">
        <f t="shared" ca="1" si="4"/>
        <v>0</v>
      </c>
      <c r="J54" s="11">
        <f t="shared" ca="1" si="5"/>
        <v>90475.400000000009</v>
      </c>
      <c r="K54" s="11">
        <f t="shared" ca="1" si="6"/>
        <v>9480.36</v>
      </c>
      <c r="L54" s="11">
        <f t="shared" ca="1" si="7"/>
        <v>-44.239999999990687</v>
      </c>
    </row>
    <row r="55" spans="1:12" x14ac:dyDescent="0.25">
      <c r="A55" s="5">
        <v>40</v>
      </c>
      <c r="B55" s="18">
        <f t="shared" ca="1" si="8"/>
        <v>47.87</v>
      </c>
      <c r="C55" s="33">
        <f t="shared" ca="1" si="0"/>
        <v>0.22999999999999687</v>
      </c>
      <c r="D55" s="5">
        <f t="shared" ca="1" si="9"/>
        <v>199</v>
      </c>
      <c r="E55" s="5">
        <f t="shared" ca="1" si="1"/>
        <v>20</v>
      </c>
      <c r="F55" s="5">
        <f t="shared" ca="1" si="2"/>
        <v>0</v>
      </c>
      <c r="G55" s="5">
        <f t="shared" ca="1" si="3"/>
        <v>179</v>
      </c>
      <c r="H55" s="11">
        <f t="shared" ca="1" si="10"/>
        <v>90475.400000000009</v>
      </c>
      <c r="I55" s="11">
        <f t="shared" ca="1" si="4"/>
        <v>957.4</v>
      </c>
      <c r="J55" s="11">
        <f t="shared" ca="1" si="5"/>
        <v>91432.8</v>
      </c>
      <c r="K55" s="11">
        <f t="shared" ca="1" si="6"/>
        <v>8568.73</v>
      </c>
      <c r="L55" s="11">
        <f t="shared" ca="1" si="7"/>
        <v>1.5299999999988358</v>
      </c>
    </row>
    <row r="56" spans="1:12" x14ac:dyDescent="0.25">
      <c r="A56" s="5">
        <v>41</v>
      </c>
      <c r="B56" s="18">
        <f t="shared" ca="1" si="8"/>
        <v>48.13</v>
      </c>
      <c r="C56" s="33">
        <f t="shared" ca="1" si="0"/>
        <v>0.26000000000000512</v>
      </c>
      <c r="D56" s="5">
        <f t="shared" ca="1" si="9"/>
        <v>179</v>
      </c>
      <c r="E56" s="5">
        <f t="shared" ca="1" si="1"/>
        <v>45</v>
      </c>
      <c r="F56" s="5">
        <f t="shared" ca="1" si="2"/>
        <v>0</v>
      </c>
      <c r="G56" s="5">
        <f t="shared" ca="1" si="3"/>
        <v>134</v>
      </c>
      <c r="H56" s="11">
        <f t="shared" ca="1" si="10"/>
        <v>91432.8</v>
      </c>
      <c r="I56" s="11">
        <f t="shared" ca="1" si="4"/>
        <v>2165.85</v>
      </c>
      <c r="J56" s="11">
        <f t="shared" ca="1" si="5"/>
        <v>93598.650000000009</v>
      </c>
      <c r="K56" s="11">
        <f t="shared" ca="1" si="6"/>
        <v>6449.42</v>
      </c>
      <c r="L56" s="11">
        <f t="shared" ca="1" si="7"/>
        <v>48.070000000006985</v>
      </c>
    </row>
    <row r="57" spans="1:12" x14ac:dyDescent="0.25">
      <c r="A57" s="5">
        <v>42</v>
      </c>
      <c r="B57" s="18">
        <f t="shared" ca="1" si="8"/>
        <v>48.13</v>
      </c>
      <c r="C57" s="33">
        <f t="shared" ca="1" si="0"/>
        <v>0</v>
      </c>
      <c r="D57" s="5">
        <f t="shared" ca="1" si="9"/>
        <v>134</v>
      </c>
      <c r="E57" s="5">
        <f t="shared" ca="1" si="1"/>
        <v>0</v>
      </c>
      <c r="F57" s="5">
        <f t="shared" ca="1" si="2"/>
        <v>0</v>
      </c>
      <c r="G57" s="5">
        <f t="shared" ca="1" si="3"/>
        <v>134</v>
      </c>
      <c r="H57" s="11">
        <f t="shared" ca="1" si="10"/>
        <v>93598.650000000009</v>
      </c>
      <c r="I57" s="11">
        <f t="shared" ca="1" si="4"/>
        <v>0</v>
      </c>
      <c r="J57" s="11">
        <f t="shared" ca="1" si="5"/>
        <v>93598.650000000009</v>
      </c>
      <c r="K57" s="11">
        <f t="shared" ca="1" si="6"/>
        <v>6449.42</v>
      </c>
      <c r="L57" s="11">
        <f t="shared" ca="1" si="7"/>
        <v>48.070000000006985</v>
      </c>
    </row>
    <row r="58" spans="1:12" x14ac:dyDescent="0.25">
      <c r="A58" s="5">
        <v>43</v>
      </c>
      <c r="B58" s="18">
        <f t="shared" ca="1" si="8"/>
        <v>47.1</v>
      </c>
      <c r="C58" s="33">
        <f t="shared" ca="1" si="0"/>
        <v>-1.0300000000000011</v>
      </c>
      <c r="D58" s="5">
        <f t="shared" ca="1" si="9"/>
        <v>134</v>
      </c>
      <c r="E58" s="5">
        <f t="shared" ca="1" si="1"/>
        <v>0</v>
      </c>
      <c r="F58" s="5">
        <f t="shared" ca="1" si="2"/>
        <v>0</v>
      </c>
      <c r="G58" s="5">
        <f t="shared" ca="1" si="3"/>
        <v>134</v>
      </c>
      <c r="H58" s="11">
        <f t="shared" ca="1" si="10"/>
        <v>93598.650000000009</v>
      </c>
      <c r="I58" s="11">
        <f t="shared" ca="1" si="4"/>
        <v>0</v>
      </c>
      <c r="J58" s="11">
        <f t="shared" ca="1" si="5"/>
        <v>93598.650000000009</v>
      </c>
      <c r="K58" s="11">
        <f t="shared" ca="1" si="6"/>
        <v>6311.4000000000005</v>
      </c>
      <c r="L58" s="11">
        <f t="shared" ca="1" si="7"/>
        <v>-89.94999999999709</v>
      </c>
    </row>
    <row r="59" spans="1:12" x14ac:dyDescent="0.25">
      <c r="A59" s="5">
        <v>44</v>
      </c>
      <c r="B59" s="18">
        <f t="shared" ca="1" si="8"/>
        <v>46.55</v>
      </c>
      <c r="C59" s="33">
        <f t="shared" ca="1" si="0"/>
        <v>-0.55000000000000426</v>
      </c>
      <c r="D59" s="5">
        <f t="shared" ca="1" si="9"/>
        <v>134</v>
      </c>
      <c r="E59" s="5">
        <f t="shared" ca="1" si="1"/>
        <v>0</v>
      </c>
      <c r="F59" s="5">
        <f t="shared" ca="1" si="2"/>
        <v>13</v>
      </c>
      <c r="G59" s="5">
        <f t="shared" ca="1" si="3"/>
        <v>147</v>
      </c>
      <c r="H59" s="11">
        <f t="shared" ca="1" si="10"/>
        <v>93598.650000000009</v>
      </c>
      <c r="I59" s="11">
        <f t="shared" ca="1" si="4"/>
        <v>-605.15</v>
      </c>
      <c r="J59" s="11">
        <f t="shared" ca="1" si="5"/>
        <v>92993.500000000015</v>
      </c>
      <c r="K59" s="11">
        <f t="shared" ca="1" si="6"/>
        <v>6842.8499999999995</v>
      </c>
      <c r="L59" s="11">
        <f t="shared" ca="1" si="7"/>
        <v>-163.64999999997963</v>
      </c>
    </row>
    <row r="60" spans="1:12" x14ac:dyDescent="0.25">
      <c r="A60" s="5">
        <v>45</v>
      </c>
      <c r="B60" s="18">
        <f t="shared" ca="1" si="8"/>
        <v>46.99</v>
      </c>
      <c r="C60" s="33">
        <f t="shared" ca="1" si="0"/>
        <v>0.44000000000000483</v>
      </c>
      <c r="D60" s="5">
        <f t="shared" ca="1" si="9"/>
        <v>147</v>
      </c>
      <c r="E60" s="5">
        <f t="shared" ca="1" si="1"/>
        <v>0</v>
      </c>
      <c r="F60" s="5">
        <f t="shared" ca="1" si="2"/>
        <v>0</v>
      </c>
      <c r="G60" s="5">
        <f t="shared" ca="1" si="3"/>
        <v>147</v>
      </c>
      <c r="H60" s="11">
        <f t="shared" ca="1" si="10"/>
        <v>92993.500000000015</v>
      </c>
      <c r="I60" s="11">
        <f t="shared" ca="1" si="4"/>
        <v>0</v>
      </c>
      <c r="J60" s="11">
        <f t="shared" ca="1" si="5"/>
        <v>92993.500000000015</v>
      </c>
      <c r="K60" s="11">
        <f t="shared" ca="1" si="6"/>
        <v>6907.5300000000007</v>
      </c>
      <c r="L60" s="11">
        <f t="shared" ca="1" si="7"/>
        <v>-98.969999999986612</v>
      </c>
    </row>
    <row r="61" spans="1:12" x14ac:dyDescent="0.25">
      <c r="A61" s="5">
        <v>46</v>
      </c>
      <c r="B61" s="18">
        <f t="shared" ca="1" si="8"/>
        <v>47.54</v>
      </c>
      <c r="C61" s="33">
        <f t="shared" ca="1" si="0"/>
        <v>0.54999999999999716</v>
      </c>
      <c r="D61" s="5">
        <f t="shared" ca="1" si="9"/>
        <v>147</v>
      </c>
      <c r="E61" s="5">
        <f t="shared" ca="1" si="1"/>
        <v>15</v>
      </c>
      <c r="F61" s="5">
        <f t="shared" ca="1" si="2"/>
        <v>0</v>
      </c>
      <c r="G61" s="5">
        <f t="shared" ca="1" si="3"/>
        <v>132</v>
      </c>
      <c r="H61" s="11">
        <f t="shared" ca="1" si="10"/>
        <v>92993.500000000015</v>
      </c>
      <c r="I61" s="11">
        <f t="shared" ca="1" si="4"/>
        <v>713.1</v>
      </c>
      <c r="J61" s="11">
        <f t="shared" ca="1" si="5"/>
        <v>93706.60000000002</v>
      </c>
      <c r="K61" s="11">
        <f t="shared" ca="1" si="6"/>
        <v>6275.28</v>
      </c>
      <c r="L61" s="11">
        <f t="shared" ca="1" si="7"/>
        <v>-18.119999999980791</v>
      </c>
    </row>
    <row r="62" spans="1:12" x14ac:dyDescent="0.25">
      <c r="A62" s="5">
        <v>47</v>
      </c>
      <c r="B62" s="18">
        <f t="shared" ca="1" si="8"/>
        <v>49.06</v>
      </c>
      <c r="C62" s="33">
        <f t="shared" ca="1" si="0"/>
        <v>1.5200000000000031</v>
      </c>
      <c r="D62" s="5">
        <f t="shared" ca="1" si="9"/>
        <v>132</v>
      </c>
      <c r="E62" s="5">
        <f t="shared" ca="1" si="1"/>
        <v>33</v>
      </c>
      <c r="F62" s="5">
        <f t="shared" ca="1" si="2"/>
        <v>0</v>
      </c>
      <c r="G62" s="5">
        <f t="shared" ca="1" si="3"/>
        <v>99</v>
      </c>
      <c r="H62" s="11">
        <f t="shared" ca="1" si="10"/>
        <v>93706.60000000002</v>
      </c>
      <c r="I62" s="11">
        <f t="shared" ca="1" si="4"/>
        <v>1618.98</v>
      </c>
      <c r="J62" s="11">
        <f t="shared" ca="1" si="5"/>
        <v>95325.580000000016</v>
      </c>
      <c r="K62" s="11">
        <f t="shared" ca="1" si="6"/>
        <v>4856.9400000000005</v>
      </c>
      <c r="L62" s="11">
        <f t="shared" ca="1" si="7"/>
        <v>182.52000000001863</v>
      </c>
    </row>
    <row r="63" spans="1:12" x14ac:dyDescent="0.25">
      <c r="A63" s="5">
        <v>48</v>
      </c>
      <c r="B63" s="18">
        <f t="shared" ca="1" si="8"/>
        <v>49.3</v>
      </c>
      <c r="C63" s="33">
        <f t="shared" ca="1" si="0"/>
        <v>0.23999999999999488</v>
      </c>
      <c r="D63" s="5">
        <f t="shared" ca="1" si="9"/>
        <v>99</v>
      </c>
      <c r="E63" s="5">
        <f t="shared" ca="1" si="1"/>
        <v>25</v>
      </c>
      <c r="F63" s="5">
        <f t="shared" ca="1" si="2"/>
        <v>0</v>
      </c>
      <c r="G63" s="5">
        <f t="shared" ca="1" si="3"/>
        <v>74</v>
      </c>
      <c r="H63" s="11">
        <f t="shared" ca="1" si="10"/>
        <v>95325.580000000016</v>
      </c>
      <c r="I63" s="11">
        <f t="shared" ca="1" si="4"/>
        <v>1232.5</v>
      </c>
      <c r="J63" s="11">
        <f t="shared" ca="1" si="5"/>
        <v>96558.080000000016</v>
      </c>
      <c r="K63" s="11">
        <f t="shared" ca="1" si="6"/>
        <v>3648.2</v>
      </c>
      <c r="L63" s="11">
        <f t="shared" ca="1" si="7"/>
        <v>206.28000000001339</v>
      </c>
    </row>
    <row r="64" spans="1:12" x14ac:dyDescent="0.25">
      <c r="A64" s="5">
        <v>49</v>
      </c>
      <c r="B64" s="18">
        <f t="shared" ca="1" si="8"/>
        <v>49.15</v>
      </c>
      <c r="C64" s="33">
        <f t="shared" ca="1" si="0"/>
        <v>-0.14999999999999858</v>
      </c>
      <c r="D64" s="5">
        <f t="shared" ca="1" si="9"/>
        <v>74</v>
      </c>
      <c r="E64" s="5">
        <f t="shared" ca="1" si="1"/>
        <v>0</v>
      </c>
      <c r="F64" s="5">
        <f t="shared" ca="1" si="2"/>
        <v>0</v>
      </c>
      <c r="G64" s="5">
        <f t="shared" ca="1" si="3"/>
        <v>74</v>
      </c>
      <c r="H64" s="11">
        <f t="shared" ca="1" si="10"/>
        <v>96558.080000000016</v>
      </c>
      <c r="I64" s="11">
        <f t="shared" ca="1" si="4"/>
        <v>0</v>
      </c>
      <c r="J64" s="11">
        <f t="shared" ca="1" si="5"/>
        <v>96558.080000000016</v>
      </c>
      <c r="K64" s="11">
        <f t="shared" ca="1" si="6"/>
        <v>3637.1</v>
      </c>
      <c r="L64" s="11">
        <f t="shared" ca="1" si="7"/>
        <v>195.18000000002212</v>
      </c>
    </row>
    <row r="65" spans="1:12" x14ac:dyDescent="0.25">
      <c r="A65" s="5">
        <v>50</v>
      </c>
      <c r="B65" s="18">
        <f t="shared" ca="1" si="8"/>
        <v>47.89</v>
      </c>
      <c r="C65" s="33">
        <f t="shared" ca="1" si="0"/>
        <v>-1.259999999999998</v>
      </c>
      <c r="D65" s="5">
        <f t="shared" ca="1" si="9"/>
        <v>74</v>
      </c>
      <c r="E65" s="5">
        <f t="shared" ca="1" si="1"/>
        <v>0</v>
      </c>
      <c r="F65" s="5">
        <f t="shared" ca="1" si="2"/>
        <v>7</v>
      </c>
      <c r="G65" s="5">
        <f t="shared" ca="1" si="3"/>
        <v>81</v>
      </c>
      <c r="H65" s="11">
        <f t="shared" ca="1" si="10"/>
        <v>96558.080000000016</v>
      </c>
      <c r="I65" s="11">
        <f t="shared" ca="1" si="4"/>
        <v>-335.23</v>
      </c>
      <c r="J65" s="11">
        <f t="shared" ca="1" si="5"/>
        <v>96222.85000000002</v>
      </c>
      <c r="K65" s="11">
        <f t="shared" ca="1" si="6"/>
        <v>3879.09</v>
      </c>
      <c r="L65" s="11">
        <f t="shared" ca="1" si="7"/>
        <v>101.94000000001688</v>
      </c>
    </row>
    <row r="66" spans="1:12" x14ac:dyDescent="0.25">
      <c r="A66" s="5">
        <v>51</v>
      </c>
      <c r="B66" s="18">
        <f t="shared" ca="1" si="8"/>
        <v>49.68</v>
      </c>
      <c r="C66" s="33">
        <f t="shared" ca="1" si="0"/>
        <v>1.7899999999999991</v>
      </c>
      <c r="D66" s="5">
        <f t="shared" ca="1" si="9"/>
        <v>81</v>
      </c>
      <c r="E66" s="5">
        <f t="shared" ca="1" si="1"/>
        <v>0</v>
      </c>
      <c r="F66" s="5">
        <f t="shared" ca="1" si="2"/>
        <v>0</v>
      </c>
      <c r="G66" s="5">
        <f t="shared" ca="1" si="3"/>
        <v>81</v>
      </c>
      <c r="H66" s="11">
        <f t="shared" ca="1" si="10"/>
        <v>96222.85000000002</v>
      </c>
      <c r="I66" s="11">
        <f t="shared" ca="1" si="4"/>
        <v>0</v>
      </c>
      <c r="J66" s="11">
        <f t="shared" ca="1" si="5"/>
        <v>96222.85000000002</v>
      </c>
      <c r="K66" s="11">
        <f t="shared" ca="1" si="6"/>
        <v>4024.08</v>
      </c>
      <c r="L66" s="11">
        <f t="shared" ca="1" si="7"/>
        <v>246.93000000002212</v>
      </c>
    </row>
    <row r="67" spans="1:12" x14ac:dyDescent="0.25">
      <c r="A67" s="5">
        <v>52</v>
      </c>
      <c r="B67" s="18">
        <f t="shared" ca="1" si="8"/>
        <v>48.3</v>
      </c>
      <c r="C67" s="33">
        <f t="shared" ca="1" si="0"/>
        <v>-1.3800000000000026</v>
      </c>
      <c r="D67" s="5">
        <f t="shared" ca="1" si="9"/>
        <v>81</v>
      </c>
      <c r="E67" s="5">
        <f t="shared" ca="1" si="1"/>
        <v>0</v>
      </c>
      <c r="F67" s="5">
        <f t="shared" ca="1" si="2"/>
        <v>0</v>
      </c>
      <c r="G67" s="5">
        <f t="shared" ca="1" si="3"/>
        <v>81</v>
      </c>
      <c r="H67" s="11">
        <f t="shared" ca="1" si="10"/>
        <v>96222.85000000002</v>
      </c>
      <c r="I67" s="11">
        <f t="shared" ca="1" si="4"/>
        <v>0</v>
      </c>
      <c r="J67" s="11">
        <f t="shared" ca="1" si="5"/>
        <v>96222.85000000002</v>
      </c>
      <c r="K67" s="11">
        <f t="shared" ca="1" si="6"/>
        <v>3912.2999999999997</v>
      </c>
      <c r="L67" s="11">
        <f t="shared" ca="1" si="7"/>
        <v>135.15000000002328</v>
      </c>
    </row>
    <row r="68" spans="1:12" x14ac:dyDescent="0.25">
      <c r="A68" s="5">
        <v>53</v>
      </c>
      <c r="B68" s="18">
        <f t="shared" ca="1" si="8"/>
        <v>46.92</v>
      </c>
      <c r="C68" s="33">
        <f t="shared" ca="1" si="0"/>
        <v>-1.3799999999999955</v>
      </c>
      <c r="D68" s="5">
        <f t="shared" ca="1" si="9"/>
        <v>81</v>
      </c>
      <c r="E68" s="5">
        <f t="shared" ca="1" si="1"/>
        <v>0</v>
      </c>
      <c r="F68" s="5">
        <f t="shared" ca="1" si="2"/>
        <v>8</v>
      </c>
      <c r="G68" s="5">
        <f t="shared" ca="1" si="3"/>
        <v>89</v>
      </c>
      <c r="H68" s="11">
        <f t="shared" ca="1" si="10"/>
        <v>96222.85000000002</v>
      </c>
      <c r="I68" s="11">
        <f t="shared" ca="1" si="4"/>
        <v>-375.36</v>
      </c>
      <c r="J68" s="11">
        <f t="shared" ca="1" si="5"/>
        <v>95847.49000000002</v>
      </c>
      <c r="K68" s="11">
        <f t="shared" ca="1" si="6"/>
        <v>4175.88</v>
      </c>
      <c r="L68" s="11">
        <f t="shared" ca="1" si="7"/>
        <v>23.370000000024447</v>
      </c>
    </row>
    <row r="69" spans="1:12" x14ac:dyDescent="0.25">
      <c r="A69" s="5">
        <v>54</v>
      </c>
      <c r="B69" s="18">
        <f t="shared" ca="1" si="8"/>
        <v>46.53</v>
      </c>
      <c r="C69" s="33">
        <f t="shared" ca="1" si="0"/>
        <v>-0.39000000000000057</v>
      </c>
      <c r="D69" s="5">
        <f t="shared" ca="1" si="9"/>
        <v>89</v>
      </c>
      <c r="E69" s="5">
        <f t="shared" ca="1" si="1"/>
        <v>0</v>
      </c>
      <c r="F69" s="5">
        <f t="shared" ca="1" si="2"/>
        <v>22</v>
      </c>
      <c r="G69" s="5">
        <f t="shared" ca="1" si="3"/>
        <v>111</v>
      </c>
      <c r="H69" s="11">
        <f t="shared" ca="1" si="10"/>
        <v>95847.49000000002</v>
      </c>
      <c r="I69" s="11">
        <f t="shared" ca="1" si="4"/>
        <v>-1023.6600000000001</v>
      </c>
      <c r="J69" s="11">
        <f t="shared" ca="1" si="5"/>
        <v>94823.830000000016</v>
      </c>
      <c r="K69" s="11">
        <f t="shared" ca="1" si="6"/>
        <v>5164.83</v>
      </c>
      <c r="L69" s="11">
        <f t="shared" ca="1" si="7"/>
        <v>-11.339999999981956</v>
      </c>
    </row>
    <row r="70" spans="1:12" x14ac:dyDescent="0.25">
      <c r="A70" s="5">
        <v>55</v>
      </c>
      <c r="B70" s="18">
        <f t="shared" ca="1" si="8"/>
        <v>46.43</v>
      </c>
      <c r="C70" s="33">
        <f t="shared" ca="1" si="0"/>
        <v>-0.10000000000000142</v>
      </c>
      <c r="D70" s="5">
        <f t="shared" ca="1" si="9"/>
        <v>111</v>
      </c>
      <c r="E70" s="5">
        <f t="shared" ca="1" si="1"/>
        <v>0</v>
      </c>
      <c r="F70" s="5">
        <f t="shared" ca="1" si="2"/>
        <v>28</v>
      </c>
      <c r="G70" s="5">
        <f t="shared" ca="1" si="3"/>
        <v>139</v>
      </c>
      <c r="H70" s="11">
        <f t="shared" ca="1" si="10"/>
        <v>94823.830000000016</v>
      </c>
      <c r="I70" s="11">
        <f t="shared" ca="1" si="4"/>
        <v>-1300.04</v>
      </c>
      <c r="J70" s="11">
        <f t="shared" ca="1" si="5"/>
        <v>93523.790000000023</v>
      </c>
      <c r="K70" s="11">
        <f t="shared" ca="1" si="6"/>
        <v>6453.7699999999995</v>
      </c>
      <c r="L70" s="11">
        <f t="shared" ca="1" si="7"/>
        <v>-22.439999999973224</v>
      </c>
    </row>
    <row r="71" spans="1:12" x14ac:dyDescent="0.25">
      <c r="A71" s="5">
        <v>56</v>
      </c>
      <c r="B71" s="18">
        <f t="shared" ca="1" si="8"/>
        <v>47.76</v>
      </c>
      <c r="C71" s="33">
        <f t="shared" ca="1" si="0"/>
        <v>1.3299999999999983</v>
      </c>
      <c r="D71" s="5">
        <f t="shared" ca="1" si="9"/>
        <v>139</v>
      </c>
      <c r="E71" s="5">
        <f t="shared" ca="1" si="1"/>
        <v>0</v>
      </c>
      <c r="F71" s="5">
        <f t="shared" ca="1" si="2"/>
        <v>0</v>
      </c>
      <c r="G71" s="5">
        <f t="shared" ca="1" si="3"/>
        <v>139</v>
      </c>
      <c r="H71" s="11">
        <f t="shared" ca="1" si="10"/>
        <v>93523.790000000023</v>
      </c>
      <c r="I71" s="11">
        <f t="shared" ca="1" si="4"/>
        <v>0</v>
      </c>
      <c r="J71" s="11">
        <f t="shared" ca="1" si="5"/>
        <v>93523.790000000023</v>
      </c>
      <c r="K71" s="11">
        <f t="shared" ca="1" si="6"/>
        <v>6638.6399999999994</v>
      </c>
      <c r="L71" s="11">
        <f t="shared" ca="1" si="7"/>
        <v>162.43000000002212</v>
      </c>
    </row>
    <row r="72" spans="1:12" x14ac:dyDescent="0.25">
      <c r="A72" s="5">
        <v>57</v>
      </c>
      <c r="B72" s="18">
        <f t="shared" ca="1" si="8"/>
        <v>48.42</v>
      </c>
      <c r="C72" s="33">
        <f t="shared" ca="1" si="0"/>
        <v>0.66000000000000369</v>
      </c>
      <c r="D72" s="5">
        <f t="shared" ca="1" si="9"/>
        <v>139</v>
      </c>
      <c r="E72" s="5">
        <f t="shared" ca="1" si="1"/>
        <v>14</v>
      </c>
      <c r="F72" s="5">
        <f t="shared" ca="1" si="2"/>
        <v>0</v>
      </c>
      <c r="G72" s="5">
        <f t="shared" ca="1" si="3"/>
        <v>125</v>
      </c>
      <c r="H72" s="11">
        <f t="shared" ca="1" si="10"/>
        <v>93523.790000000023</v>
      </c>
      <c r="I72" s="11">
        <f t="shared" ca="1" si="4"/>
        <v>677.88</v>
      </c>
      <c r="J72" s="11">
        <f t="shared" ca="1" si="5"/>
        <v>94201.670000000027</v>
      </c>
      <c r="K72" s="11">
        <f t="shared" ca="1" si="6"/>
        <v>6052.5</v>
      </c>
      <c r="L72" s="11">
        <f t="shared" ca="1" si="7"/>
        <v>254.17000000002736</v>
      </c>
    </row>
    <row r="73" spans="1:12" x14ac:dyDescent="0.25">
      <c r="A73" s="5">
        <v>58</v>
      </c>
      <c r="B73" s="18">
        <f t="shared" ca="1" si="8"/>
        <v>50.55</v>
      </c>
      <c r="C73" s="33">
        <f t="shared" ca="1" si="0"/>
        <v>2.1299999999999955</v>
      </c>
      <c r="D73" s="5">
        <f t="shared" ca="1" si="9"/>
        <v>125</v>
      </c>
      <c r="E73" s="5">
        <f t="shared" ca="1" si="1"/>
        <v>31</v>
      </c>
      <c r="F73" s="5">
        <f t="shared" ca="1" si="2"/>
        <v>0</v>
      </c>
      <c r="G73" s="5">
        <f t="shared" ca="1" si="3"/>
        <v>94</v>
      </c>
      <c r="H73" s="11">
        <f t="shared" ca="1" si="10"/>
        <v>94201.670000000027</v>
      </c>
      <c r="I73" s="11">
        <f t="shared" ca="1" si="4"/>
        <v>1567.05</v>
      </c>
      <c r="J73" s="11">
        <f t="shared" ca="1" si="5"/>
        <v>95768.72000000003</v>
      </c>
      <c r="K73" s="11">
        <f t="shared" ca="1" si="6"/>
        <v>4751.7</v>
      </c>
      <c r="L73" s="11">
        <f t="shared" ca="1" si="7"/>
        <v>520.42000000002736</v>
      </c>
    </row>
    <row r="74" spans="1:12" x14ac:dyDescent="0.25">
      <c r="A74" s="5">
        <v>59</v>
      </c>
      <c r="B74" s="18">
        <f t="shared" ca="1" si="8"/>
        <v>50.55</v>
      </c>
      <c r="C74" s="33">
        <f t="shared" ca="1" si="0"/>
        <v>0</v>
      </c>
      <c r="D74" s="5">
        <f t="shared" ca="1" si="9"/>
        <v>94</v>
      </c>
      <c r="E74" s="5">
        <f t="shared" ca="1" si="1"/>
        <v>0</v>
      </c>
      <c r="F74" s="5">
        <f t="shared" ca="1" si="2"/>
        <v>0</v>
      </c>
      <c r="G74" s="5">
        <f t="shared" ca="1" si="3"/>
        <v>94</v>
      </c>
      <c r="H74" s="11">
        <f t="shared" ca="1" si="10"/>
        <v>95768.72000000003</v>
      </c>
      <c r="I74" s="11">
        <f t="shared" ca="1" si="4"/>
        <v>0</v>
      </c>
      <c r="J74" s="11">
        <f t="shared" ca="1" si="5"/>
        <v>95768.72000000003</v>
      </c>
      <c r="K74" s="11">
        <f t="shared" ca="1" si="6"/>
        <v>4751.7</v>
      </c>
      <c r="L74" s="11">
        <f t="shared" ca="1" si="7"/>
        <v>520.42000000002736</v>
      </c>
    </row>
    <row r="75" spans="1:12" x14ac:dyDescent="0.25">
      <c r="A75" s="5">
        <v>60</v>
      </c>
      <c r="B75" s="18">
        <f t="shared" ca="1" si="8"/>
        <v>48.63</v>
      </c>
      <c r="C75" s="33">
        <f t="shared" ca="1" si="0"/>
        <v>-1.9199999999999946</v>
      </c>
      <c r="D75" s="5">
        <f t="shared" ca="1" si="9"/>
        <v>94</v>
      </c>
      <c r="E75" s="5">
        <f t="shared" ca="1" si="1"/>
        <v>0</v>
      </c>
      <c r="F75" s="5">
        <f t="shared" ca="1" si="2"/>
        <v>0</v>
      </c>
      <c r="G75" s="5">
        <f t="shared" ca="1" si="3"/>
        <v>94</v>
      </c>
      <c r="H75" s="11">
        <f t="shared" ca="1" si="10"/>
        <v>95768.72000000003</v>
      </c>
      <c r="I75" s="11">
        <f t="shared" ca="1" si="4"/>
        <v>0</v>
      </c>
      <c r="J75" s="11">
        <f t="shared" ca="1" si="5"/>
        <v>95768.72000000003</v>
      </c>
      <c r="K75" s="11">
        <f t="shared" ca="1" si="6"/>
        <v>4571.22</v>
      </c>
      <c r="L75" s="11">
        <f t="shared" ca="1" si="7"/>
        <v>339.94000000003143</v>
      </c>
    </row>
    <row r="76" spans="1:12" x14ac:dyDescent="0.25">
      <c r="A76" s="5">
        <v>61</v>
      </c>
      <c r="B76" s="18">
        <f t="shared" ca="1" si="8"/>
        <v>48.26</v>
      </c>
      <c r="C76" s="33">
        <f t="shared" ca="1" si="0"/>
        <v>-0.37000000000000455</v>
      </c>
      <c r="D76" s="5">
        <f t="shared" ca="1" si="9"/>
        <v>94</v>
      </c>
      <c r="E76" s="5">
        <f t="shared" ca="1" si="1"/>
        <v>0</v>
      </c>
      <c r="F76" s="5">
        <f t="shared" ca="1" si="2"/>
        <v>9</v>
      </c>
      <c r="G76" s="5">
        <f t="shared" ca="1" si="3"/>
        <v>103</v>
      </c>
      <c r="H76" s="11">
        <f t="shared" ca="1" si="10"/>
        <v>95768.72000000003</v>
      </c>
      <c r="I76" s="11">
        <f t="shared" ca="1" si="4"/>
        <v>-434.34</v>
      </c>
      <c r="J76" s="11">
        <f t="shared" ca="1" si="5"/>
        <v>95334.380000000034</v>
      </c>
      <c r="K76" s="11">
        <f t="shared" ca="1" si="6"/>
        <v>4970.78</v>
      </c>
      <c r="L76" s="11">
        <f t="shared" ca="1" si="7"/>
        <v>305.1600000000326</v>
      </c>
    </row>
    <row r="77" spans="1:12" x14ac:dyDescent="0.25">
      <c r="A77" s="5">
        <v>62</v>
      </c>
      <c r="B77" s="18">
        <f t="shared" ca="1" si="8"/>
        <v>48.61</v>
      </c>
      <c r="C77" s="33">
        <f t="shared" ca="1" si="0"/>
        <v>0.35000000000000142</v>
      </c>
      <c r="D77" s="5">
        <f t="shared" ca="1" si="9"/>
        <v>103</v>
      </c>
      <c r="E77" s="5">
        <f t="shared" ca="1" si="1"/>
        <v>0</v>
      </c>
      <c r="F77" s="5">
        <f t="shared" ca="1" si="2"/>
        <v>0</v>
      </c>
      <c r="G77" s="5">
        <f t="shared" ca="1" si="3"/>
        <v>103</v>
      </c>
      <c r="H77" s="11">
        <f t="shared" ca="1" si="10"/>
        <v>95334.380000000034</v>
      </c>
      <c r="I77" s="11">
        <f t="shared" ca="1" si="4"/>
        <v>0</v>
      </c>
      <c r="J77" s="11">
        <f t="shared" ca="1" si="5"/>
        <v>95334.380000000034</v>
      </c>
      <c r="K77" s="11">
        <f t="shared" ca="1" si="6"/>
        <v>5006.83</v>
      </c>
      <c r="L77" s="11">
        <f t="shared" ca="1" si="7"/>
        <v>341.21000000003551</v>
      </c>
    </row>
    <row r="78" spans="1:12" x14ac:dyDescent="0.25">
      <c r="A78" s="5">
        <v>63</v>
      </c>
      <c r="B78" s="18">
        <f t="shared" ca="1" si="8"/>
        <v>50</v>
      </c>
      <c r="C78" s="33">
        <f t="shared" ref="C78:C141" ca="1" si="11">B78-B77</f>
        <v>1.3900000000000006</v>
      </c>
      <c r="D78" s="5">
        <f t="shared" ca="1" si="9"/>
        <v>103</v>
      </c>
      <c r="E78" s="5">
        <f t="shared" ca="1" si="1"/>
        <v>10</v>
      </c>
      <c r="F78" s="5">
        <f t="shared" ca="1" si="2"/>
        <v>0</v>
      </c>
      <c r="G78" s="5">
        <f t="shared" ca="1" si="3"/>
        <v>93</v>
      </c>
      <c r="H78" s="11">
        <f t="shared" ca="1" si="10"/>
        <v>95334.380000000034</v>
      </c>
      <c r="I78" s="11">
        <f t="shared" ca="1" si="4"/>
        <v>500</v>
      </c>
      <c r="J78" s="11">
        <f t="shared" ca="1" si="5"/>
        <v>95834.380000000034</v>
      </c>
      <c r="K78" s="11">
        <f t="shared" ca="1" si="6"/>
        <v>4650</v>
      </c>
      <c r="L78" s="11">
        <f t="shared" ca="1" si="7"/>
        <v>484.38000000003376</v>
      </c>
    </row>
    <row r="79" spans="1:12" x14ac:dyDescent="0.25">
      <c r="A79" s="5">
        <v>64</v>
      </c>
      <c r="B79" s="18">
        <f t="shared" ca="1" si="8"/>
        <v>51.11</v>
      </c>
      <c r="C79" s="33">
        <f t="shared" ca="1" si="11"/>
        <v>1.1099999999999994</v>
      </c>
      <c r="D79" s="5">
        <f t="shared" ca="1" si="9"/>
        <v>93</v>
      </c>
      <c r="E79" s="5">
        <f t="shared" ca="1" si="1"/>
        <v>23</v>
      </c>
      <c r="F79" s="5">
        <f t="shared" ca="1" si="2"/>
        <v>0</v>
      </c>
      <c r="G79" s="5">
        <f t="shared" ca="1" si="3"/>
        <v>70</v>
      </c>
      <c r="H79" s="11">
        <f t="shared" ca="1" si="10"/>
        <v>95834.380000000034</v>
      </c>
      <c r="I79" s="11">
        <f t="shared" ca="1" si="4"/>
        <v>1175.53</v>
      </c>
      <c r="J79" s="11">
        <f t="shared" ca="1" si="5"/>
        <v>97009.910000000033</v>
      </c>
      <c r="K79" s="11">
        <f t="shared" ca="1" si="6"/>
        <v>3577.7</v>
      </c>
      <c r="L79" s="11">
        <f t="shared" ca="1" si="7"/>
        <v>587.61000000002969</v>
      </c>
    </row>
    <row r="80" spans="1:12" x14ac:dyDescent="0.25">
      <c r="A80" s="5">
        <v>65</v>
      </c>
      <c r="B80" s="18">
        <f t="shared" ca="1" si="8"/>
        <v>50.26</v>
      </c>
      <c r="C80" s="33">
        <f t="shared" ca="1" si="11"/>
        <v>-0.85000000000000142</v>
      </c>
      <c r="D80" s="5">
        <f t="shared" ca="1" si="9"/>
        <v>70</v>
      </c>
      <c r="E80" s="5">
        <f t="shared" ref="E80:E143" ca="1" si="12">IF(AND(C78&gt;0,C79&gt;0,C80&gt;0),ROUND(SellPct3*D80,0),IF(AND(C79&gt;0,C80&gt;0),ROUND(SellPct2*D80,0),0))</f>
        <v>0</v>
      </c>
      <c r="F80" s="5">
        <f t="shared" ref="F80:F143" ca="1" si="13">IF(AND(C78&lt;0,C79&lt;0,C80&lt;0),MIN(ROUND(BuyPct3*D80,0),INT(H80/B80)),IF(AND(C79&lt;0,C80&lt;0),MIN(ROUND(BuyPct2*D80,0),INT(H80/B80)),0))</f>
        <v>0</v>
      </c>
      <c r="G80" s="5">
        <f t="shared" ref="G80:G143" ca="1" si="14">D80-E80+F80</f>
        <v>70</v>
      </c>
      <c r="H80" s="11">
        <f t="shared" ca="1" si="10"/>
        <v>97009.910000000033</v>
      </c>
      <c r="I80" s="11">
        <f t="shared" ref="I80:I143" ca="1" si="15">(E80-F80)*B80</f>
        <v>0</v>
      </c>
      <c r="J80" s="11">
        <f t="shared" ref="J80:J143" ca="1" si="16">H80+I80</f>
        <v>97009.910000000033</v>
      </c>
      <c r="K80" s="11">
        <f t="shared" ref="K80:K143" ca="1" si="17">G80*B80</f>
        <v>3518.2</v>
      </c>
      <c r="L80" s="11">
        <f t="shared" ref="L80:L143" ca="1" si="18">(J80+K80)-(InitCash+InitShares*InitPrice)</f>
        <v>528.11000000002969</v>
      </c>
    </row>
    <row r="81" spans="1:12" x14ac:dyDescent="0.25">
      <c r="A81" s="5">
        <v>66</v>
      </c>
      <c r="B81" s="18">
        <f t="shared" ref="B81:B144" ca="1" si="19">ROUND(B80*EXP((GrMean-0.5*GrStdev^2)+GrStdev*NORMINV(RAND(),0,1)),2)</f>
        <v>52.13</v>
      </c>
      <c r="C81" s="33">
        <f t="shared" ca="1" si="11"/>
        <v>1.8700000000000045</v>
      </c>
      <c r="D81" s="5">
        <f t="shared" ref="D81:D144" ca="1" si="20">G80</f>
        <v>70</v>
      </c>
      <c r="E81" s="5">
        <f t="shared" ca="1" si="12"/>
        <v>0</v>
      </c>
      <c r="F81" s="5">
        <f t="shared" ca="1" si="13"/>
        <v>0</v>
      </c>
      <c r="G81" s="5">
        <f t="shared" ca="1" si="14"/>
        <v>70</v>
      </c>
      <c r="H81" s="11">
        <f t="shared" ref="H81:H144" ca="1" si="21">J80</f>
        <v>97009.910000000033</v>
      </c>
      <c r="I81" s="11">
        <f t="shared" ca="1" si="15"/>
        <v>0</v>
      </c>
      <c r="J81" s="11">
        <f t="shared" ca="1" si="16"/>
        <v>97009.910000000033</v>
      </c>
      <c r="K81" s="11">
        <f t="shared" ca="1" si="17"/>
        <v>3649.1000000000004</v>
      </c>
      <c r="L81" s="11">
        <f t="shared" ca="1" si="18"/>
        <v>659.01000000003842</v>
      </c>
    </row>
    <row r="82" spans="1:12" x14ac:dyDescent="0.25">
      <c r="A82" s="5">
        <v>67</v>
      </c>
      <c r="B82" s="18">
        <f t="shared" ca="1" si="19"/>
        <v>54.36</v>
      </c>
      <c r="C82" s="33">
        <f t="shared" ca="1" si="11"/>
        <v>2.2299999999999969</v>
      </c>
      <c r="D82" s="5">
        <f t="shared" ca="1" si="20"/>
        <v>70</v>
      </c>
      <c r="E82" s="5">
        <f t="shared" ca="1" si="12"/>
        <v>7</v>
      </c>
      <c r="F82" s="5">
        <f t="shared" ca="1" si="13"/>
        <v>0</v>
      </c>
      <c r="G82" s="5">
        <f t="shared" ca="1" si="14"/>
        <v>63</v>
      </c>
      <c r="H82" s="11">
        <f t="shared" ca="1" si="21"/>
        <v>97009.910000000033</v>
      </c>
      <c r="I82" s="11">
        <f t="shared" ca="1" si="15"/>
        <v>380.52</v>
      </c>
      <c r="J82" s="11">
        <f t="shared" ca="1" si="16"/>
        <v>97390.430000000037</v>
      </c>
      <c r="K82" s="11">
        <f t="shared" ca="1" si="17"/>
        <v>3424.68</v>
      </c>
      <c r="L82" s="11">
        <f t="shared" ca="1" si="18"/>
        <v>815.11000000002969</v>
      </c>
    </row>
    <row r="83" spans="1:12" x14ac:dyDescent="0.25">
      <c r="A83" s="5">
        <v>68</v>
      </c>
      <c r="B83" s="18">
        <f t="shared" ca="1" si="19"/>
        <v>52.19</v>
      </c>
      <c r="C83" s="33">
        <f t="shared" ca="1" si="11"/>
        <v>-2.1700000000000017</v>
      </c>
      <c r="D83" s="5">
        <f t="shared" ca="1" si="20"/>
        <v>63</v>
      </c>
      <c r="E83" s="5">
        <f t="shared" ca="1" si="12"/>
        <v>0</v>
      </c>
      <c r="F83" s="5">
        <f t="shared" ca="1" si="13"/>
        <v>0</v>
      </c>
      <c r="G83" s="5">
        <f t="shared" ca="1" si="14"/>
        <v>63</v>
      </c>
      <c r="H83" s="11">
        <f t="shared" ca="1" si="21"/>
        <v>97390.430000000037</v>
      </c>
      <c r="I83" s="11">
        <f t="shared" ca="1" si="15"/>
        <v>0</v>
      </c>
      <c r="J83" s="11">
        <f t="shared" ca="1" si="16"/>
        <v>97390.430000000037</v>
      </c>
      <c r="K83" s="11">
        <f t="shared" ca="1" si="17"/>
        <v>3287.97</v>
      </c>
      <c r="L83" s="11">
        <f t="shared" ca="1" si="18"/>
        <v>678.40000000003783</v>
      </c>
    </row>
    <row r="84" spans="1:12" x14ac:dyDescent="0.25">
      <c r="A84" s="5">
        <v>69</v>
      </c>
      <c r="B84" s="18">
        <f t="shared" ca="1" si="19"/>
        <v>51.93</v>
      </c>
      <c r="C84" s="33">
        <f t="shared" ca="1" si="11"/>
        <v>-0.25999999999999801</v>
      </c>
      <c r="D84" s="5">
        <f t="shared" ca="1" si="20"/>
        <v>63</v>
      </c>
      <c r="E84" s="5">
        <f t="shared" ca="1" si="12"/>
        <v>0</v>
      </c>
      <c r="F84" s="5">
        <f t="shared" ca="1" si="13"/>
        <v>6</v>
      </c>
      <c r="G84" s="5">
        <f t="shared" ca="1" si="14"/>
        <v>69</v>
      </c>
      <c r="H84" s="11">
        <f t="shared" ca="1" si="21"/>
        <v>97390.430000000037</v>
      </c>
      <c r="I84" s="11">
        <f t="shared" ca="1" si="15"/>
        <v>-311.58</v>
      </c>
      <c r="J84" s="11">
        <f t="shared" ca="1" si="16"/>
        <v>97078.850000000035</v>
      </c>
      <c r="K84" s="11">
        <f t="shared" ca="1" si="17"/>
        <v>3583.17</v>
      </c>
      <c r="L84" s="11">
        <f t="shared" ca="1" si="18"/>
        <v>662.02000000003318</v>
      </c>
    </row>
    <row r="85" spans="1:12" x14ac:dyDescent="0.25">
      <c r="A85" s="5">
        <v>70</v>
      </c>
      <c r="B85" s="18">
        <f t="shared" ca="1" si="19"/>
        <v>52.28</v>
      </c>
      <c r="C85" s="33">
        <f t="shared" ca="1" si="11"/>
        <v>0.35000000000000142</v>
      </c>
      <c r="D85" s="5">
        <f t="shared" ca="1" si="20"/>
        <v>69</v>
      </c>
      <c r="E85" s="5">
        <f t="shared" ca="1" si="12"/>
        <v>0</v>
      </c>
      <c r="F85" s="5">
        <f t="shared" ca="1" si="13"/>
        <v>0</v>
      </c>
      <c r="G85" s="5">
        <f t="shared" ca="1" si="14"/>
        <v>69</v>
      </c>
      <c r="H85" s="11">
        <f t="shared" ca="1" si="21"/>
        <v>97078.850000000035</v>
      </c>
      <c r="I85" s="11">
        <f t="shared" ca="1" si="15"/>
        <v>0</v>
      </c>
      <c r="J85" s="11">
        <f t="shared" ca="1" si="16"/>
        <v>97078.850000000035</v>
      </c>
      <c r="K85" s="11">
        <f t="shared" ca="1" si="17"/>
        <v>3607.32</v>
      </c>
      <c r="L85" s="11">
        <f t="shared" ca="1" si="18"/>
        <v>686.17000000004191</v>
      </c>
    </row>
    <row r="86" spans="1:12" x14ac:dyDescent="0.25">
      <c r="A86" s="5">
        <v>71</v>
      </c>
      <c r="B86" s="18">
        <f t="shared" ca="1" si="19"/>
        <v>53.6</v>
      </c>
      <c r="C86" s="33">
        <f t="shared" ca="1" si="11"/>
        <v>1.3200000000000003</v>
      </c>
      <c r="D86" s="5">
        <f t="shared" ca="1" si="20"/>
        <v>69</v>
      </c>
      <c r="E86" s="5">
        <f t="shared" ca="1" si="12"/>
        <v>7</v>
      </c>
      <c r="F86" s="5">
        <f t="shared" ca="1" si="13"/>
        <v>0</v>
      </c>
      <c r="G86" s="5">
        <f t="shared" ca="1" si="14"/>
        <v>62</v>
      </c>
      <c r="H86" s="11">
        <f t="shared" ca="1" si="21"/>
        <v>97078.850000000035</v>
      </c>
      <c r="I86" s="11">
        <f t="shared" ca="1" si="15"/>
        <v>375.2</v>
      </c>
      <c r="J86" s="11">
        <f t="shared" ca="1" si="16"/>
        <v>97454.050000000032</v>
      </c>
      <c r="K86" s="11">
        <f t="shared" ca="1" si="17"/>
        <v>3323.2000000000003</v>
      </c>
      <c r="L86" s="11">
        <f t="shared" ca="1" si="18"/>
        <v>777.2500000000291</v>
      </c>
    </row>
    <row r="87" spans="1:12" x14ac:dyDescent="0.25">
      <c r="A87" s="5">
        <v>72</v>
      </c>
      <c r="B87" s="18">
        <f t="shared" ca="1" si="19"/>
        <v>54.36</v>
      </c>
      <c r="C87" s="33">
        <f t="shared" ca="1" si="11"/>
        <v>0.75999999999999801</v>
      </c>
      <c r="D87" s="5">
        <f t="shared" ca="1" si="20"/>
        <v>62</v>
      </c>
      <c r="E87" s="5">
        <f t="shared" ca="1" si="12"/>
        <v>16</v>
      </c>
      <c r="F87" s="5">
        <f t="shared" ca="1" si="13"/>
        <v>0</v>
      </c>
      <c r="G87" s="5">
        <f t="shared" ca="1" si="14"/>
        <v>46</v>
      </c>
      <c r="H87" s="11">
        <f t="shared" ca="1" si="21"/>
        <v>97454.050000000032</v>
      </c>
      <c r="I87" s="11">
        <f t="shared" ca="1" si="15"/>
        <v>869.76</v>
      </c>
      <c r="J87" s="11">
        <f t="shared" ca="1" si="16"/>
        <v>98323.810000000027</v>
      </c>
      <c r="K87" s="11">
        <f t="shared" ca="1" si="17"/>
        <v>2500.56</v>
      </c>
      <c r="L87" s="11">
        <f t="shared" ca="1" si="18"/>
        <v>824.37000000002445</v>
      </c>
    </row>
    <row r="88" spans="1:12" x14ac:dyDescent="0.25">
      <c r="A88" s="5">
        <v>73</v>
      </c>
      <c r="B88" s="18">
        <f t="shared" ca="1" si="19"/>
        <v>53.65</v>
      </c>
      <c r="C88" s="33">
        <f t="shared" ca="1" si="11"/>
        <v>-0.71000000000000085</v>
      </c>
      <c r="D88" s="5">
        <f t="shared" ca="1" si="20"/>
        <v>46</v>
      </c>
      <c r="E88" s="5">
        <f t="shared" ca="1" si="12"/>
        <v>0</v>
      </c>
      <c r="F88" s="5">
        <f t="shared" ca="1" si="13"/>
        <v>0</v>
      </c>
      <c r="G88" s="5">
        <f t="shared" ca="1" si="14"/>
        <v>46</v>
      </c>
      <c r="H88" s="11">
        <f t="shared" ca="1" si="21"/>
        <v>98323.810000000027</v>
      </c>
      <c r="I88" s="11">
        <f t="shared" ca="1" si="15"/>
        <v>0</v>
      </c>
      <c r="J88" s="11">
        <f t="shared" ca="1" si="16"/>
        <v>98323.810000000027</v>
      </c>
      <c r="K88" s="11">
        <f t="shared" ca="1" si="17"/>
        <v>2467.9</v>
      </c>
      <c r="L88" s="11">
        <f t="shared" ca="1" si="18"/>
        <v>791.71000000002095</v>
      </c>
    </row>
    <row r="89" spans="1:12" x14ac:dyDescent="0.25">
      <c r="A89" s="5">
        <v>74</v>
      </c>
      <c r="B89" s="18">
        <f t="shared" ca="1" si="19"/>
        <v>52.64</v>
      </c>
      <c r="C89" s="33">
        <f t="shared" ca="1" si="11"/>
        <v>-1.009999999999998</v>
      </c>
      <c r="D89" s="5">
        <f t="shared" ca="1" si="20"/>
        <v>46</v>
      </c>
      <c r="E89" s="5">
        <f t="shared" ca="1" si="12"/>
        <v>0</v>
      </c>
      <c r="F89" s="5">
        <f t="shared" ca="1" si="13"/>
        <v>5</v>
      </c>
      <c r="G89" s="5">
        <f t="shared" ca="1" si="14"/>
        <v>51</v>
      </c>
      <c r="H89" s="11">
        <f t="shared" ca="1" si="21"/>
        <v>98323.810000000027</v>
      </c>
      <c r="I89" s="11">
        <f t="shared" ca="1" si="15"/>
        <v>-263.2</v>
      </c>
      <c r="J89" s="11">
        <f t="shared" ca="1" si="16"/>
        <v>98060.61000000003</v>
      </c>
      <c r="K89" s="11">
        <f t="shared" ca="1" si="17"/>
        <v>2684.64</v>
      </c>
      <c r="L89" s="11">
        <f t="shared" ca="1" si="18"/>
        <v>745.2500000000291</v>
      </c>
    </row>
    <row r="90" spans="1:12" x14ac:dyDescent="0.25">
      <c r="A90" s="5">
        <v>75</v>
      </c>
      <c r="B90" s="18">
        <f t="shared" ca="1" si="19"/>
        <v>53.39</v>
      </c>
      <c r="C90" s="33">
        <f t="shared" ca="1" si="11"/>
        <v>0.75</v>
      </c>
      <c r="D90" s="5">
        <f t="shared" ca="1" si="20"/>
        <v>51</v>
      </c>
      <c r="E90" s="5">
        <f t="shared" ca="1" si="12"/>
        <v>0</v>
      </c>
      <c r="F90" s="5">
        <f t="shared" ca="1" si="13"/>
        <v>0</v>
      </c>
      <c r="G90" s="5">
        <f t="shared" ca="1" si="14"/>
        <v>51</v>
      </c>
      <c r="H90" s="11">
        <f t="shared" ca="1" si="21"/>
        <v>98060.61000000003</v>
      </c>
      <c r="I90" s="11">
        <f t="shared" ca="1" si="15"/>
        <v>0</v>
      </c>
      <c r="J90" s="11">
        <f t="shared" ca="1" si="16"/>
        <v>98060.61000000003</v>
      </c>
      <c r="K90" s="11">
        <f t="shared" ca="1" si="17"/>
        <v>2722.89</v>
      </c>
      <c r="L90" s="11">
        <f t="shared" ca="1" si="18"/>
        <v>783.5000000000291</v>
      </c>
    </row>
    <row r="91" spans="1:12" x14ac:dyDescent="0.25">
      <c r="A91" s="5">
        <v>76</v>
      </c>
      <c r="B91" s="18">
        <f t="shared" ca="1" si="19"/>
        <v>52.51</v>
      </c>
      <c r="C91" s="33">
        <f t="shared" ca="1" si="11"/>
        <v>-0.88000000000000256</v>
      </c>
      <c r="D91" s="5">
        <f t="shared" ca="1" si="20"/>
        <v>51</v>
      </c>
      <c r="E91" s="5">
        <f t="shared" ca="1" si="12"/>
        <v>0</v>
      </c>
      <c r="F91" s="5">
        <f t="shared" ca="1" si="13"/>
        <v>0</v>
      </c>
      <c r="G91" s="5">
        <f t="shared" ca="1" si="14"/>
        <v>51</v>
      </c>
      <c r="H91" s="11">
        <f t="shared" ca="1" si="21"/>
        <v>98060.61000000003</v>
      </c>
      <c r="I91" s="11">
        <f t="shared" ca="1" si="15"/>
        <v>0</v>
      </c>
      <c r="J91" s="11">
        <f t="shared" ca="1" si="16"/>
        <v>98060.61000000003</v>
      </c>
      <c r="K91" s="11">
        <f t="shared" ca="1" si="17"/>
        <v>2678.0099999999998</v>
      </c>
      <c r="L91" s="11">
        <f t="shared" ca="1" si="18"/>
        <v>738.62000000002445</v>
      </c>
    </row>
    <row r="92" spans="1:12" x14ac:dyDescent="0.25">
      <c r="A92" s="5">
        <v>77</v>
      </c>
      <c r="B92" s="18">
        <f t="shared" ca="1" si="19"/>
        <v>52.79</v>
      </c>
      <c r="C92" s="33">
        <f t="shared" ca="1" si="11"/>
        <v>0.28000000000000114</v>
      </c>
      <c r="D92" s="5">
        <f t="shared" ca="1" si="20"/>
        <v>51</v>
      </c>
      <c r="E92" s="5">
        <f t="shared" ca="1" si="12"/>
        <v>0</v>
      </c>
      <c r="F92" s="5">
        <f t="shared" ca="1" si="13"/>
        <v>0</v>
      </c>
      <c r="G92" s="5">
        <f t="shared" ca="1" si="14"/>
        <v>51</v>
      </c>
      <c r="H92" s="11">
        <f t="shared" ca="1" si="21"/>
        <v>98060.61000000003</v>
      </c>
      <c r="I92" s="11">
        <f t="shared" ca="1" si="15"/>
        <v>0</v>
      </c>
      <c r="J92" s="11">
        <f t="shared" ca="1" si="16"/>
        <v>98060.61000000003</v>
      </c>
      <c r="K92" s="11">
        <f t="shared" ca="1" si="17"/>
        <v>2692.29</v>
      </c>
      <c r="L92" s="11">
        <f t="shared" ca="1" si="18"/>
        <v>752.90000000002328</v>
      </c>
    </row>
    <row r="93" spans="1:12" s="17" customFormat="1" x14ac:dyDescent="0.25">
      <c r="A93" s="5">
        <v>78</v>
      </c>
      <c r="B93" s="18">
        <f t="shared" ca="1" si="19"/>
        <v>52.44</v>
      </c>
      <c r="C93" s="33">
        <f t="shared" ca="1" si="11"/>
        <v>-0.35000000000000142</v>
      </c>
      <c r="D93" s="5">
        <f t="shared" ca="1" si="20"/>
        <v>51</v>
      </c>
      <c r="E93" s="5">
        <f t="shared" ca="1" si="12"/>
        <v>0</v>
      </c>
      <c r="F93" s="5">
        <f t="shared" ca="1" si="13"/>
        <v>0</v>
      </c>
      <c r="G93" s="5">
        <f t="shared" ca="1" si="14"/>
        <v>51</v>
      </c>
      <c r="H93" s="11">
        <f t="shared" ca="1" si="21"/>
        <v>98060.61000000003</v>
      </c>
      <c r="I93" s="11">
        <f t="shared" ca="1" si="15"/>
        <v>0</v>
      </c>
      <c r="J93" s="11">
        <f t="shared" ca="1" si="16"/>
        <v>98060.61000000003</v>
      </c>
      <c r="K93" s="11">
        <f t="shared" ca="1" si="17"/>
        <v>2674.44</v>
      </c>
      <c r="L93" s="11">
        <f t="shared" ca="1" si="18"/>
        <v>735.05000000003201</v>
      </c>
    </row>
    <row r="94" spans="1:12" x14ac:dyDescent="0.25">
      <c r="A94" s="5">
        <v>79</v>
      </c>
      <c r="B94" s="18">
        <f t="shared" ca="1" si="19"/>
        <v>54.77</v>
      </c>
      <c r="C94" s="33">
        <f t="shared" ca="1" si="11"/>
        <v>2.3300000000000054</v>
      </c>
      <c r="D94" s="5">
        <f t="shared" ca="1" si="20"/>
        <v>51</v>
      </c>
      <c r="E94" s="5">
        <f t="shared" ca="1" si="12"/>
        <v>0</v>
      </c>
      <c r="F94" s="5">
        <f t="shared" ca="1" si="13"/>
        <v>0</v>
      </c>
      <c r="G94" s="5">
        <f t="shared" ca="1" si="14"/>
        <v>51</v>
      </c>
      <c r="H94" s="11">
        <f t="shared" ca="1" si="21"/>
        <v>98060.61000000003</v>
      </c>
      <c r="I94" s="11">
        <f t="shared" ca="1" si="15"/>
        <v>0</v>
      </c>
      <c r="J94" s="11">
        <f t="shared" ca="1" si="16"/>
        <v>98060.61000000003</v>
      </c>
      <c r="K94" s="11">
        <f t="shared" ca="1" si="17"/>
        <v>2793.27</v>
      </c>
      <c r="L94" s="11">
        <f t="shared" ca="1" si="18"/>
        <v>853.88000000003376</v>
      </c>
    </row>
    <row r="95" spans="1:12" x14ac:dyDescent="0.25">
      <c r="A95" s="5">
        <v>80</v>
      </c>
      <c r="B95" s="18">
        <f t="shared" ca="1" si="19"/>
        <v>55.06</v>
      </c>
      <c r="C95" s="33">
        <f t="shared" ca="1" si="11"/>
        <v>0.28999999999999915</v>
      </c>
      <c r="D95" s="5">
        <f t="shared" ca="1" si="20"/>
        <v>51</v>
      </c>
      <c r="E95" s="5">
        <f t="shared" ca="1" si="12"/>
        <v>5</v>
      </c>
      <c r="F95" s="5">
        <f t="shared" ca="1" si="13"/>
        <v>0</v>
      </c>
      <c r="G95" s="5">
        <f t="shared" ca="1" si="14"/>
        <v>46</v>
      </c>
      <c r="H95" s="11">
        <f t="shared" ca="1" si="21"/>
        <v>98060.61000000003</v>
      </c>
      <c r="I95" s="11">
        <f t="shared" ca="1" si="15"/>
        <v>275.3</v>
      </c>
      <c r="J95" s="11">
        <f t="shared" ca="1" si="16"/>
        <v>98335.910000000033</v>
      </c>
      <c r="K95" s="11">
        <f t="shared" ca="1" si="17"/>
        <v>2532.7600000000002</v>
      </c>
      <c r="L95" s="11">
        <f t="shared" ca="1" si="18"/>
        <v>868.67000000002736</v>
      </c>
    </row>
    <row r="96" spans="1:12" x14ac:dyDescent="0.25">
      <c r="A96" s="5">
        <v>81</v>
      </c>
      <c r="B96" s="18">
        <f t="shared" ca="1" si="19"/>
        <v>55.28</v>
      </c>
      <c r="C96" s="33">
        <f t="shared" ca="1" si="11"/>
        <v>0.21999999999999886</v>
      </c>
      <c r="D96" s="5">
        <f t="shared" ca="1" si="20"/>
        <v>46</v>
      </c>
      <c r="E96" s="5">
        <f t="shared" ca="1" si="12"/>
        <v>12</v>
      </c>
      <c r="F96" s="5">
        <f t="shared" ca="1" si="13"/>
        <v>0</v>
      </c>
      <c r="G96" s="5">
        <f t="shared" ca="1" si="14"/>
        <v>34</v>
      </c>
      <c r="H96" s="11">
        <f t="shared" ca="1" si="21"/>
        <v>98335.910000000033</v>
      </c>
      <c r="I96" s="11">
        <f t="shared" ca="1" si="15"/>
        <v>663.36</v>
      </c>
      <c r="J96" s="11">
        <f t="shared" ca="1" si="16"/>
        <v>98999.270000000033</v>
      </c>
      <c r="K96" s="11">
        <f t="shared" ca="1" si="17"/>
        <v>1879.52</v>
      </c>
      <c r="L96" s="11">
        <f t="shared" ca="1" si="18"/>
        <v>878.79000000003725</v>
      </c>
    </row>
    <row r="97" spans="1:12" x14ac:dyDescent="0.25">
      <c r="A97" s="5">
        <v>82</v>
      </c>
      <c r="B97" s="18">
        <f t="shared" ca="1" si="19"/>
        <v>57.37</v>
      </c>
      <c r="C97" s="33">
        <f t="shared" ca="1" si="11"/>
        <v>2.0899999999999963</v>
      </c>
      <c r="D97" s="5">
        <f t="shared" ca="1" si="20"/>
        <v>34</v>
      </c>
      <c r="E97" s="5">
        <f t="shared" ca="1" si="12"/>
        <v>9</v>
      </c>
      <c r="F97" s="5">
        <f t="shared" ca="1" si="13"/>
        <v>0</v>
      </c>
      <c r="G97" s="5">
        <f t="shared" ca="1" si="14"/>
        <v>25</v>
      </c>
      <c r="H97" s="11">
        <f t="shared" ca="1" si="21"/>
        <v>98999.270000000033</v>
      </c>
      <c r="I97" s="11">
        <f t="shared" ca="1" si="15"/>
        <v>516.32999999999993</v>
      </c>
      <c r="J97" s="11">
        <f t="shared" ca="1" si="16"/>
        <v>99515.600000000035</v>
      </c>
      <c r="K97" s="11">
        <f t="shared" ca="1" si="17"/>
        <v>1434.25</v>
      </c>
      <c r="L97" s="11">
        <f t="shared" ca="1" si="18"/>
        <v>949.85000000003492</v>
      </c>
    </row>
    <row r="98" spans="1:12" x14ac:dyDescent="0.25">
      <c r="A98" s="5">
        <v>83</v>
      </c>
      <c r="B98" s="18">
        <f t="shared" ca="1" si="19"/>
        <v>59.13</v>
      </c>
      <c r="C98" s="33">
        <f t="shared" ca="1" si="11"/>
        <v>1.7600000000000051</v>
      </c>
      <c r="D98" s="5">
        <f t="shared" ca="1" si="20"/>
        <v>25</v>
      </c>
      <c r="E98" s="5">
        <f t="shared" ca="1" si="12"/>
        <v>6</v>
      </c>
      <c r="F98" s="5">
        <f t="shared" ca="1" si="13"/>
        <v>0</v>
      </c>
      <c r="G98" s="5">
        <f t="shared" ca="1" si="14"/>
        <v>19</v>
      </c>
      <c r="H98" s="11">
        <f t="shared" ca="1" si="21"/>
        <v>99515.600000000035</v>
      </c>
      <c r="I98" s="11">
        <f t="shared" ca="1" si="15"/>
        <v>354.78000000000003</v>
      </c>
      <c r="J98" s="11">
        <f t="shared" ca="1" si="16"/>
        <v>99870.380000000034</v>
      </c>
      <c r="K98" s="11">
        <f t="shared" ca="1" si="17"/>
        <v>1123.47</v>
      </c>
      <c r="L98" s="11">
        <f t="shared" ca="1" si="18"/>
        <v>993.85000000003492</v>
      </c>
    </row>
    <row r="99" spans="1:12" x14ac:dyDescent="0.25">
      <c r="A99" s="5">
        <v>84</v>
      </c>
      <c r="B99" s="18">
        <f t="shared" ca="1" si="19"/>
        <v>59.72</v>
      </c>
      <c r="C99" s="33">
        <f t="shared" ca="1" si="11"/>
        <v>0.58999999999999631</v>
      </c>
      <c r="D99" s="5">
        <f t="shared" ca="1" si="20"/>
        <v>19</v>
      </c>
      <c r="E99" s="5">
        <f t="shared" ca="1" si="12"/>
        <v>5</v>
      </c>
      <c r="F99" s="5">
        <f t="shared" ca="1" si="13"/>
        <v>0</v>
      </c>
      <c r="G99" s="5">
        <f t="shared" ca="1" si="14"/>
        <v>14</v>
      </c>
      <c r="H99" s="11">
        <f t="shared" ca="1" si="21"/>
        <v>99870.380000000034</v>
      </c>
      <c r="I99" s="11">
        <f t="shared" ca="1" si="15"/>
        <v>298.60000000000002</v>
      </c>
      <c r="J99" s="11">
        <f t="shared" ca="1" si="16"/>
        <v>100168.98000000004</v>
      </c>
      <c r="K99" s="11">
        <f t="shared" ca="1" si="17"/>
        <v>836.07999999999993</v>
      </c>
      <c r="L99" s="11">
        <f t="shared" ca="1" si="18"/>
        <v>1005.0600000000413</v>
      </c>
    </row>
    <row r="100" spans="1:12" x14ac:dyDescent="0.25">
      <c r="A100" s="5">
        <v>85</v>
      </c>
      <c r="B100" s="18">
        <f t="shared" ca="1" si="19"/>
        <v>60.51</v>
      </c>
      <c r="C100" s="33">
        <f t="shared" ca="1" si="11"/>
        <v>0.78999999999999915</v>
      </c>
      <c r="D100" s="5">
        <f t="shared" ca="1" si="20"/>
        <v>14</v>
      </c>
      <c r="E100" s="5">
        <f t="shared" ca="1" si="12"/>
        <v>4</v>
      </c>
      <c r="F100" s="5">
        <f t="shared" ca="1" si="13"/>
        <v>0</v>
      </c>
      <c r="G100" s="5">
        <f t="shared" ca="1" si="14"/>
        <v>10</v>
      </c>
      <c r="H100" s="11">
        <f t="shared" ca="1" si="21"/>
        <v>100168.98000000004</v>
      </c>
      <c r="I100" s="11">
        <f t="shared" ca="1" si="15"/>
        <v>242.04</v>
      </c>
      <c r="J100" s="11">
        <f t="shared" ca="1" si="16"/>
        <v>100411.02000000003</v>
      </c>
      <c r="K100" s="11">
        <f t="shared" ca="1" si="17"/>
        <v>605.1</v>
      </c>
      <c r="L100" s="11">
        <f t="shared" ca="1" si="18"/>
        <v>1016.120000000039</v>
      </c>
    </row>
    <row r="101" spans="1:12" x14ac:dyDescent="0.25">
      <c r="A101" s="5">
        <v>86</v>
      </c>
      <c r="B101" s="18">
        <f t="shared" ca="1" si="19"/>
        <v>58.12</v>
      </c>
      <c r="C101" s="33">
        <f t="shared" ca="1" si="11"/>
        <v>-2.3900000000000006</v>
      </c>
      <c r="D101" s="5">
        <f t="shared" ca="1" si="20"/>
        <v>10</v>
      </c>
      <c r="E101" s="5">
        <f t="shared" ca="1" si="12"/>
        <v>0</v>
      </c>
      <c r="F101" s="5">
        <f t="shared" ca="1" si="13"/>
        <v>0</v>
      </c>
      <c r="G101" s="5">
        <f t="shared" ca="1" si="14"/>
        <v>10</v>
      </c>
      <c r="H101" s="11">
        <f t="shared" ca="1" si="21"/>
        <v>100411.02000000003</v>
      </c>
      <c r="I101" s="11">
        <f t="shared" ca="1" si="15"/>
        <v>0</v>
      </c>
      <c r="J101" s="11">
        <f t="shared" ca="1" si="16"/>
        <v>100411.02000000003</v>
      </c>
      <c r="K101" s="11">
        <f t="shared" ca="1" si="17"/>
        <v>581.19999999999993</v>
      </c>
      <c r="L101" s="11">
        <f t="shared" ca="1" si="18"/>
        <v>992.22000000003027</v>
      </c>
    </row>
    <row r="102" spans="1:12" x14ac:dyDescent="0.25">
      <c r="A102" s="5">
        <v>87</v>
      </c>
      <c r="B102" s="18">
        <f t="shared" ca="1" si="19"/>
        <v>58.44</v>
      </c>
      <c r="C102" s="33">
        <f t="shared" ca="1" si="11"/>
        <v>0.32000000000000028</v>
      </c>
      <c r="D102" s="5">
        <f t="shared" ca="1" si="20"/>
        <v>10</v>
      </c>
      <c r="E102" s="5">
        <f t="shared" ca="1" si="12"/>
        <v>0</v>
      </c>
      <c r="F102" s="5">
        <f t="shared" ca="1" si="13"/>
        <v>0</v>
      </c>
      <c r="G102" s="5">
        <f t="shared" ca="1" si="14"/>
        <v>10</v>
      </c>
      <c r="H102" s="11">
        <f t="shared" ca="1" si="21"/>
        <v>100411.02000000003</v>
      </c>
      <c r="I102" s="11">
        <f t="shared" ca="1" si="15"/>
        <v>0</v>
      </c>
      <c r="J102" s="11">
        <f t="shared" ca="1" si="16"/>
        <v>100411.02000000003</v>
      </c>
      <c r="K102" s="11">
        <f t="shared" ca="1" si="17"/>
        <v>584.4</v>
      </c>
      <c r="L102" s="11">
        <f t="shared" ca="1" si="18"/>
        <v>995.42000000002736</v>
      </c>
    </row>
    <row r="103" spans="1:12" x14ac:dyDescent="0.25">
      <c r="A103" s="5">
        <v>88</v>
      </c>
      <c r="B103" s="18">
        <f t="shared" ca="1" si="19"/>
        <v>58.51</v>
      </c>
      <c r="C103" s="33">
        <f t="shared" ca="1" si="11"/>
        <v>7.0000000000000284E-2</v>
      </c>
      <c r="D103" s="5">
        <f t="shared" ca="1" si="20"/>
        <v>10</v>
      </c>
      <c r="E103" s="5">
        <f t="shared" ca="1" si="12"/>
        <v>1</v>
      </c>
      <c r="F103" s="5">
        <f t="shared" ca="1" si="13"/>
        <v>0</v>
      </c>
      <c r="G103" s="5">
        <f t="shared" ca="1" si="14"/>
        <v>9</v>
      </c>
      <c r="H103" s="11">
        <f t="shared" ca="1" si="21"/>
        <v>100411.02000000003</v>
      </c>
      <c r="I103" s="11">
        <f t="shared" ca="1" si="15"/>
        <v>58.51</v>
      </c>
      <c r="J103" s="11">
        <f t="shared" ca="1" si="16"/>
        <v>100469.53000000003</v>
      </c>
      <c r="K103" s="11">
        <f t="shared" ca="1" si="17"/>
        <v>526.59</v>
      </c>
      <c r="L103" s="11">
        <f t="shared" ca="1" si="18"/>
        <v>996.12000000002445</v>
      </c>
    </row>
    <row r="104" spans="1:12" x14ac:dyDescent="0.25">
      <c r="A104" s="5">
        <v>89</v>
      </c>
      <c r="B104" s="18">
        <f t="shared" ca="1" si="19"/>
        <v>57.92</v>
      </c>
      <c r="C104" s="33">
        <f t="shared" ca="1" si="11"/>
        <v>-0.58999999999999631</v>
      </c>
      <c r="D104" s="5">
        <f t="shared" ca="1" si="20"/>
        <v>9</v>
      </c>
      <c r="E104" s="5">
        <f t="shared" ca="1" si="12"/>
        <v>0</v>
      </c>
      <c r="F104" s="5">
        <f t="shared" ca="1" si="13"/>
        <v>0</v>
      </c>
      <c r="G104" s="5">
        <f t="shared" ca="1" si="14"/>
        <v>9</v>
      </c>
      <c r="H104" s="11">
        <f t="shared" ca="1" si="21"/>
        <v>100469.53000000003</v>
      </c>
      <c r="I104" s="11">
        <f t="shared" ca="1" si="15"/>
        <v>0</v>
      </c>
      <c r="J104" s="11">
        <f t="shared" ca="1" si="16"/>
        <v>100469.53000000003</v>
      </c>
      <c r="K104" s="11">
        <f t="shared" ca="1" si="17"/>
        <v>521.28</v>
      </c>
      <c r="L104" s="11">
        <f t="shared" ca="1" si="18"/>
        <v>990.81000000002678</v>
      </c>
    </row>
    <row r="105" spans="1:12" x14ac:dyDescent="0.25">
      <c r="A105" s="5">
        <v>90</v>
      </c>
      <c r="B105" s="18">
        <f t="shared" ca="1" si="19"/>
        <v>57.69</v>
      </c>
      <c r="C105" s="33">
        <f t="shared" ca="1" si="11"/>
        <v>-0.23000000000000398</v>
      </c>
      <c r="D105" s="5">
        <f t="shared" ca="1" si="20"/>
        <v>9</v>
      </c>
      <c r="E105" s="5">
        <f t="shared" ca="1" si="12"/>
        <v>0</v>
      </c>
      <c r="F105" s="5">
        <f t="shared" ca="1" si="13"/>
        <v>1</v>
      </c>
      <c r="G105" s="5">
        <f t="shared" ca="1" si="14"/>
        <v>10</v>
      </c>
      <c r="H105" s="11">
        <f t="shared" ca="1" si="21"/>
        <v>100469.53000000003</v>
      </c>
      <c r="I105" s="11">
        <f t="shared" ca="1" si="15"/>
        <v>-57.69</v>
      </c>
      <c r="J105" s="11">
        <f t="shared" ca="1" si="16"/>
        <v>100411.84000000003</v>
      </c>
      <c r="K105" s="11">
        <f t="shared" ca="1" si="17"/>
        <v>576.9</v>
      </c>
      <c r="L105" s="11">
        <f t="shared" ca="1" si="18"/>
        <v>988.74000000001979</v>
      </c>
    </row>
    <row r="106" spans="1:12" x14ac:dyDescent="0.25">
      <c r="A106" s="5">
        <v>91</v>
      </c>
      <c r="B106" s="18">
        <f t="shared" ca="1" si="19"/>
        <v>58.59</v>
      </c>
      <c r="C106" s="33">
        <f t="shared" ca="1" si="11"/>
        <v>0.90000000000000568</v>
      </c>
      <c r="D106" s="5">
        <f t="shared" ca="1" si="20"/>
        <v>10</v>
      </c>
      <c r="E106" s="5">
        <f t="shared" ca="1" si="12"/>
        <v>0</v>
      </c>
      <c r="F106" s="5">
        <f t="shared" ca="1" si="13"/>
        <v>0</v>
      </c>
      <c r="G106" s="5">
        <f t="shared" ca="1" si="14"/>
        <v>10</v>
      </c>
      <c r="H106" s="11">
        <f t="shared" ca="1" si="21"/>
        <v>100411.84000000003</v>
      </c>
      <c r="I106" s="11">
        <f t="shared" ca="1" si="15"/>
        <v>0</v>
      </c>
      <c r="J106" s="11">
        <f t="shared" ca="1" si="16"/>
        <v>100411.84000000003</v>
      </c>
      <c r="K106" s="11">
        <f t="shared" ca="1" si="17"/>
        <v>585.90000000000009</v>
      </c>
      <c r="L106" s="11">
        <f t="shared" ca="1" si="18"/>
        <v>997.74000000001979</v>
      </c>
    </row>
    <row r="107" spans="1:12" x14ac:dyDescent="0.25">
      <c r="A107" s="5">
        <v>92</v>
      </c>
      <c r="B107" s="18">
        <f t="shared" ca="1" si="19"/>
        <v>59.29</v>
      </c>
      <c r="C107" s="33">
        <f t="shared" ca="1" si="11"/>
        <v>0.69999999999999574</v>
      </c>
      <c r="D107" s="5">
        <f t="shared" ca="1" si="20"/>
        <v>10</v>
      </c>
      <c r="E107" s="5">
        <f t="shared" ca="1" si="12"/>
        <v>1</v>
      </c>
      <c r="F107" s="5">
        <f t="shared" ca="1" si="13"/>
        <v>0</v>
      </c>
      <c r="G107" s="5">
        <f t="shared" ca="1" si="14"/>
        <v>9</v>
      </c>
      <c r="H107" s="11">
        <f t="shared" ca="1" si="21"/>
        <v>100411.84000000003</v>
      </c>
      <c r="I107" s="11">
        <f t="shared" ca="1" si="15"/>
        <v>59.29</v>
      </c>
      <c r="J107" s="11">
        <f t="shared" ca="1" si="16"/>
        <v>100471.13000000002</v>
      </c>
      <c r="K107" s="11">
        <f t="shared" ca="1" si="17"/>
        <v>533.61</v>
      </c>
      <c r="L107" s="11">
        <f t="shared" ca="1" si="18"/>
        <v>1004.7400000000198</v>
      </c>
    </row>
    <row r="108" spans="1:12" x14ac:dyDescent="0.25">
      <c r="A108" s="5">
        <v>93</v>
      </c>
      <c r="B108" s="18">
        <f t="shared" ca="1" si="19"/>
        <v>58.16</v>
      </c>
      <c r="C108" s="33">
        <f t="shared" ca="1" si="11"/>
        <v>-1.1300000000000026</v>
      </c>
      <c r="D108" s="5">
        <f t="shared" ca="1" si="20"/>
        <v>9</v>
      </c>
      <c r="E108" s="5">
        <f t="shared" ca="1" si="12"/>
        <v>0</v>
      </c>
      <c r="F108" s="5">
        <f t="shared" ca="1" si="13"/>
        <v>0</v>
      </c>
      <c r="G108" s="5">
        <f t="shared" ca="1" si="14"/>
        <v>9</v>
      </c>
      <c r="H108" s="11">
        <f t="shared" ca="1" si="21"/>
        <v>100471.13000000002</v>
      </c>
      <c r="I108" s="11">
        <f t="shared" ca="1" si="15"/>
        <v>0</v>
      </c>
      <c r="J108" s="11">
        <f t="shared" ca="1" si="16"/>
        <v>100471.13000000002</v>
      </c>
      <c r="K108" s="11">
        <f t="shared" ca="1" si="17"/>
        <v>523.43999999999994</v>
      </c>
      <c r="L108" s="11">
        <f t="shared" ca="1" si="18"/>
        <v>994.57000000002154</v>
      </c>
    </row>
    <row r="109" spans="1:12" x14ac:dyDescent="0.25">
      <c r="A109" s="5">
        <v>94</v>
      </c>
      <c r="B109" s="18">
        <f t="shared" ca="1" si="19"/>
        <v>58.87</v>
      </c>
      <c r="C109" s="33">
        <f t="shared" ca="1" si="11"/>
        <v>0.71000000000000085</v>
      </c>
      <c r="D109" s="5">
        <f t="shared" ca="1" si="20"/>
        <v>9</v>
      </c>
      <c r="E109" s="5">
        <f t="shared" ca="1" si="12"/>
        <v>0</v>
      </c>
      <c r="F109" s="5">
        <f t="shared" ca="1" si="13"/>
        <v>0</v>
      </c>
      <c r="G109" s="5">
        <f t="shared" ca="1" si="14"/>
        <v>9</v>
      </c>
      <c r="H109" s="11">
        <f t="shared" ca="1" si="21"/>
        <v>100471.13000000002</v>
      </c>
      <c r="I109" s="11">
        <f t="shared" ca="1" si="15"/>
        <v>0</v>
      </c>
      <c r="J109" s="11">
        <f t="shared" ca="1" si="16"/>
        <v>100471.13000000002</v>
      </c>
      <c r="K109" s="11">
        <f t="shared" ca="1" si="17"/>
        <v>529.82999999999993</v>
      </c>
      <c r="L109" s="11">
        <f t="shared" ca="1" si="18"/>
        <v>1000.960000000021</v>
      </c>
    </row>
    <row r="110" spans="1:12" x14ac:dyDescent="0.25">
      <c r="A110" s="5">
        <v>95</v>
      </c>
      <c r="B110" s="18">
        <f t="shared" ca="1" si="19"/>
        <v>57.91</v>
      </c>
      <c r="C110" s="33">
        <f t="shared" ca="1" si="11"/>
        <v>-0.96000000000000085</v>
      </c>
      <c r="D110" s="5">
        <f t="shared" ca="1" si="20"/>
        <v>9</v>
      </c>
      <c r="E110" s="5">
        <f t="shared" ca="1" si="12"/>
        <v>0</v>
      </c>
      <c r="F110" s="5">
        <f t="shared" ca="1" si="13"/>
        <v>0</v>
      </c>
      <c r="G110" s="5">
        <f t="shared" ca="1" si="14"/>
        <v>9</v>
      </c>
      <c r="H110" s="11">
        <f t="shared" ca="1" si="21"/>
        <v>100471.13000000002</v>
      </c>
      <c r="I110" s="11">
        <f t="shared" ca="1" si="15"/>
        <v>0</v>
      </c>
      <c r="J110" s="11">
        <f t="shared" ca="1" si="16"/>
        <v>100471.13000000002</v>
      </c>
      <c r="K110" s="11">
        <f t="shared" ca="1" si="17"/>
        <v>521.18999999999994</v>
      </c>
      <c r="L110" s="11">
        <f t="shared" ca="1" si="18"/>
        <v>992.32000000002154</v>
      </c>
    </row>
    <row r="111" spans="1:12" x14ac:dyDescent="0.25">
      <c r="A111" s="5">
        <v>96</v>
      </c>
      <c r="B111" s="18">
        <f t="shared" ca="1" si="19"/>
        <v>58.49</v>
      </c>
      <c r="C111" s="33">
        <f t="shared" ca="1" si="11"/>
        <v>0.5800000000000054</v>
      </c>
      <c r="D111" s="5">
        <f t="shared" ca="1" si="20"/>
        <v>9</v>
      </c>
      <c r="E111" s="5">
        <f t="shared" ca="1" si="12"/>
        <v>0</v>
      </c>
      <c r="F111" s="5">
        <f t="shared" ca="1" si="13"/>
        <v>0</v>
      </c>
      <c r="G111" s="5">
        <f t="shared" ca="1" si="14"/>
        <v>9</v>
      </c>
      <c r="H111" s="11">
        <f t="shared" ca="1" si="21"/>
        <v>100471.13000000002</v>
      </c>
      <c r="I111" s="11">
        <f t="shared" ca="1" si="15"/>
        <v>0</v>
      </c>
      <c r="J111" s="11">
        <f t="shared" ca="1" si="16"/>
        <v>100471.13000000002</v>
      </c>
      <c r="K111" s="11">
        <f t="shared" ca="1" si="17"/>
        <v>526.41</v>
      </c>
      <c r="L111" s="11">
        <f t="shared" ca="1" si="18"/>
        <v>997.5400000000227</v>
      </c>
    </row>
    <row r="112" spans="1:12" x14ac:dyDescent="0.25">
      <c r="A112" s="5">
        <v>97</v>
      </c>
      <c r="B112" s="18">
        <f t="shared" ca="1" si="19"/>
        <v>59.12</v>
      </c>
      <c r="C112" s="33">
        <f t="shared" ca="1" si="11"/>
        <v>0.62999999999999545</v>
      </c>
      <c r="D112" s="5">
        <f t="shared" ca="1" si="20"/>
        <v>9</v>
      </c>
      <c r="E112" s="5">
        <f t="shared" ca="1" si="12"/>
        <v>1</v>
      </c>
      <c r="F112" s="5">
        <f t="shared" ca="1" si="13"/>
        <v>0</v>
      </c>
      <c r="G112" s="5">
        <f t="shared" ca="1" si="14"/>
        <v>8</v>
      </c>
      <c r="H112" s="11">
        <f t="shared" ca="1" si="21"/>
        <v>100471.13000000002</v>
      </c>
      <c r="I112" s="11">
        <f t="shared" ca="1" si="15"/>
        <v>59.12</v>
      </c>
      <c r="J112" s="11">
        <f t="shared" ca="1" si="16"/>
        <v>100530.25000000001</v>
      </c>
      <c r="K112" s="11">
        <f t="shared" ca="1" si="17"/>
        <v>472.96</v>
      </c>
      <c r="L112" s="11">
        <f t="shared" ca="1" si="18"/>
        <v>1003.210000000021</v>
      </c>
    </row>
    <row r="113" spans="1:12" x14ac:dyDescent="0.25">
      <c r="A113" s="5">
        <v>98</v>
      </c>
      <c r="B113" s="18">
        <f t="shared" ca="1" si="19"/>
        <v>59.15</v>
      </c>
      <c r="C113" s="33">
        <f t="shared" ca="1" si="11"/>
        <v>3.0000000000001137E-2</v>
      </c>
      <c r="D113" s="5">
        <f t="shared" ca="1" si="20"/>
        <v>8</v>
      </c>
      <c r="E113" s="5">
        <f t="shared" ca="1" si="12"/>
        <v>2</v>
      </c>
      <c r="F113" s="5">
        <f t="shared" ca="1" si="13"/>
        <v>0</v>
      </c>
      <c r="G113" s="5">
        <f t="shared" ca="1" si="14"/>
        <v>6</v>
      </c>
      <c r="H113" s="11">
        <f t="shared" ca="1" si="21"/>
        <v>100530.25000000001</v>
      </c>
      <c r="I113" s="11">
        <f t="shared" ca="1" si="15"/>
        <v>118.3</v>
      </c>
      <c r="J113" s="11">
        <f t="shared" ca="1" si="16"/>
        <v>100648.55000000002</v>
      </c>
      <c r="K113" s="11">
        <f t="shared" ca="1" si="17"/>
        <v>354.9</v>
      </c>
      <c r="L113" s="11">
        <f t="shared" ca="1" si="18"/>
        <v>1003.4500000000116</v>
      </c>
    </row>
    <row r="114" spans="1:12" x14ac:dyDescent="0.25">
      <c r="A114" s="5">
        <v>99</v>
      </c>
      <c r="B114" s="18">
        <f t="shared" ca="1" si="19"/>
        <v>59.65</v>
      </c>
      <c r="C114" s="33">
        <f t="shared" ca="1" si="11"/>
        <v>0.5</v>
      </c>
      <c r="D114" s="5">
        <f t="shared" ca="1" si="20"/>
        <v>6</v>
      </c>
      <c r="E114" s="5">
        <f t="shared" ca="1" si="12"/>
        <v>2</v>
      </c>
      <c r="F114" s="5">
        <f t="shared" ca="1" si="13"/>
        <v>0</v>
      </c>
      <c r="G114" s="5">
        <f t="shared" ca="1" si="14"/>
        <v>4</v>
      </c>
      <c r="H114" s="11">
        <f t="shared" ca="1" si="21"/>
        <v>100648.55000000002</v>
      </c>
      <c r="I114" s="11">
        <f t="shared" ca="1" si="15"/>
        <v>119.3</v>
      </c>
      <c r="J114" s="11">
        <f t="shared" ca="1" si="16"/>
        <v>100767.85000000002</v>
      </c>
      <c r="K114" s="11">
        <f t="shared" ca="1" si="17"/>
        <v>238.6</v>
      </c>
      <c r="L114" s="11">
        <f t="shared" ca="1" si="18"/>
        <v>1006.4500000000262</v>
      </c>
    </row>
    <row r="115" spans="1:12" x14ac:dyDescent="0.25">
      <c r="A115" s="5">
        <v>100</v>
      </c>
      <c r="B115" s="18">
        <f t="shared" ca="1" si="19"/>
        <v>59.72</v>
      </c>
      <c r="C115" s="33">
        <f t="shared" ca="1" si="11"/>
        <v>7.0000000000000284E-2</v>
      </c>
      <c r="D115" s="5">
        <f t="shared" ca="1" si="20"/>
        <v>4</v>
      </c>
      <c r="E115" s="5">
        <f t="shared" ca="1" si="12"/>
        <v>1</v>
      </c>
      <c r="F115" s="5">
        <f t="shared" ca="1" si="13"/>
        <v>0</v>
      </c>
      <c r="G115" s="5">
        <f t="shared" ca="1" si="14"/>
        <v>3</v>
      </c>
      <c r="H115" s="11">
        <f t="shared" ca="1" si="21"/>
        <v>100767.85000000002</v>
      </c>
      <c r="I115" s="11">
        <f t="shared" ca="1" si="15"/>
        <v>59.72</v>
      </c>
      <c r="J115" s="11">
        <f t="shared" ca="1" si="16"/>
        <v>100827.57000000002</v>
      </c>
      <c r="K115" s="11">
        <f t="shared" ca="1" si="17"/>
        <v>179.16</v>
      </c>
      <c r="L115" s="11">
        <f t="shared" ca="1" si="18"/>
        <v>1006.730000000025</v>
      </c>
    </row>
    <row r="116" spans="1:12" x14ac:dyDescent="0.25">
      <c r="A116" s="5">
        <v>101</v>
      </c>
      <c r="B116" s="18">
        <f t="shared" ca="1" si="19"/>
        <v>58.98</v>
      </c>
      <c r="C116" s="33">
        <f t="shared" ca="1" si="11"/>
        <v>-0.74000000000000199</v>
      </c>
      <c r="D116" s="5">
        <f t="shared" ca="1" si="20"/>
        <v>3</v>
      </c>
      <c r="E116" s="5">
        <f t="shared" ca="1" si="12"/>
        <v>0</v>
      </c>
      <c r="F116" s="5">
        <f t="shared" ca="1" si="13"/>
        <v>0</v>
      </c>
      <c r="G116" s="5">
        <f t="shared" ca="1" si="14"/>
        <v>3</v>
      </c>
      <c r="H116" s="11">
        <f t="shared" ca="1" si="21"/>
        <v>100827.57000000002</v>
      </c>
      <c r="I116" s="11">
        <f t="shared" ca="1" si="15"/>
        <v>0</v>
      </c>
      <c r="J116" s="11">
        <f t="shared" ca="1" si="16"/>
        <v>100827.57000000002</v>
      </c>
      <c r="K116" s="11">
        <f t="shared" ca="1" si="17"/>
        <v>176.94</v>
      </c>
      <c r="L116" s="11">
        <f t="shared" ca="1" si="18"/>
        <v>1004.5100000000239</v>
      </c>
    </row>
    <row r="117" spans="1:12" x14ac:dyDescent="0.25">
      <c r="A117" s="5">
        <v>102</v>
      </c>
      <c r="B117" s="18">
        <f t="shared" ca="1" si="19"/>
        <v>58.97</v>
      </c>
      <c r="C117" s="33">
        <f t="shared" ca="1" si="11"/>
        <v>-9.9999999999980105E-3</v>
      </c>
      <c r="D117" s="5">
        <f t="shared" ca="1" si="20"/>
        <v>3</v>
      </c>
      <c r="E117" s="5">
        <f t="shared" ca="1" si="12"/>
        <v>0</v>
      </c>
      <c r="F117" s="5">
        <f t="shared" ca="1" si="13"/>
        <v>0</v>
      </c>
      <c r="G117" s="5">
        <f t="shared" ca="1" si="14"/>
        <v>3</v>
      </c>
      <c r="H117" s="11">
        <f t="shared" ca="1" si="21"/>
        <v>100827.57000000002</v>
      </c>
      <c r="I117" s="11">
        <f t="shared" ca="1" si="15"/>
        <v>0</v>
      </c>
      <c r="J117" s="11">
        <f t="shared" ca="1" si="16"/>
        <v>100827.57000000002</v>
      </c>
      <c r="K117" s="11">
        <f t="shared" ca="1" si="17"/>
        <v>176.91</v>
      </c>
      <c r="L117" s="11">
        <f t="shared" ca="1" si="18"/>
        <v>1004.480000000025</v>
      </c>
    </row>
    <row r="118" spans="1:12" x14ac:dyDescent="0.25">
      <c r="A118" s="5">
        <v>103</v>
      </c>
      <c r="B118" s="18">
        <f t="shared" ca="1" si="19"/>
        <v>60.81</v>
      </c>
      <c r="C118" s="33">
        <f t="shared" ca="1" si="11"/>
        <v>1.8400000000000034</v>
      </c>
      <c r="D118" s="5">
        <f t="shared" ca="1" si="20"/>
        <v>3</v>
      </c>
      <c r="E118" s="5">
        <f t="shared" ca="1" si="12"/>
        <v>0</v>
      </c>
      <c r="F118" s="5">
        <f t="shared" ca="1" si="13"/>
        <v>0</v>
      </c>
      <c r="G118" s="5">
        <f t="shared" ca="1" si="14"/>
        <v>3</v>
      </c>
      <c r="H118" s="11">
        <f t="shared" ca="1" si="21"/>
        <v>100827.57000000002</v>
      </c>
      <c r="I118" s="11">
        <f t="shared" ca="1" si="15"/>
        <v>0</v>
      </c>
      <c r="J118" s="11">
        <f t="shared" ca="1" si="16"/>
        <v>100827.57000000002</v>
      </c>
      <c r="K118" s="11">
        <f t="shared" ca="1" si="17"/>
        <v>182.43</v>
      </c>
      <c r="L118" s="11">
        <f t="shared" ca="1" si="18"/>
        <v>1010.0000000000146</v>
      </c>
    </row>
    <row r="119" spans="1:12" x14ac:dyDescent="0.25">
      <c r="A119" s="5">
        <v>104</v>
      </c>
      <c r="B119" s="18">
        <f t="shared" ca="1" si="19"/>
        <v>62.24</v>
      </c>
      <c r="C119" s="33">
        <f t="shared" ca="1" si="11"/>
        <v>1.4299999999999997</v>
      </c>
      <c r="D119" s="5">
        <f t="shared" ca="1" si="20"/>
        <v>3</v>
      </c>
      <c r="E119" s="5">
        <f t="shared" ca="1" si="12"/>
        <v>0</v>
      </c>
      <c r="F119" s="5">
        <f t="shared" ca="1" si="13"/>
        <v>0</v>
      </c>
      <c r="G119" s="5">
        <f t="shared" ca="1" si="14"/>
        <v>3</v>
      </c>
      <c r="H119" s="11">
        <f t="shared" ca="1" si="21"/>
        <v>100827.57000000002</v>
      </c>
      <c r="I119" s="11">
        <f t="shared" ca="1" si="15"/>
        <v>0</v>
      </c>
      <c r="J119" s="11">
        <f t="shared" ca="1" si="16"/>
        <v>100827.57000000002</v>
      </c>
      <c r="K119" s="11">
        <f t="shared" ca="1" si="17"/>
        <v>186.72</v>
      </c>
      <c r="L119" s="11">
        <f t="shared" ca="1" si="18"/>
        <v>1014.2900000000227</v>
      </c>
    </row>
    <row r="120" spans="1:12" x14ac:dyDescent="0.25">
      <c r="A120" s="5">
        <v>105</v>
      </c>
      <c r="B120" s="18">
        <f t="shared" ca="1" si="19"/>
        <v>62.03</v>
      </c>
      <c r="C120" s="33">
        <f t="shared" ca="1" si="11"/>
        <v>-0.21000000000000085</v>
      </c>
      <c r="D120" s="5">
        <f t="shared" ca="1" si="20"/>
        <v>3</v>
      </c>
      <c r="E120" s="5">
        <f t="shared" ca="1" si="12"/>
        <v>0</v>
      </c>
      <c r="F120" s="5">
        <f t="shared" ca="1" si="13"/>
        <v>0</v>
      </c>
      <c r="G120" s="5">
        <f t="shared" ca="1" si="14"/>
        <v>3</v>
      </c>
      <c r="H120" s="11">
        <f t="shared" ca="1" si="21"/>
        <v>100827.57000000002</v>
      </c>
      <c r="I120" s="11">
        <f t="shared" ca="1" si="15"/>
        <v>0</v>
      </c>
      <c r="J120" s="11">
        <f t="shared" ca="1" si="16"/>
        <v>100827.57000000002</v>
      </c>
      <c r="K120" s="11">
        <f t="shared" ca="1" si="17"/>
        <v>186.09</v>
      </c>
      <c r="L120" s="11">
        <f t="shared" ca="1" si="18"/>
        <v>1013.660000000018</v>
      </c>
    </row>
    <row r="121" spans="1:12" x14ac:dyDescent="0.25">
      <c r="A121" s="5">
        <v>106</v>
      </c>
      <c r="B121" s="18">
        <f t="shared" ca="1" si="19"/>
        <v>61.86</v>
      </c>
      <c r="C121" s="33">
        <f t="shared" ca="1" si="11"/>
        <v>-0.17000000000000171</v>
      </c>
      <c r="D121" s="5">
        <f t="shared" ca="1" si="20"/>
        <v>3</v>
      </c>
      <c r="E121" s="5">
        <f t="shared" ca="1" si="12"/>
        <v>0</v>
      </c>
      <c r="F121" s="5">
        <f t="shared" ca="1" si="13"/>
        <v>0</v>
      </c>
      <c r="G121" s="5">
        <f t="shared" ca="1" si="14"/>
        <v>3</v>
      </c>
      <c r="H121" s="11">
        <f t="shared" ca="1" si="21"/>
        <v>100827.57000000002</v>
      </c>
      <c r="I121" s="11">
        <f t="shared" ca="1" si="15"/>
        <v>0</v>
      </c>
      <c r="J121" s="11">
        <f t="shared" ca="1" si="16"/>
        <v>100827.57000000002</v>
      </c>
      <c r="K121" s="11">
        <f t="shared" ca="1" si="17"/>
        <v>185.57999999999998</v>
      </c>
      <c r="L121" s="11">
        <f t="shared" ca="1" si="18"/>
        <v>1013.1500000000233</v>
      </c>
    </row>
    <row r="122" spans="1:12" x14ac:dyDescent="0.25">
      <c r="A122" s="5">
        <v>107</v>
      </c>
      <c r="B122" s="18">
        <f t="shared" ca="1" si="19"/>
        <v>60.17</v>
      </c>
      <c r="C122" s="33">
        <f t="shared" ca="1" si="11"/>
        <v>-1.6899999999999977</v>
      </c>
      <c r="D122" s="5">
        <f t="shared" ca="1" si="20"/>
        <v>3</v>
      </c>
      <c r="E122" s="5">
        <f t="shared" ca="1" si="12"/>
        <v>0</v>
      </c>
      <c r="F122" s="5">
        <f t="shared" ca="1" si="13"/>
        <v>1</v>
      </c>
      <c r="G122" s="5">
        <f t="shared" ca="1" si="14"/>
        <v>4</v>
      </c>
      <c r="H122" s="11">
        <f t="shared" ca="1" si="21"/>
        <v>100827.57000000002</v>
      </c>
      <c r="I122" s="11">
        <f t="shared" ca="1" si="15"/>
        <v>-60.17</v>
      </c>
      <c r="J122" s="11">
        <f t="shared" ca="1" si="16"/>
        <v>100767.40000000002</v>
      </c>
      <c r="K122" s="11">
        <f t="shared" ca="1" si="17"/>
        <v>240.68</v>
      </c>
      <c r="L122" s="11">
        <f t="shared" ca="1" si="18"/>
        <v>1008.0800000000163</v>
      </c>
    </row>
    <row r="123" spans="1:12" x14ac:dyDescent="0.25">
      <c r="A123" s="5">
        <v>108</v>
      </c>
      <c r="B123" s="18">
        <f t="shared" ca="1" si="19"/>
        <v>60.64</v>
      </c>
      <c r="C123" s="33">
        <f t="shared" ca="1" si="11"/>
        <v>0.46999999999999886</v>
      </c>
      <c r="D123" s="5">
        <f t="shared" ca="1" si="20"/>
        <v>4</v>
      </c>
      <c r="E123" s="5">
        <f t="shared" ca="1" si="12"/>
        <v>0</v>
      </c>
      <c r="F123" s="5">
        <f t="shared" ca="1" si="13"/>
        <v>0</v>
      </c>
      <c r="G123" s="5">
        <f t="shared" ca="1" si="14"/>
        <v>4</v>
      </c>
      <c r="H123" s="11">
        <f t="shared" ca="1" si="21"/>
        <v>100767.40000000002</v>
      </c>
      <c r="I123" s="11">
        <f t="shared" ca="1" si="15"/>
        <v>0</v>
      </c>
      <c r="J123" s="11">
        <f t="shared" ca="1" si="16"/>
        <v>100767.40000000002</v>
      </c>
      <c r="K123" s="11">
        <f t="shared" ca="1" si="17"/>
        <v>242.56</v>
      </c>
      <c r="L123" s="11">
        <f t="shared" ca="1" si="18"/>
        <v>1009.960000000021</v>
      </c>
    </row>
    <row r="124" spans="1:12" x14ac:dyDescent="0.25">
      <c r="A124" s="5">
        <v>109</v>
      </c>
      <c r="B124" s="18">
        <f t="shared" ca="1" si="19"/>
        <v>61.25</v>
      </c>
      <c r="C124" s="33">
        <f t="shared" ca="1" si="11"/>
        <v>0.60999999999999943</v>
      </c>
      <c r="D124" s="5">
        <f t="shared" ca="1" si="20"/>
        <v>4</v>
      </c>
      <c r="E124" s="5">
        <f t="shared" ca="1" si="12"/>
        <v>0</v>
      </c>
      <c r="F124" s="5">
        <f t="shared" ca="1" si="13"/>
        <v>0</v>
      </c>
      <c r="G124" s="5">
        <f t="shared" ca="1" si="14"/>
        <v>4</v>
      </c>
      <c r="H124" s="11">
        <f t="shared" ca="1" si="21"/>
        <v>100767.40000000002</v>
      </c>
      <c r="I124" s="11">
        <f t="shared" ca="1" si="15"/>
        <v>0</v>
      </c>
      <c r="J124" s="11">
        <f t="shared" ca="1" si="16"/>
        <v>100767.40000000002</v>
      </c>
      <c r="K124" s="11">
        <f t="shared" ca="1" si="17"/>
        <v>245</v>
      </c>
      <c r="L124" s="11">
        <f t="shared" ca="1" si="18"/>
        <v>1012.4000000000233</v>
      </c>
    </row>
    <row r="125" spans="1:12" x14ac:dyDescent="0.25">
      <c r="A125" s="5">
        <v>110</v>
      </c>
      <c r="B125" s="18">
        <f t="shared" ca="1" si="19"/>
        <v>59.14</v>
      </c>
      <c r="C125" s="33">
        <f t="shared" ca="1" si="11"/>
        <v>-2.1099999999999994</v>
      </c>
      <c r="D125" s="5">
        <f t="shared" ca="1" si="20"/>
        <v>4</v>
      </c>
      <c r="E125" s="5">
        <f t="shared" ca="1" si="12"/>
        <v>0</v>
      </c>
      <c r="F125" s="5">
        <f t="shared" ca="1" si="13"/>
        <v>0</v>
      </c>
      <c r="G125" s="5">
        <f t="shared" ca="1" si="14"/>
        <v>4</v>
      </c>
      <c r="H125" s="11">
        <f t="shared" ca="1" si="21"/>
        <v>100767.40000000002</v>
      </c>
      <c r="I125" s="11">
        <f t="shared" ca="1" si="15"/>
        <v>0</v>
      </c>
      <c r="J125" s="11">
        <f t="shared" ca="1" si="16"/>
        <v>100767.40000000002</v>
      </c>
      <c r="K125" s="11">
        <f t="shared" ca="1" si="17"/>
        <v>236.56</v>
      </c>
      <c r="L125" s="11">
        <f t="shared" ca="1" si="18"/>
        <v>1003.960000000021</v>
      </c>
    </row>
    <row r="126" spans="1:12" x14ac:dyDescent="0.25">
      <c r="A126" s="5">
        <v>111</v>
      </c>
      <c r="B126" s="18">
        <f t="shared" ca="1" si="19"/>
        <v>60.49</v>
      </c>
      <c r="C126" s="33">
        <f t="shared" ca="1" si="11"/>
        <v>1.3500000000000014</v>
      </c>
      <c r="D126" s="5">
        <f t="shared" ca="1" si="20"/>
        <v>4</v>
      </c>
      <c r="E126" s="5">
        <f t="shared" ca="1" si="12"/>
        <v>0</v>
      </c>
      <c r="F126" s="5">
        <f t="shared" ca="1" si="13"/>
        <v>0</v>
      </c>
      <c r="G126" s="5">
        <f t="shared" ca="1" si="14"/>
        <v>4</v>
      </c>
      <c r="H126" s="11">
        <f t="shared" ca="1" si="21"/>
        <v>100767.40000000002</v>
      </c>
      <c r="I126" s="11">
        <f t="shared" ca="1" si="15"/>
        <v>0</v>
      </c>
      <c r="J126" s="11">
        <f t="shared" ca="1" si="16"/>
        <v>100767.40000000002</v>
      </c>
      <c r="K126" s="11">
        <f t="shared" ca="1" si="17"/>
        <v>241.96</v>
      </c>
      <c r="L126" s="11">
        <f t="shared" ca="1" si="18"/>
        <v>1009.3600000000297</v>
      </c>
    </row>
    <row r="127" spans="1:12" x14ac:dyDescent="0.25">
      <c r="A127" s="5">
        <v>112</v>
      </c>
      <c r="B127" s="18">
        <f t="shared" ca="1" si="19"/>
        <v>60.05</v>
      </c>
      <c r="C127" s="33">
        <f t="shared" ca="1" si="11"/>
        <v>-0.44000000000000483</v>
      </c>
      <c r="D127" s="5">
        <f t="shared" ca="1" si="20"/>
        <v>4</v>
      </c>
      <c r="E127" s="5">
        <f t="shared" ca="1" si="12"/>
        <v>0</v>
      </c>
      <c r="F127" s="5">
        <f t="shared" ca="1" si="13"/>
        <v>0</v>
      </c>
      <c r="G127" s="5">
        <f t="shared" ca="1" si="14"/>
        <v>4</v>
      </c>
      <c r="H127" s="11">
        <f t="shared" ca="1" si="21"/>
        <v>100767.40000000002</v>
      </c>
      <c r="I127" s="11">
        <f t="shared" ca="1" si="15"/>
        <v>0</v>
      </c>
      <c r="J127" s="11">
        <f t="shared" ca="1" si="16"/>
        <v>100767.40000000002</v>
      </c>
      <c r="K127" s="11">
        <f t="shared" ca="1" si="17"/>
        <v>240.2</v>
      </c>
      <c r="L127" s="11">
        <f t="shared" ca="1" si="18"/>
        <v>1007.6000000000204</v>
      </c>
    </row>
    <row r="128" spans="1:12" x14ac:dyDescent="0.25">
      <c r="A128" s="5">
        <v>113</v>
      </c>
      <c r="B128" s="18">
        <f t="shared" ca="1" si="19"/>
        <v>60.56</v>
      </c>
      <c r="C128" s="33">
        <f t="shared" ca="1" si="11"/>
        <v>0.51000000000000512</v>
      </c>
      <c r="D128" s="5">
        <f t="shared" ca="1" si="20"/>
        <v>4</v>
      </c>
      <c r="E128" s="5">
        <f t="shared" ca="1" si="12"/>
        <v>0</v>
      </c>
      <c r="F128" s="5">
        <f t="shared" ca="1" si="13"/>
        <v>0</v>
      </c>
      <c r="G128" s="5">
        <f t="shared" ca="1" si="14"/>
        <v>4</v>
      </c>
      <c r="H128" s="11">
        <f t="shared" ca="1" si="21"/>
        <v>100767.40000000002</v>
      </c>
      <c r="I128" s="11">
        <f t="shared" ca="1" si="15"/>
        <v>0</v>
      </c>
      <c r="J128" s="11">
        <f t="shared" ca="1" si="16"/>
        <v>100767.40000000002</v>
      </c>
      <c r="K128" s="11">
        <f t="shared" ca="1" si="17"/>
        <v>242.24</v>
      </c>
      <c r="L128" s="11">
        <f t="shared" ca="1" si="18"/>
        <v>1009.6400000000285</v>
      </c>
    </row>
    <row r="129" spans="1:12" x14ac:dyDescent="0.25">
      <c r="A129" s="5">
        <v>114</v>
      </c>
      <c r="B129" s="18">
        <f t="shared" ca="1" si="19"/>
        <v>60.65</v>
      </c>
      <c r="C129" s="33">
        <f t="shared" ca="1" si="11"/>
        <v>8.9999999999996305E-2</v>
      </c>
      <c r="D129" s="5">
        <f t="shared" ca="1" si="20"/>
        <v>4</v>
      </c>
      <c r="E129" s="5">
        <f t="shared" ca="1" si="12"/>
        <v>0</v>
      </c>
      <c r="F129" s="5">
        <f t="shared" ca="1" si="13"/>
        <v>0</v>
      </c>
      <c r="G129" s="5">
        <f t="shared" ca="1" si="14"/>
        <v>4</v>
      </c>
      <c r="H129" s="11">
        <f t="shared" ca="1" si="21"/>
        <v>100767.40000000002</v>
      </c>
      <c r="I129" s="11">
        <f t="shared" ca="1" si="15"/>
        <v>0</v>
      </c>
      <c r="J129" s="11">
        <f t="shared" ca="1" si="16"/>
        <v>100767.40000000002</v>
      </c>
      <c r="K129" s="11">
        <f t="shared" ca="1" si="17"/>
        <v>242.6</v>
      </c>
      <c r="L129" s="11">
        <f t="shared" ca="1" si="18"/>
        <v>1010.0000000000291</v>
      </c>
    </row>
    <row r="130" spans="1:12" x14ac:dyDescent="0.25">
      <c r="A130" s="5">
        <v>115</v>
      </c>
      <c r="B130" s="18">
        <f t="shared" ca="1" si="19"/>
        <v>62.42</v>
      </c>
      <c r="C130" s="33">
        <f t="shared" ca="1" si="11"/>
        <v>1.7700000000000031</v>
      </c>
      <c r="D130" s="5">
        <f t="shared" ca="1" si="20"/>
        <v>4</v>
      </c>
      <c r="E130" s="5">
        <f t="shared" ca="1" si="12"/>
        <v>1</v>
      </c>
      <c r="F130" s="5">
        <f t="shared" ca="1" si="13"/>
        <v>0</v>
      </c>
      <c r="G130" s="5">
        <f t="shared" ca="1" si="14"/>
        <v>3</v>
      </c>
      <c r="H130" s="11">
        <f t="shared" ca="1" si="21"/>
        <v>100767.40000000002</v>
      </c>
      <c r="I130" s="11">
        <f t="shared" ca="1" si="15"/>
        <v>62.42</v>
      </c>
      <c r="J130" s="11">
        <f t="shared" ca="1" si="16"/>
        <v>100829.82000000002</v>
      </c>
      <c r="K130" s="11">
        <f t="shared" ca="1" si="17"/>
        <v>187.26</v>
      </c>
      <c r="L130" s="11">
        <f t="shared" ca="1" si="18"/>
        <v>1017.0800000000163</v>
      </c>
    </row>
    <row r="131" spans="1:12" x14ac:dyDescent="0.25">
      <c r="A131" s="5">
        <v>116</v>
      </c>
      <c r="B131" s="18">
        <f t="shared" ca="1" si="19"/>
        <v>60.58</v>
      </c>
      <c r="C131" s="33">
        <f t="shared" ca="1" si="11"/>
        <v>-1.8400000000000034</v>
      </c>
      <c r="D131" s="5">
        <f t="shared" ca="1" si="20"/>
        <v>3</v>
      </c>
      <c r="E131" s="5">
        <f t="shared" ca="1" si="12"/>
        <v>0</v>
      </c>
      <c r="F131" s="5">
        <f t="shared" ca="1" si="13"/>
        <v>0</v>
      </c>
      <c r="G131" s="5">
        <f t="shared" ca="1" si="14"/>
        <v>3</v>
      </c>
      <c r="H131" s="11">
        <f t="shared" ca="1" si="21"/>
        <v>100829.82000000002</v>
      </c>
      <c r="I131" s="11">
        <f t="shared" ca="1" si="15"/>
        <v>0</v>
      </c>
      <c r="J131" s="11">
        <f t="shared" ca="1" si="16"/>
        <v>100829.82000000002</v>
      </c>
      <c r="K131" s="11">
        <f t="shared" ca="1" si="17"/>
        <v>181.74</v>
      </c>
      <c r="L131" s="11">
        <f t="shared" ca="1" si="18"/>
        <v>1011.5600000000268</v>
      </c>
    </row>
    <row r="132" spans="1:12" x14ac:dyDescent="0.25">
      <c r="A132" s="5">
        <v>117</v>
      </c>
      <c r="B132" s="18">
        <f t="shared" ca="1" si="19"/>
        <v>61.26</v>
      </c>
      <c r="C132" s="33">
        <f t="shared" ca="1" si="11"/>
        <v>0.67999999999999972</v>
      </c>
      <c r="D132" s="5">
        <f t="shared" ca="1" si="20"/>
        <v>3</v>
      </c>
      <c r="E132" s="5">
        <f t="shared" ca="1" si="12"/>
        <v>0</v>
      </c>
      <c r="F132" s="5">
        <f t="shared" ca="1" si="13"/>
        <v>0</v>
      </c>
      <c r="G132" s="5">
        <f t="shared" ca="1" si="14"/>
        <v>3</v>
      </c>
      <c r="H132" s="11">
        <f t="shared" ca="1" si="21"/>
        <v>100829.82000000002</v>
      </c>
      <c r="I132" s="11">
        <f t="shared" ca="1" si="15"/>
        <v>0</v>
      </c>
      <c r="J132" s="11">
        <f t="shared" ca="1" si="16"/>
        <v>100829.82000000002</v>
      </c>
      <c r="K132" s="11">
        <f t="shared" ca="1" si="17"/>
        <v>183.78</v>
      </c>
      <c r="L132" s="11">
        <f t="shared" ca="1" si="18"/>
        <v>1013.6000000000204</v>
      </c>
    </row>
    <row r="133" spans="1:12" x14ac:dyDescent="0.25">
      <c r="A133" s="5">
        <v>118</v>
      </c>
      <c r="B133" s="18">
        <f t="shared" ca="1" si="19"/>
        <v>62.4</v>
      </c>
      <c r="C133" s="33">
        <f t="shared" ca="1" si="11"/>
        <v>1.1400000000000006</v>
      </c>
      <c r="D133" s="5">
        <f t="shared" ca="1" si="20"/>
        <v>3</v>
      </c>
      <c r="E133" s="5">
        <f t="shared" ca="1" si="12"/>
        <v>0</v>
      </c>
      <c r="F133" s="5">
        <f t="shared" ca="1" si="13"/>
        <v>0</v>
      </c>
      <c r="G133" s="5">
        <f t="shared" ca="1" si="14"/>
        <v>3</v>
      </c>
      <c r="H133" s="11">
        <f t="shared" ca="1" si="21"/>
        <v>100829.82000000002</v>
      </c>
      <c r="I133" s="11">
        <f t="shared" ca="1" si="15"/>
        <v>0</v>
      </c>
      <c r="J133" s="11">
        <f t="shared" ca="1" si="16"/>
        <v>100829.82000000002</v>
      </c>
      <c r="K133" s="11">
        <f t="shared" ca="1" si="17"/>
        <v>187.2</v>
      </c>
      <c r="L133" s="11">
        <f t="shared" ca="1" si="18"/>
        <v>1017.0200000000186</v>
      </c>
    </row>
    <row r="134" spans="1:12" x14ac:dyDescent="0.25">
      <c r="A134" s="5">
        <v>119</v>
      </c>
      <c r="B134" s="18">
        <f t="shared" ca="1" si="19"/>
        <v>61.54</v>
      </c>
      <c r="C134" s="33">
        <f t="shared" ca="1" si="11"/>
        <v>-0.85999999999999943</v>
      </c>
      <c r="D134" s="5">
        <f t="shared" ca="1" si="20"/>
        <v>3</v>
      </c>
      <c r="E134" s="5">
        <f t="shared" ca="1" si="12"/>
        <v>0</v>
      </c>
      <c r="F134" s="5">
        <f t="shared" ca="1" si="13"/>
        <v>0</v>
      </c>
      <c r="G134" s="5">
        <f t="shared" ca="1" si="14"/>
        <v>3</v>
      </c>
      <c r="H134" s="11">
        <f t="shared" ca="1" si="21"/>
        <v>100829.82000000002</v>
      </c>
      <c r="I134" s="11">
        <f t="shared" ca="1" si="15"/>
        <v>0</v>
      </c>
      <c r="J134" s="11">
        <f t="shared" ca="1" si="16"/>
        <v>100829.82000000002</v>
      </c>
      <c r="K134" s="11">
        <f t="shared" ca="1" si="17"/>
        <v>184.62</v>
      </c>
      <c r="L134" s="11">
        <f t="shared" ca="1" si="18"/>
        <v>1014.4400000000169</v>
      </c>
    </row>
    <row r="135" spans="1:12" x14ac:dyDescent="0.25">
      <c r="A135" s="5">
        <v>120</v>
      </c>
      <c r="B135" s="18">
        <f t="shared" ca="1" si="19"/>
        <v>62.22</v>
      </c>
      <c r="C135" s="33">
        <f t="shared" ca="1" si="11"/>
        <v>0.67999999999999972</v>
      </c>
      <c r="D135" s="5">
        <f t="shared" ca="1" si="20"/>
        <v>3</v>
      </c>
      <c r="E135" s="5">
        <f t="shared" ca="1" si="12"/>
        <v>0</v>
      </c>
      <c r="F135" s="5">
        <f t="shared" ca="1" si="13"/>
        <v>0</v>
      </c>
      <c r="G135" s="5">
        <f t="shared" ca="1" si="14"/>
        <v>3</v>
      </c>
      <c r="H135" s="11">
        <f t="shared" ca="1" si="21"/>
        <v>100829.82000000002</v>
      </c>
      <c r="I135" s="11">
        <f t="shared" ca="1" si="15"/>
        <v>0</v>
      </c>
      <c r="J135" s="11">
        <f t="shared" ca="1" si="16"/>
        <v>100829.82000000002</v>
      </c>
      <c r="K135" s="11">
        <f t="shared" ca="1" si="17"/>
        <v>186.66</v>
      </c>
      <c r="L135" s="11">
        <f t="shared" ca="1" si="18"/>
        <v>1016.480000000025</v>
      </c>
    </row>
    <row r="136" spans="1:12" x14ac:dyDescent="0.25">
      <c r="A136" s="5">
        <v>121</v>
      </c>
      <c r="B136" s="18">
        <f t="shared" ca="1" si="19"/>
        <v>61.94</v>
      </c>
      <c r="C136" s="33">
        <f t="shared" ca="1" si="11"/>
        <v>-0.28000000000000114</v>
      </c>
      <c r="D136" s="5">
        <f t="shared" ca="1" si="20"/>
        <v>3</v>
      </c>
      <c r="E136" s="5">
        <f t="shared" ca="1" si="12"/>
        <v>0</v>
      </c>
      <c r="F136" s="5">
        <f t="shared" ca="1" si="13"/>
        <v>0</v>
      </c>
      <c r="G136" s="5">
        <f t="shared" ca="1" si="14"/>
        <v>3</v>
      </c>
      <c r="H136" s="11">
        <f t="shared" ca="1" si="21"/>
        <v>100829.82000000002</v>
      </c>
      <c r="I136" s="11">
        <f t="shared" ca="1" si="15"/>
        <v>0</v>
      </c>
      <c r="J136" s="11">
        <f t="shared" ca="1" si="16"/>
        <v>100829.82000000002</v>
      </c>
      <c r="K136" s="11">
        <f t="shared" ca="1" si="17"/>
        <v>185.82</v>
      </c>
      <c r="L136" s="11">
        <f t="shared" ca="1" si="18"/>
        <v>1015.6400000000285</v>
      </c>
    </row>
    <row r="137" spans="1:12" x14ac:dyDescent="0.25">
      <c r="A137" s="5">
        <v>122</v>
      </c>
      <c r="B137" s="18">
        <f t="shared" ca="1" si="19"/>
        <v>64.66</v>
      </c>
      <c r="C137" s="33">
        <f t="shared" ca="1" si="11"/>
        <v>2.7199999999999989</v>
      </c>
      <c r="D137" s="5">
        <f t="shared" ca="1" si="20"/>
        <v>3</v>
      </c>
      <c r="E137" s="5">
        <f t="shared" ca="1" si="12"/>
        <v>0</v>
      </c>
      <c r="F137" s="5">
        <f t="shared" ca="1" si="13"/>
        <v>0</v>
      </c>
      <c r="G137" s="5">
        <f t="shared" ca="1" si="14"/>
        <v>3</v>
      </c>
      <c r="H137" s="11">
        <f t="shared" ca="1" si="21"/>
        <v>100829.82000000002</v>
      </c>
      <c r="I137" s="11">
        <f t="shared" ca="1" si="15"/>
        <v>0</v>
      </c>
      <c r="J137" s="11">
        <f t="shared" ca="1" si="16"/>
        <v>100829.82000000002</v>
      </c>
      <c r="K137" s="11">
        <f t="shared" ca="1" si="17"/>
        <v>193.98</v>
      </c>
      <c r="L137" s="11">
        <f t="shared" ca="1" si="18"/>
        <v>1023.8000000000175</v>
      </c>
    </row>
    <row r="138" spans="1:12" x14ac:dyDescent="0.25">
      <c r="A138" s="5">
        <v>123</v>
      </c>
      <c r="B138" s="18">
        <f t="shared" ca="1" si="19"/>
        <v>65.55</v>
      </c>
      <c r="C138" s="33">
        <f t="shared" ca="1" si="11"/>
        <v>0.89000000000000057</v>
      </c>
      <c r="D138" s="5">
        <f t="shared" ca="1" si="20"/>
        <v>3</v>
      </c>
      <c r="E138" s="5">
        <f t="shared" ca="1" si="12"/>
        <v>0</v>
      </c>
      <c r="F138" s="5">
        <f t="shared" ca="1" si="13"/>
        <v>0</v>
      </c>
      <c r="G138" s="5">
        <f t="shared" ca="1" si="14"/>
        <v>3</v>
      </c>
      <c r="H138" s="11">
        <f t="shared" ca="1" si="21"/>
        <v>100829.82000000002</v>
      </c>
      <c r="I138" s="11">
        <f t="shared" ca="1" si="15"/>
        <v>0</v>
      </c>
      <c r="J138" s="11">
        <f t="shared" ca="1" si="16"/>
        <v>100829.82000000002</v>
      </c>
      <c r="K138" s="11">
        <f t="shared" ca="1" si="17"/>
        <v>196.64999999999998</v>
      </c>
      <c r="L138" s="11">
        <f t="shared" ca="1" si="18"/>
        <v>1026.4700000000157</v>
      </c>
    </row>
    <row r="139" spans="1:12" x14ac:dyDescent="0.25">
      <c r="A139" s="5">
        <v>124</v>
      </c>
      <c r="B139" s="18">
        <f t="shared" ca="1" si="19"/>
        <v>65.52</v>
      </c>
      <c r="C139" s="33">
        <f t="shared" ca="1" si="11"/>
        <v>-3.0000000000001137E-2</v>
      </c>
      <c r="D139" s="5">
        <f t="shared" ca="1" si="20"/>
        <v>3</v>
      </c>
      <c r="E139" s="5">
        <f t="shared" ca="1" si="12"/>
        <v>0</v>
      </c>
      <c r="F139" s="5">
        <f t="shared" ca="1" si="13"/>
        <v>0</v>
      </c>
      <c r="G139" s="5">
        <f t="shared" ca="1" si="14"/>
        <v>3</v>
      </c>
      <c r="H139" s="11">
        <f t="shared" ca="1" si="21"/>
        <v>100829.82000000002</v>
      </c>
      <c r="I139" s="11">
        <f t="shared" ca="1" si="15"/>
        <v>0</v>
      </c>
      <c r="J139" s="11">
        <f t="shared" ca="1" si="16"/>
        <v>100829.82000000002</v>
      </c>
      <c r="K139" s="11">
        <f t="shared" ca="1" si="17"/>
        <v>196.56</v>
      </c>
      <c r="L139" s="11">
        <f t="shared" ca="1" si="18"/>
        <v>1026.3800000000192</v>
      </c>
    </row>
    <row r="140" spans="1:12" x14ac:dyDescent="0.25">
      <c r="A140" s="5">
        <v>125</v>
      </c>
      <c r="B140" s="18">
        <f t="shared" ca="1" si="19"/>
        <v>65.47</v>
      </c>
      <c r="C140" s="33">
        <f t="shared" ca="1" si="11"/>
        <v>-4.9999999999997158E-2</v>
      </c>
      <c r="D140" s="5">
        <f t="shared" ca="1" si="20"/>
        <v>3</v>
      </c>
      <c r="E140" s="5">
        <f t="shared" ca="1" si="12"/>
        <v>0</v>
      </c>
      <c r="F140" s="5">
        <f t="shared" ca="1" si="13"/>
        <v>0</v>
      </c>
      <c r="G140" s="5">
        <f t="shared" ca="1" si="14"/>
        <v>3</v>
      </c>
      <c r="H140" s="11">
        <f t="shared" ca="1" si="21"/>
        <v>100829.82000000002</v>
      </c>
      <c r="I140" s="11">
        <f t="shared" ca="1" si="15"/>
        <v>0</v>
      </c>
      <c r="J140" s="11">
        <f t="shared" ca="1" si="16"/>
        <v>100829.82000000002</v>
      </c>
      <c r="K140" s="11">
        <f t="shared" ca="1" si="17"/>
        <v>196.41</v>
      </c>
      <c r="L140" s="11">
        <f t="shared" ca="1" si="18"/>
        <v>1026.230000000025</v>
      </c>
    </row>
    <row r="141" spans="1:12" x14ac:dyDescent="0.25">
      <c r="A141" s="5">
        <v>126</v>
      </c>
      <c r="B141" s="18">
        <f t="shared" ca="1" si="19"/>
        <v>65.02</v>
      </c>
      <c r="C141" s="33">
        <f t="shared" ca="1" si="11"/>
        <v>-0.45000000000000284</v>
      </c>
      <c r="D141" s="5">
        <f t="shared" ca="1" si="20"/>
        <v>3</v>
      </c>
      <c r="E141" s="5">
        <f t="shared" ca="1" si="12"/>
        <v>0</v>
      </c>
      <c r="F141" s="5">
        <f t="shared" ca="1" si="13"/>
        <v>1</v>
      </c>
      <c r="G141" s="5">
        <f t="shared" ca="1" si="14"/>
        <v>4</v>
      </c>
      <c r="H141" s="11">
        <f t="shared" ca="1" si="21"/>
        <v>100829.82000000002</v>
      </c>
      <c r="I141" s="11">
        <f t="shared" ca="1" si="15"/>
        <v>-65.02</v>
      </c>
      <c r="J141" s="11">
        <f t="shared" ca="1" si="16"/>
        <v>100764.80000000002</v>
      </c>
      <c r="K141" s="11">
        <f t="shared" ca="1" si="17"/>
        <v>260.08</v>
      </c>
      <c r="L141" s="11">
        <f t="shared" ca="1" si="18"/>
        <v>1024.8800000000192</v>
      </c>
    </row>
    <row r="142" spans="1:12" x14ac:dyDescent="0.25">
      <c r="A142" s="5">
        <v>127</v>
      </c>
      <c r="B142" s="18">
        <f t="shared" ca="1" si="19"/>
        <v>65.31</v>
      </c>
      <c r="C142" s="33">
        <f t="shared" ref="C142:C205" ca="1" si="22">B142-B141</f>
        <v>0.29000000000000625</v>
      </c>
      <c r="D142" s="5">
        <f t="shared" ca="1" si="20"/>
        <v>4</v>
      </c>
      <c r="E142" s="5">
        <f t="shared" ca="1" si="12"/>
        <v>0</v>
      </c>
      <c r="F142" s="5">
        <f t="shared" ca="1" si="13"/>
        <v>0</v>
      </c>
      <c r="G142" s="5">
        <f t="shared" ca="1" si="14"/>
        <v>4</v>
      </c>
      <c r="H142" s="11">
        <f t="shared" ca="1" si="21"/>
        <v>100764.80000000002</v>
      </c>
      <c r="I142" s="11">
        <f t="shared" ca="1" si="15"/>
        <v>0</v>
      </c>
      <c r="J142" s="11">
        <f t="shared" ca="1" si="16"/>
        <v>100764.80000000002</v>
      </c>
      <c r="K142" s="11">
        <f t="shared" ca="1" si="17"/>
        <v>261.24</v>
      </c>
      <c r="L142" s="11">
        <f t="shared" ca="1" si="18"/>
        <v>1026.0400000000227</v>
      </c>
    </row>
    <row r="143" spans="1:12" x14ac:dyDescent="0.25">
      <c r="A143" s="5">
        <v>128</v>
      </c>
      <c r="B143" s="18">
        <f t="shared" ca="1" si="19"/>
        <v>68.22</v>
      </c>
      <c r="C143" s="33">
        <f t="shared" ca="1" si="22"/>
        <v>2.9099999999999966</v>
      </c>
      <c r="D143" s="5">
        <f t="shared" ca="1" si="20"/>
        <v>4</v>
      </c>
      <c r="E143" s="5">
        <f t="shared" ca="1" si="12"/>
        <v>0</v>
      </c>
      <c r="F143" s="5">
        <f t="shared" ca="1" si="13"/>
        <v>0</v>
      </c>
      <c r="G143" s="5">
        <f t="shared" ca="1" si="14"/>
        <v>4</v>
      </c>
      <c r="H143" s="11">
        <f t="shared" ca="1" si="21"/>
        <v>100764.80000000002</v>
      </c>
      <c r="I143" s="11">
        <f t="shared" ca="1" si="15"/>
        <v>0</v>
      </c>
      <c r="J143" s="11">
        <f t="shared" ca="1" si="16"/>
        <v>100764.80000000002</v>
      </c>
      <c r="K143" s="11">
        <f t="shared" ca="1" si="17"/>
        <v>272.88</v>
      </c>
      <c r="L143" s="11">
        <f t="shared" ca="1" si="18"/>
        <v>1037.6800000000221</v>
      </c>
    </row>
    <row r="144" spans="1:12" x14ac:dyDescent="0.25">
      <c r="A144" s="5">
        <v>129</v>
      </c>
      <c r="B144" s="18">
        <f t="shared" ca="1" si="19"/>
        <v>65.98</v>
      </c>
      <c r="C144" s="33">
        <f t="shared" ca="1" si="22"/>
        <v>-2.2399999999999949</v>
      </c>
      <c r="D144" s="5">
        <f t="shared" ca="1" si="20"/>
        <v>4</v>
      </c>
      <c r="E144" s="5">
        <f t="shared" ref="E144:E207" ca="1" si="23">IF(AND(C142&gt;0,C143&gt;0,C144&gt;0),ROUND(SellPct3*D144,0),IF(AND(C143&gt;0,C144&gt;0),ROUND(SellPct2*D144,0),0))</f>
        <v>0</v>
      </c>
      <c r="F144" s="5">
        <f t="shared" ref="F144:F207" ca="1" si="24">IF(AND(C142&lt;0,C143&lt;0,C144&lt;0),MIN(ROUND(BuyPct3*D144,0),INT(H144/B144)),IF(AND(C143&lt;0,C144&lt;0),MIN(ROUND(BuyPct2*D144,0),INT(H144/B144)),0))</f>
        <v>0</v>
      </c>
      <c r="G144" s="5">
        <f t="shared" ref="G144:G207" ca="1" si="25">D144-E144+F144</f>
        <v>4</v>
      </c>
      <c r="H144" s="11">
        <f t="shared" ca="1" si="21"/>
        <v>100764.80000000002</v>
      </c>
      <c r="I144" s="11">
        <f t="shared" ref="I144:I207" ca="1" si="26">(E144-F144)*B144</f>
        <v>0</v>
      </c>
      <c r="J144" s="11">
        <f t="shared" ref="J144:J207" ca="1" si="27">H144+I144</f>
        <v>100764.80000000002</v>
      </c>
      <c r="K144" s="11">
        <f t="shared" ref="K144:K207" ca="1" si="28">G144*B144</f>
        <v>263.92</v>
      </c>
      <c r="L144" s="11">
        <f t="shared" ref="L144:L207" ca="1" si="29">(J144+K144)-(InitCash+InitShares*InitPrice)</f>
        <v>1028.7200000000157</v>
      </c>
    </row>
    <row r="145" spans="1:12" x14ac:dyDescent="0.25">
      <c r="A145" s="5">
        <v>130</v>
      </c>
      <c r="B145" s="18">
        <f t="shared" ref="B145:B208" ca="1" si="30">ROUND(B144*EXP((GrMean-0.5*GrStdev^2)+GrStdev*NORMINV(RAND(),0,1)),2)</f>
        <v>67.19</v>
      </c>
      <c r="C145" s="33">
        <f t="shared" ca="1" si="22"/>
        <v>1.2099999999999937</v>
      </c>
      <c r="D145" s="5">
        <f t="shared" ref="D145:D208" ca="1" si="31">G144</f>
        <v>4</v>
      </c>
      <c r="E145" s="5">
        <f t="shared" ca="1" si="23"/>
        <v>0</v>
      </c>
      <c r="F145" s="5">
        <f t="shared" ca="1" si="24"/>
        <v>0</v>
      </c>
      <c r="G145" s="5">
        <f t="shared" ca="1" si="25"/>
        <v>4</v>
      </c>
      <c r="H145" s="11">
        <f t="shared" ref="H145:H208" ca="1" si="32">J144</f>
        <v>100764.80000000002</v>
      </c>
      <c r="I145" s="11">
        <f t="shared" ca="1" si="26"/>
        <v>0</v>
      </c>
      <c r="J145" s="11">
        <f t="shared" ca="1" si="27"/>
        <v>100764.80000000002</v>
      </c>
      <c r="K145" s="11">
        <f t="shared" ca="1" si="28"/>
        <v>268.76</v>
      </c>
      <c r="L145" s="11">
        <f t="shared" ca="1" si="29"/>
        <v>1033.5600000000122</v>
      </c>
    </row>
    <row r="146" spans="1:12" x14ac:dyDescent="0.25">
      <c r="A146" s="5">
        <v>131</v>
      </c>
      <c r="B146" s="18">
        <f t="shared" ca="1" si="30"/>
        <v>69.319999999999993</v>
      </c>
      <c r="C146" s="33">
        <f t="shared" ca="1" si="22"/>
        <v>2.1299999999999955</v>
      </c>
      <c r="D146" s="5">
        <f t="shared" ca="1" si="31"/>
        <v>4</v>
      </c>
      <c r="E146" s="5">
        <f t="shared" ca="1" si="23"/>
        <v>0</v>
      </c>
      <c r="F146" s="5">
        <f t="shared" ca="1" si="24"/>
        <v>0</v>
      </c>
      <c r="G146" s="5">
        <f t="shared" ca="1" si="25"/>
        <v>4</v>
      </c>
      <c r="H146" s="11">
        <f t="shared" ca="1" si="32"/>
        <v>100764.80000000002</v>
      </c>
      <c r="I146" s="11">
        <f t="shared" ca="1" si="26"/>
        <v>0</v>
      </c>
      <c r="J146" s="11">
        <f t="shared" ca="1" si="27"/>
        <v>100764.80000000002</v>
      </c>
      <c r="K146" s="11">
        <f t="shared" ca="1" si="28"/>
        <v>277.27999999999997</v>
      </c>
      <c r="L146" s="11">
        <f t="shared" ca="1" si="29"/>
        <v>1042.0800000000163</v>
      </c>
    </row>
    <row r="147" spans="1:12" x14ac:dyDescent="0.25">
      <c r="A147" s="5">
        <v>132</v>
      </c>
      <c r="B147" s="18">
        <f t="shared" ca="1" si="30"/>
        <v>71.03</v>
      </c>
      <c r="C147" s="33">
        <f t="shared" ca="1" si="22"/>
        <v>1.710000000000008</v>
      </c>
      <c r="D147" s="5">
        <f t="shared" ca="1" si="31"/>
        <v>4</v>
      </c>
      <c r="E147" s="5">
        <f t="shared" ca="1" si="23"/>
        <v>1</v>
      </c>
      <c r="F147" s="5">
        <f t="shared" ca="1" si="24"/>
        <v>0</v>
      </c>
      <c r="G147" s="5">
        <f t="shared" ca="1" si="25"/>
        <v>3</v>
      </c>
      <c r="H147" s="11">
        <f t="shared" ca="1" si="32"/>
        <v>100764.80000000002</v>
      </c>
      <c r="I147" s="11">
        <f t="shared" ca="1" si="26"/>
        <v>71.03</v>
      </c>
      <c r="J147" s="11">
        <f t="shared" ca="1" si="27"/>
        <v>100835.83000000002</v>
      </c>
      <c r="K147" s="11">
        <f t="shared" ca="1" si="28"/>
        <v>213.09</v>
      </c>
      <c r="L147" s="11">
        <f t="shared" ca="1" si="29"/>
        <v>1048.9200000000128</v>
      </c>
    </row>
    <row r="148" spans="1:12" x14ac:dyDescent="0.25">
      <c r="A148" s="5">
        <v>133</v>
      </c>
      <c r="B148" s="18">
        <f t="shared" ca="1" si="30"/>
        <v>69.55</v>
      </c>
      <c r="C148" s="33">
        <f t="shared" ca="1" si="22"/>
        <v>-1.480000000000004</v>
      </c>
      <c r="D148" s="5">
        <f t="shared" ca="1" si="31"/>
        <v>3</v>
      </c>
      <c r="E148" s="5">
        <f t="shared" ca="1" si="23"/>
        <v>0</v>
      </c>
      <c r="F148" s="5">
        <f t="shared" ca="1" si="24"/>
        <v>0</v>
      </c>
      <c r="G148" s="5">
        <f t="shared" ca="1" si="25"/>
        <v>3</v>
      </c>
      <c r="H148" s="11">
        <f t="shared" ca="1" si="32"/>
        <v>100835.83000000002</v>
      </c>
      <c r="I148" s="11">
        <f t="shared" ca="1" si="26"/>
        <v>0</v>
      </c>
      <c r="J148" s="11">
        <f t="shared" ca="1" si="27"/>
        <v>100835.83000000002</v>
      </c>
      <c r="K148" s="11">
        <f t="shared" ca="1" si="28"/>
        <v>208.64999999999998</v>
      </c>
      <c r="L148" s="11">
        <f t="shared" ca="1" si="29"/>
        <v>1044.4800000000105</v>
      </c>
    </row>
    <row r="149" spans="1:12" x14ac:dyDescent="0.25">
      <c r="A149" s="5">
        <v>134</v>
      </c>
      <c r="B149" s="18">
        <f t="shared" ca="1" si="30"/>
        <v>70.53</v>
      </c>
      <c r="C149" s="33">
        <f t="shared" ca="1" si="22"/>
        <v>0.98000000000000398</v>
      </c>
      <c r="D149" s="5">
        <f t="shared" ca="1" si="31"/>
        <v>3</v>
      </c>
      <c r="E149" s="5">
        <f t="shared" ca="1" si="23"/>
        <v>0</v>
      </c>
      <c r="F149" s="5">
        <f t="shared" ca="1" si="24"/>
        <v>0</v>
      </c>
      <c r="G149" s="5">
        <f t="shared" ca="1" si="25"/>
        <v>3</v>
      </c>
      <c r="H149" s="11">
        <f t="shared" ca="1" si="32"/>
        <v>100835.83000000002</v>
      </c>
      <c r="I149" s="11">
        <f t="shared" ca="1" si="26"/>
        <v>0</v>
      </c>
      <c r="J149" s="11">
        <f t="shared" ca="1" si="27"/>
        <v>100835.83000000002</v>
      </c>
      <c r="K149" s="11">
        <f t="shared" ca="1" si="28"/>
        <v>211.59</v>
      </c>
      <c r="L149" s="11">
        <f t="shared" ca="1" si="29"/>
        <v>1047.4200000000128</v>
      </c>
    </row>
    <row r="150" spans="1:12" x14ac:dyDescent="0.25">
      <c r="A150" s="5">
        <v>135</v>
      </c>
      <c r="B150" s="18">
        <f t="shared" ca="1" si="30"/>
        <v>70.92</v>
      </c>
      <c r="C150" s="33">
        <f t="shared" ca="1" si="22"/>
        <v>0.39000000000000057</v>
      </c>
      <c r="D150" s="5">
        <f t="shared" ca="1" si="31"/>
        <v>3</v>
      </c>
      <c r="E150" s="5">
        <f t="shared" ca="1" si="23"/>
        <v>0</v>
      </c>
      <c r="F150" s="5">
        <f t="shared" ca="1" si="24"/>
        <v>0</v>
      </c>
      <c r="G150" s="5">
        <f t="shared" ca="1" si="25"/>
        <v>3</v>
      </c>
      <c r="H150" s="11">
        <f t="shared" ca="1" si="32"/>
        <v>100835.83000000002</v>
      </c>
      <c r="I150" s="11">
        <f t="shared" ca="1" si="26"/>
        <v>0</v>
      </c>
      <c r="J150" s="11">
        <f t="shared" ca="1" si="27"/>
        <v>100835.83000000002</v>
      </c>
      <c r="K150" s="11">
        <f t="shared" ca="1" si="28"/>
        <v>212.76</v>
      </c>
      <c r="L150" s="11">
        <f t="shared" ca="1" si="29"/>
        <v>1048.5900000000111</v>
      </c>
    </row>
    <row r="151" spans="1:12" x14ac:dyDescent="0.25">
      <c r="A151" s="5">
        <v>136</v>
      </c>
      <c r="B151" s="18">
        <f t="shared" ca="1" si="30"/>
        <v>71.849999999999994</v>
      </c>
      <c r="C151" s="33">
        <f t="shared" ca="1" si="22"/>
        <v>0.92999999999999261</v>
      </c>
      <c r="D151" s="5">
        <f t="shared" ca="1" si="31"/>
        <v>3</v>
      </c>
      <c r="E151" s="5">
        <f t="shared" ca="1" si="23"/>
        <v>1</v>
      </c>
      <c r="F151" s="5">
        <f t="shared" ca="1" si="24"/>
        <v>0</v>
      </c>
      <c r="G151" s="5">
        <f t="shared" ca="1" si="25"/>
        <v>2</v>
      </c>
      <c r="H151" s="11">
        <f t="shared" ca="1" si="32"/>
        <v>100835.83000000002</v>
      </c>
      <c r="I151" s="11">
        <f t="shared" ca="1" si="26"/>
        <v>71.849999999999994</v>
      </c>
      <c r="J151" s="11">
        <f t="shared" ca="1" si="27"/>
        <v>100907.68000000002</v>
      </c>
      <c r="K151" s="11">
        <f t="shared" ca="1" si="28"/>
        <v>143.69999999999999</v>
      </c>
      <c r="L151" s="11">
        <f t="shared" ca="1" si="29"/>
        <v>1051.3800000000192</v>
      </c>
    </row>
    <row r="152" spans="1:12" x14ac:dyDescent="0.25">
      <c r="A152" s="5">
        <v>137</v>
      </c>
      <c r="B152" s="18">
        <f t="shared" ca="1" si="30"/>
        <v>70.540000000000006</v>
      </c>
      <c r="C152" s="33">
        <f t="shared" ca="1" si="22"/>
        <v>-1.3099999999999881</v>
      </c>
      <c r="D152" s="5">
        <f t="shared" ca="1" si="31"/>
        <v>2</v>
      </c>
      <c r="E152" s="5">
        <f t="shared" ca="1" si="23"/>
        <v>0</v>
      </c>
      <c r="F152" s="5">
        <f t="shared" ca="1" si="24"/>
        <v>0</v>
      </c>
      <c r="G152" s="5">
        <f t="shared" ca="1" si="25"/>
        <v>2</v>
      </c>
      <c r="H152" s="11">
        <f t="shared" ca="1" si="32"/>
        <v>100907.68000000002</v>
      </c>
      <c r="I152" s="11">
        <f t="shared" ca="1" si="26"/>
        <v>0</v>
      </c>
      <c r="J152" s="11">
        <f t="shared" ca="1" si="27"/>
        <v>100907.68000000002</v>
      </c>
      <c r="K152" s="11">
        <f t="shared" ca="1" si="28"/>
        <v>141.08000000000001</v>
      </c>
      <c r="L152" s="11">
        <f t="shared" ca="1" si="29"/>
        <v>1048.7600000000239</v>
      </c>
    </row>
    <row r="153" spans="1:12" x14ac:dyDescent="0.25">
      <c r="A153" s="5">
        <v>138</v>
      </c>
      <c r="B153" s="18">
        <f t="shared" ca="1" si="30"/>
        <v>68.290000000000006</v>
      </c>
      <c r="C153" s="33">
        <f t="shared" ca="1" si="22"/>
        <v>-2.25</v>
      </c>
      <c r="D153" s="5">
        <f t="shared" ca="1" si="31"/>
        <v>2</v>
      </c>
      <c r="E153" s="5">
        <f t="shared" ca="1" si="23"/>
        <v>0</v>
      </c>
      <c r="F153" s="5">
        <f t="shared" ca="1" si="24"/>
        <v>0</v>
      </c>
      <c r="G153" s="5">
        <f t="shared" ca="1" si="25"/>
        <v>2</v>
      </c>
      <c r="H153" s="11">
        <f t="shared" ca="1" si="32"/>
        <v>100907.68000000002</v>
      </c>
      <c r="I153" s="11">
        <f t="shared" ca="1" si="26"/>
        <v>0</v>
      </c>
      <c r="J153" s="11">
        <f t="shared" ca="1" si="27"/>
        <v>100907.68000000002</v>
      </c>
      <c r="K153" s="11">
        <f t="shared" ca="1" si="28"/>
        <v>136.58000000000001</v>
      </c>
      <c r="L153" s="11">
        <f t="shared" ca="1" si="29"/>
        <v>1044.2600000000239</v>
      </c>
    </row>
    <row r="154" spans="1:12" x14ac:dyDescent="0.25">
      <c r="A154" s="5">
        <v>139</v>
      </c>
      <c r="B154" s="18">
        <f t="shared" ca="1" si="30"/>
        <v>66.33</v>
      </c>
      <c r="C154" s="33">
        <f t="shared" ca="1" si="22"/>
        <v>-1.960000000000008</v>
      </c>
      <c r="D154" s="5">
        <f t="shared" ca="1" si="31"/>
        <v>2</v>
      </c>
      <c r="E154" s="5">
        <f t="shared" ca="1" si="23"/>
        <v>0</v>
      </c>
      <c r="F154" s="5">
        <f t="shared" ca="1" si="24"/>
        <v>1</v>
      </c>
      <c r="G154" s="5">
        <f t="shared" ca="1" si="25"/>
        <v>3</v>
      </c>
      <c r="H154" s="11">
        <f t="shared" ca="1" si="32"/>
        <v>100907.68000000002</v>
      </c>
      <c r="I154" s="11">
        <f t="shared" ca="1" si="26"/>
        <v>-66.33</v>
      </c>
      <c r="J154" s="11">
        <f t="shared" ca="1" si="27"/>
        <v>100841.35000000002</v>
      </c>
      <c r="K154" s="11">
        <f t="shared" ca="1" si="28"/>
        <v>198.99</v>
      </c>
      <c r="L154" s="11">
        <f t="shared" ca="1" si="29"/>
        <v>1040.3400000000256</v>
      </c>
    </row>
    <row r="155" spans="1:12" x14ac:dyDescent="0.25">
      <c r="A155" s="5">
        <v>140</v>
      </c>
      <c r="B155" s="18">
        <f t="shared" ca="1" si="30"/>
        <v>65.650000000000006</v>
      </c>
      <c r="C155" s="33">
        <f t="shared" ca="1" si="22"/>
        <v>-0.67999999999999261</v>
      </c>
      <c r="D155" s="5">
        <f t="shared" ca="1" si="31"/>
        <v>3</v>
      </c>
      <c r="E155" s="5">
        <f t="shared" ca="1" si="23"/>
        <v>0</v>
      </c>
      <c r="F155" s="5">
        <f t="shared" ca="1" si="24"/>
        <v>1</v>
      </c>
      <c r="G155" s="5">
        <f t="shared" ca="1" si="25"/>
        <v>4</v>
      </c>
      <c r="H155" s="11">
        <f t="shared" ca="1" si="32"/>
        <v>100841.35000000002</v>
      </c>
      <c r="I155" s="11">
        <f t="shared" ca="1" si="26"/>
        <v>-65.650000000000006</v>
      </c>
      <c r="J155" s="11">
        <f t="shared" ca="1" si="27"/>
        <v>100775.70000000003</v>
      </c>
      <c r="K155" s="11">
        <f t="shared" ca="1" si="28"/>
        <v>262.60000000000002</v>
      </c>
      <c r="L155" s="11">
        <f t="shared" ca="1" si="29"/>
        <v>1038.300000000032</v>
      </c>
    </row>
    <row r="156" spans="1:12" x14ac:dyDescent="0.25">
      <c r="A156" s="5">
        <v>141</v>
      </c>
      <c r="B156" s="18">
        <f t="shared" ca="1" si="30"/>
        <v>64.91</v>
      </c>
      <c r="C156" s="33">
        <f t="shared" ca="1" si="22"/>
        <v>-0.74000000000000909</v>
      </c>
      <c r="D156" s="5">
        <f t="shared" ca="1" si="31"/>
        <v>4</v>
      </c>
      <c r="E156" s="5">
        <f t="shared" ca="1" si="23"/>
        <v>0</v>
      </c>
      <c r="F156" s="5">
        <f t="shared" ca="1" si="24"/>
        <v>1</v>
      </c>
      <c r="G156" s="5">
        <f t="shared" ca="1" si="25"/>
        <v>5</v>
      </c>
      <c r="H156" s="11">
        <f t="shared" ca="1" si="32"/>
        <v>100775.70000000003</v>
      </c>
      <c r="I156" s="11">
        <f t="shared" ca="1" si="26"/>
        <v>-64.91</v>
      </c>
      <c r="J156" s="11">
        <f t="shared" ca="1" si="27"/>
        <v>100710.79000000002</v>
      </c>
      <c r="K156" s="11">
        <f t="shared" ca="1" si="28"/>
        <v>324.54999999999995</v>
      </c>
      <c r="L156" s="11">
        <f t="shared" ca="1" si="29"/>
        <v>1035.3400000000256</v>
      </c>
    </row>
    <row r="157" spans="1:12" x14ac:dyDescent="0.25">
      <c r="A157" s="5">
        <v>142</v>
      </c>
      <c r="B157" s="18">
        <f t="shared" ca="1" si="30"/>
        <v>65.73</v>
      </c>
      <c r="C157" s="33">
        <f t="shared" ca="1" si="22"/>
        <v>0.82000000000000739</v>
      </c>
      <c r="D157" s="5">
        <f t="shared" ca="1" si="31"/>
        <v>5</v>
      </c>
      <c r="E157" s="5">
        <f t="shared" ca="1" si="23"/>
        <v>0</v>
      </c>
      <c r="F157" s="5">
        <f t="shared" ca="1" si="24"/>
        <v>0</v>
      </c>
      <c r="G157" s="5">
        <f t="shared" ca="1" si="25"/>
        <v>5</v>
      </c>
      <c r="H157" s="11">
        <f t="shared" ca="1" si="32"/>
        <v>100710.79000000002</v>
      </c>
      <c r="I157" s="11">
        <f t="shared" ca="1" si="26"/>
        <v>0</v>
      </c>
      <c r="J157" s="11">
        <f t="shared" ca="1" si="27"/>
        <v>100710.79000000002</v>
      </c>
      <c r="K157" s="11">
        <f t="shared" ca="1" si="28"/>
        <v>328.65000000000003</v>
      </c>
      <c r="L157" s="11">
        <f t="shared" ca="1" si="29"/>
        <v>1039.4400000000169</v>
      </c>
    </row>
    <row r="158" spans="1:12" x14ac:dyDescent="0.25">
      <c r="A158" s="5">
        <v>143</v>
      </c>
      <c r="B158" s="18">
        <f t="shared" ca="1" si="30"/>
        <v>65.540000000000006</v>
      </c>
      <c r="C158" s="33">
        <f t="shared" ca="1" si="22"/>
        <v>-0.18999999999999773</v>
      </c>
      <c r="D158" s="5">
        <f t="shared" ca="1" si="31"/>
        <v>5</v>
      </c>
      <c r="E158" s="5">
        <f t="shared" ca="1" si="23"/>
        <v>0</v>
      </c>
      <c r="F158" s="5">
        <f t="shared" ca="1" si="24"/>
        <v>0</v>
      </c>
      <c r="G158" s="5">
        <f t="shared" ca="1" si="25"/>
        <v>5</v>
      </c>
      <c r="H158" s="11">
        <f t="shared" ca="1" si="32"/>
        <v>100710.79000000002</v>
      </c>
      <c r="I158" s="11">
        <f t="shared" ca="1" si="26"/>
        <v>0</v>
      </c>
      <c r="J158" s="11">
        <f t="shared" ca="1" si="27"/>
        <v>100710.79000000002</v>
      </c>
      <c r="K158" s="11">
        <f t="shared" ca="1" si="28"/>
        <v>327.70000000000005</v>
      </c>
      <c r="L158" s="11">
        <f t="shared" ca="1" si="29"/>
        <v>1038.4900000000198</v>
      </c>
    </row>
    <row r="159" spans="1:12" x14ac:dyDescent="0.25">
      <c r="A159" s="5">
        <v>144</v>
      </c>
      <c r="B159" s="18">
        <f t="shared" ca="1" si="30"/>
        <v>64.989999999999995</v>
      </c>
      <c r="C159" s="33">
        <f t="shared" ca="1" si="22"/>
        <v>-0.55000000000001137</v>
      </c>
      <c r="D159" s="5">
        <f t="shared" ca="1" si="31"/>
        <v>5</v>
      </c>
      <c r="E159" s="5">
        <f t="shared" ca="1" si="23"/>
        <v>0</v>
      </c>
      <c r="F159" s="5">
        <f t="shared" ca="1" si="24"/>
        <v>1</v>
      </c>
      <c r="G159" s="5">
        <f t="shared" ca="1" si="25"/>
        <v>6</v>
      </c>
      <c r="H159" s="11">
        <f t="shared" ca="1" si="32"/>
        <v>100710.79000000002</v>
      </c>
      <c r="I159" s="11">
        <f t="shared" ca="1" si="26"/>
        <v>-64.989999999999995</v>
      </c>
      <c r="J159" s="11">
        <f t="shared" ca="1" si="27"/>
        <v>100645.80000000002</v>
      </c>
      <c r="K159" s="11">
        <f t="shared" ca="1" si="28"/>
        <v>389.93999999999994</v>
      </c>
      <c r="L159" s="11">
        <f t="shared" ca="1" si="29"/>
        <v>1035.7400000000198</v>
      </c>
    </row>
    <row r="160" spans="1:12" x14ac:dyDescent="0.25">
      <c r="A160" s="5">
        <v>145</v>
      </c>
      <c r="B160" s="18">
        <f t="shared" ca="1" si="30"/>
        <v>64.95</v>
      </c>
      <c r="C160" s="33">
        <f t="shared" ca="1" si="22"/>
        <v>-3.9999999999992042E-2</v>
      </c>
      <c r="D160" s="5">
        <f t="shared" ca="1" si="31"/>
        <v>6</v>
      </c>
      <c r="E160" s="5">
        <f t="shared" ca="1" si="23"/>
        <v>0</v>
      </c>
      <c r="F160" s="5">
        <f t="shared" ca="1" si="24"/>
        <v>2</v>
      </c>
      <c r="G160" s="5">
        <f t="shared" ca="1" si="25"/>
        <v>8</v>
      </c>
      <c r="H160" s="11">
        <f t="shared" ca="1" si="32"/>
        <v>100645.80000000002</v>
      </c>
      <c r="I160" s="11">
        <f t="shared" ca="1" si="26"/>
        <v>-129.9</v>
      </c>
      <c r="J160" s="11">
        <f t="shared" ca="1" si="27"/>
        <v>100515.90000000002</v>
      </c>
      <c r="K160" s="11">
        <f t="shared" ca="1" si="28"/>
        <v>519.6</v>
      </c>
      <c r="L160" s="11">
        <f t="shared" ca="1" si="29"/>
        <v>1035.5000000000291</v>
      </c>
    </row>
    <row r="161" spans="1:12" x14ac:dyDescent="0.25">
      <c r="A161" s="5">
        <v>146</v>
      </c>
      <c r="B161" s="18">
        <f t="shared" ca="1" si="30"/>
        <v>65.64</v>
      </c>
      <c r="C161" s="33">
        <f t="shared" ca="1" si="22"/>
        <v>0.68999999999999773</v>
      </c>
      <c r="D161" s="5">
        <f t="shared" ca="1" si="31"/>
        <v>8</v>
      </c>
      <c r="E161" s="5">
        <f t="shared" ca="1" si="23"/>
        <v>0</v>
      </c>
      <c r="F161" s="5">
        <f t="shared" ca="1" si="24"/>
        <v>0</v>
      </c>
      <c r="G161" s="5">
        <f t="shared" ca="1" si="25"/>
        <v>8</v>
      </c>
      <c r="H161" s="11">
        <f t="shared" ca="1" si="32"/>
        <v>100515.90000000002</v>
      </c>
      <c r="I161" s="11">
        <f t="shared" ca="1" si="26"/>
        <v>0</v>
      </c>
      <c r="J161" s="11">
        <f t="shared" ca="1" si="27"/>
        <v>100515.90000000002</v>
      </c>
      <c r="K161" s="11">
        <f t="shared" ca="1" si="28"/>
        <v>525.12</v>
      </c>
      <c r="L161" s="11">
        <f t="shared" ca="1" si="29"/>
        <v>1041.0200000000186</v>
      </c>
    </row>
    <row r="162" spans="1:12" x14ac:dyDescent="0.25">
      <c r="A162" s="5">
        <v>147</v>
      </c>
      <c r="B162" s="18">
        <f t="shared" ca="1" si="30"/>
        <v>63.54</v>
      </c>
      <c r="C162" s="33">
        <f t="shared" ca="1" si="22"/>
        <v>-2.1000000000000014</v>
      </c>
      <c r="D162" s="5">
        <f t="shared" ca="1" si="31"/>
        <v>8</v>
      </c>
      <c r="E162" s="5">
        <f t="shared" ca="1" si="23"/>
        <v>0</v>
      </c>
      <c r="F162" s="5">
        <f t="shared" ca="1" si="24"/>
        <v>0</v>
      </c>
      <c r="G162" s="5">
        <f t="shared" ca="1" si="25"/>
        <v>8</v>
      </c>
      <c r="H162" s="11">
        <f t="shared" ca="1" si="32"/>
        <v>100515.90000000002</v>
      </c>
      <c r="I162" s="11">
        <f t="shared" ca="1" si="26"/>
        <v>0</v>
      </c>
      <c r="J162" s="11">
        <f t="shared" ca="1" si="27"/>
        <v>100515.90000000002</v>
      </c>
      <c r="K162" s="11">
        <f t="shared" ca="1" si="28"/>
        <v>508.32</v>
      </c>
      <c r="L162" s="11">
        <f t="shared" ca="1" si="29"/>
        <v>1024.2200000000303</v>
      </c>
    </row>
    <row r="163" spans="1:12" x14ac:dyDescent="0.25">
      <c r="A163" s="5">
        <v>148</v>
      </c>
      <c r="B163" s="18">
        <f t="shared" ca="1" si="30"/>
        <v>64.55</v>
      </c>
      <c r="C163" s="33">
        <f t="shared" ca="1" si="22"/>
        <v>1.009999999999998</v>
      </c>
      <c r="D163" s="5">
        <f t="shared" ca="1" si="31"/>
        <v>8</v>
      </c>
      <c r="E163" s="5">
        <f t="shared" ca="1" si="23"/>
        <v>0</v>
      </c>
      <c r="F163" s="5">
        <f t="shared" ca="1" si="24"/>
        <v>0</v>
      </c>
      <c r="G163" s="5">
        <f t="shared" ca="1" si="25"/>
        <v>8</v>
      </c>
      <c r="H163" s="11">
        <f t="shared" ca="1" si="32"/>
        <v>100515.90000000002</v>
      </c>
      <c r="I163" s="11">
        <f t="shared" ca="1" si="26"/>
        <v>0</v>
      </c>
      <c r="J163" s="11">
        <f t="shared" ca="1" si="27"/>
        <v>100515.90000000002</v>
      </c>
      <c r="K163" s="11">
        <f t="shared" ca="1" si="28"/>
        <v>516.4</v>
      </c>
      <c r="L163" s="11">
        <f t="shared" ca="1" si="29"/>
        <v>1032.3000000000175</v>
      </c>
    </row>
    <row r="164" spans="1:12" x14ac:dyDescent="0.25">
      <c r="A164" s="5">
        <v>149</v>
      </c>
      <c r="B164" s="18">
        <f t="shared" ca="1" si="30"/>
        <v>65.86</v>
      </c>
      <c r="C164" s="33">
        <f t="shared" ca="1" si="22"/>
        <v>1.3100000000000023</v>
      </c>
      <c r="D164" s="5">
        <f t="shared" ca="1" si="31"/>
        <v>8</v>
      </c>
      <c r="E164" s="5">
        <f t="shared" ca="1" si="23"/>
        <v>1</v>
      </c>
      <c r="F164" s="5">
        <f t="shared" ca="1" si="24"/>
        <v>0</v>
      </c>
      <c r="G164" s="5">
        <f t="shared" ca="1" si="25"/>
        <v>7</v>
      </c>
      <c r="H164" s="11">
        <f t="shared" ca="1" si="32"/>
        <v>100515.90000000002</v>
      </c>
      <c r="I164" s="11">
        <f t="shared" ca="1" si="26"/>
        <v>65.86</v>
      </c>
      <c r="J164" s="11">
        <f t="shared" ca="1" si="27"/>
        <v>100581.76000000002</v>
      </c>
      <c r="K164" s="11">
        <f t="shared" ca="1" si="28"/>
        <v>461.02</v>
      </c>
      <c r="L164" s="11">
        <f t="shared" ca="1" si="29"/>
        <v>1042.7800000000279</v>
      </c>
    </row>
    <row r="165" spans="1:12" x14ac:dyDescent="0.25">
      <c r="A165" s="5">
        <v>150</v>
      </c>
      <c r="B165" s="18">
        <f t="shared" ca="1" si="30"/>
        <v>65.95</v>
      </c>
      <c r="C165" s="33">
        <f t="shared" ca="1" si="22"/>
        <v>9.0000000000003411E-2</v>
      </c>
      <c r="D165" s="5">
        <f t="shared" ca="1" si="31"/>
        <v>7</v>
      </c>
      <c r="E165" s="5">
        <f t="shared" ca="1" si="23"/>
        <v>2</v>
      </c>
      <c r="F165" s="5">
        <f t="shared" ca="1" si="24"/>
        <v>0</v>
      </c>
      <c r="G165" s="5">
        <f t="shared" ca="1" si="25"/>
        <v>5</v>
      </c>
      <c r="H165" s="11">
        <f t="shared" ca="1" si="32"/>
        <v>100581.76000000002</v>
      </c>
      <c r="I165" s="11">
        <f t="shared" ca="1" si="26"/>
        <v>131.9</v>
      </c>
      <c r="J165" s="11">
        <f t="shared" ca="1" si="27"/>
        <v>100713.66000000002</v>
      </c>
      <c r="K165" s="11">
        <f t="shared" ca="1" si="28"/>
        <v>329.75</v>
      </c>
      <c r="L165" s="11">
        <f t="shared" ca="1" si="29"/>
        <v>1043.410000000018</v>
      </c>
    </row>
    <row r="166" spans="1:12" x14ac:dyDescent="0.25">
      <c r="A166" s="5">
        <v>151</v>
      </c>
      <c r="B166" s="18">
        <f t="shared" ca="1" si="30"/>
        <v>68.53</v>
      </c>
      <c r="C166" s="33">
        <f t="shared" ca="1" si="22"/>
        <v>2.5799999999999983</v>
      </c>
      <c r="D166" s="5">
        <f t="shared" ca="1" si="31"/>
        <v>5</v>
      </c>
      <c r="E166" s="5">
        <f t="shared" ca="1" si="23"/>
        <v>1</v>
      </c>
      <c r="F166" s="5">
        <f t="shared" ca="1" si="24"/>
        <v>0</v>
      </c>
      <c r="G166" s="5">
        <f t="shared" ca="1" si="25"/>
        <v>4</v>
      </c>
      <c r="H166" s="11">
        <f t="shared" ca="1" si="32"/>
        <v>100713.66000000002</v>
      </c>
      <c r="I166" s="11">
        <f t="shared" ca="1" si="26"/>
        <v>68.53</v>
      </c>
      <c r="J166" s="11">
        <f t="shared" ca="1" si="27"/>
        <v>100782.19000000002</v>
      </c>
      <c r="K166" s="11">
        <f t="shared" ca="1" si="28"/>
        <v>274.12</v>
      </c>
      <c r="L166" s="11">
        <f t="shared" ca="1" si="29"/>
        <v>1056.3100000000122</v>
      </c>
    </row>
    <row r="167" spans="1:12" x14ac:dyDescent="0.25">
      <c r="A167" s="5">
        <v>152</v>
      </c>
      <c r="B167" s="18">
        <f t="shared" ca="1" si="30"/>
        <v>67.56</v>
      </c>
      <c r="C167" s="33">
        <f t="shared" ca="1" si="22"/>
        <v>-0.96999999999999886</v>
      </c>
      <c r="D167" s="5">
        <f t="shared" ca="1" si="31"/>
        <v>4</v>
      </c>
      <c r="E167" s="5">
        <f t="shared" ca="1" si="23"/>
        <v>0</v>
      </c>
      <c r="F167" s="5">
        <f t="shared" ca="1" si="24"/>
        <v>0</v>
      </c>
      <c r="G167" s="5">
        <f t="shared" ca="1" si="25"/>
        <v>4</v>
      </c>
      <c r="H167" s="11">
        <f t="shared" ca="1" si="32"/>
        <v>100782.19000000002</v>
      </c>
      <c r="I167" s="11">
        <f t="shared" ca="1" si="26"/>
        <v>0</v>
      </c>
      <c r="J167" s="11">
        <f t="shared" ca="1" si="27"/>
        <v>100782.19000000002</v>
      </c>
      <c r="K167" s="11">
        <f t="shared" ca="1" si="28"/>
        <v>270.24</v>
      </c>
      <c r="L167" s="11">
        <f t="shared" ca="1" si="29"/>
        <v>1052.4300000000221</v>
      </c>
    </row>
    <row r="168" spans="1:12" x14ac:dyDescent="0.25">
      <c r="A168" s="5">
        <v>153</v>
      </c>
      <c r="B168" s="18">
        <f t="shared" ca="1" si="30"/>
        <v>68.38</v>
      </c>
      <c r="C168" s="33">
        <f t="shared" ca="1" si="22"/>
        <v>0.81999999999999318</v>
      </c>
      <c r="D168" s="5">
        <f t="shared" ca="1" si="31"/>
        <v>4</v>
      </c>
      <c r="E168" s="5">
        <f t="shared" ca="1" si="23"/>
        <v>0</v>
      </c>
      <c r="F168" s="5">
        <f t="shared" ca="1" si="24"/>
        <v>0</v>
      </c>
      <c r="G168" s="5">
        <f t="shared" ca="1" si="25"/>
        <v>4</v>
      </c>
      <c r="H168" s="11">
        <f t="shared" ca="1" si="32"/>
        <v>100782.19000000002</v>
      </c>
      <c r="I168" s="11">
        <f t="shared" ca="1" si="26"/>
        <v>0</v>
      </c>
      <c r="J168" s="11">
        <f t="shared" ca="1" si="27"/>
        <v>100782.19000000002</v>
      </c>
      <c r="K168" s="11">
        <f t="shared" ca="1" si="28"/>
        <v>273.52</v>
      </c>
      <c r="L168" s="11">
        <f t="shared" ca="1" si="29"/>
        <v>1055.710000000021</v>
      </c>
    </row>
    <row r="169" spans="1:12" x14ac:dyDescent="0.25">
      <c r="A169" s="5">
        <v>154</v>
      </c>
      <c r="B169" s="18">
        <f t="shared" ca="1" si="30"/>
        <v>68.959999999999994</v>
      </c>
      <c r="C169" s="33">
        <f t="shared" ca="1" si="22"/>
        <v>0.57999999999999829</v>
      </c>
      <c r="D169" s="5">
        <f t="shared" ca="1" si="31"/>
        <v>4</v>
      </c>
      <c r="E169" s="5">
        <f t="shared" ca="1" si="23"/>
        <v>0</v>
      </c>
      <c r="F169" s="5">
        <f t="shared" ca="1" si="24"/>
        <v>0</v>
      </c>
      <c r="G169" s="5">
        <f t="shared" ca="1" si="25"/>
        <v>4</v>
      </c>
      <c r="H169" s="11">
        <f t="shared" ca="1" si="32"/>
        <v>100782.19000000002</v>
      </c>
      <c r="I169" s="11">
        <f t="shared" ca="1" si="26"/>
        <v>0</v>
      </c>
      <c r="J169" s="11">
        <f t="shared" ca="1" si="27"/>
        <v>100782.19000000002</v>
      </c>
      <c r="K169" s="11">
        <f t="shared" ca="1" si="28"/>
        <v>275.83999999999997</v>
      </c>
      <c r="L169" s="11">
        <f t="shared" ca="1" si="29"/>
        <v>1058.0300000000134</v>
      </c>
    </row>
    <row r="170" spans="1:12" x14ac:dyDescent="0.25">
      <c r="A170" s="5">
        <v>155</v>
      </c>
      <c r="B170" s="18">
        <f t="shared" ca="1" si="30"/>
        <v>67.75</v>
      </c>
      <c r="C170" s="33">
        <f t="shared" ca="1" si="22"/>
        <v>-1.2099999999999937</v>
      </c>
      <c r="D170" s="5">
        <f t="shared" ca="1" si="31"/>
        <v>4</v>
      </c>
      <c r="E170" s="5">
        <f t="shared" ca="1" si="23"/>
        <v>0</v>
      </c>
      <c r="F170" s="5">
        <f t="shared" ca="1" si="24"/>
        <v>0</v>
      </c>
      <c r="G170" s="5">
        <f t="shared" ca="1" si="25"/>
        <v>4</v>
      </c>
      <c r="H170" s="11">
        <f t="shared" ca="1" si="32"/>
        <v>100782.19000000002</v>
      </c>
      <c r="I170" s="11">
        <f t="shared" ca="1" si="26"/>
        <v>0</v>
      </c>
      <c r="J170" s="11">
        <f t="shared" ca="1" si="27"/>
        <v>100782.19000000002</v>
      </c>
      <c r="K170" s="11">
        <f t="shared" ca="1" si="28"/>
        <v>271</v>
      </c>
      <c r="L170" s="11">
        <f t="shared" ca="1" si="29"/>
        <v>1053.1900000000169</v>
      </c>
    </row>
    <row r="171" spans="1:12" x14ac:dyDescent="0.25">
      <c r="A171" s="5">
        <v>156</v>
      </c>
      <c r="B171" s="18">
        <f t="shared" ca="1" si="30"/>
        <v>67.430000000000007</v>
      </c>
      <c r="C171" s="33">
        <f t="shared" ca="1" si="22"/>
        <v>-0.31999999999999318</v>
      </c>
      <c r="D171" s="5">
        <f t="shared" ca="1" si="31"/>
        <v>4</v>
      </c>
      <c r="E171" s="5">
        <f t="shared" ca="1" si="23"/>
        <v>0</v>
      </c>
      <c r="F171" s="5">
        <f t="shared" ca="1" si="24"/>
        <v>0</v>
      </c>
      <c r="G171" s="5">
        <f t="shared" ca="1" si="25"/>
        <v>4</v>
      </c>
      <c r="H171" s="11">
        <f t="shared" ca="1" si="32"/>
        <v>100782.19000000002</v>
      </c>
      <c r="I171" s="11">
        <f t="shared" ca="1" si="26"/>
        <v>0</v>
      </c>
      <c r="J171" s="11">
        <f t="shared" ca="1" si="27"/>
        <v>100782.19000000002</v>
      </c>
      <c r="K171" s="11">
        <f t="shared" ca="1" si="28"/>
        <v>269.72000000000003</v>
      </c>
      <c r="L171" s="11">
        <f t="shared" ca="1" si="29"/>
        <v>1051.910000000018</v>
      </c>
    </row>
    <row r="172" spans="1:12" x14ac:dyDescent="0.25">
      <c r="A172" s="5">
        <v>157</v>
      </c>
      <c r="B172" s="18">
        <f t="shared" ca="1" si="30"/>
        <v>69.069999999999993</v>
      </c>
      <c r="C172" s="33">
        <f t="shared" ca="1" si="22"/>
        <v>1.6399999999999864</v>
      </c>
      <c r="D172" s="5">
        <f t="shared" ca="1" si="31"/>
        <v>4</v>
      </c>
      <c r="E172" s="5">
        <f t="shared" ca="1" si="23"/>
        <v>0</v>
      </c>
      <c r="F172" s="5">
        <f t="shared" ca="1" si="24"/>
        <v>0</v>
      </c>
      <c r="G172" s="5">
        <f t="shared" ca="1" si="25"/>
        <v>4</v>
      </c>
      <c r="H172" s="11">
        <f t="shared" ca="1" si="32"/>
        <v>100782.19000000002</v>
      </c>
      <c r="I172" s="11">
        <f t="shared" ca="1" si="26"/>
        <v>0</v>
      </c>
      <c r="J172" s="11">
        <f t="shared" ca="1" si="27"/>
        <v>100782.19000000002</v>
      </c>
      <c r="K172" s="11">
        <f t="shared" ca="1" si="28"/>
        <v>276.27999999999997</v>
      </c>
      <c r="L172" s="11">
        <f t="shared" ca="1" si="29"/>
        <v>1058.4700000000157</v>
      </c>
    </row>
    <row r="173" spans="1:12" x14ac:dyDescent="0.25">
      <c r="A173" s="5">
        <v>158</v>
      </c>
      <c r="B173" s="18">
        <f t="shared" ca="1" si="30"/>
        <v>69.52</v>
      </c>
      <c r="C173" s="33">
        <f t="shared" ca="1" si="22"/>
        <v>0.45000000000000284</v>
      </c>
      <c r="D173" s="5">
        <f t="shared" ca="1" si="31"/>
        <v>4</v>
      </c>
      <c r="E173" s="5">
        <f t="shared" ca="1" si="23"/>
        <v>0</v>
      </c>
      <c r="F173" s="5">
        <f t="shared" ca="1" si="24"/>
        <v>0</v>
      </c>
      <c r="G173" s="5">
        <f t="shared" ca="1" si="25"/>
        <v>4</v>
      </c>
      <c r="H173" s="11">
        <f t="shared" ca="1" si="32"/>
        <v>100782.19000000002</v>
      </c>
      <c r="I173" s="11">
        <f t="shared" ca="1" si="26"/>
        <v>0</v>
      </c>
      <c r="J173" s="11">
        <f t="shared" ca="1" si="27"/>
        <v>100782.19000000002</v>
      </c>
      <c r="K173" s="11">
        <f t="shared" ca="1" si="28"/>
        <v>278.08</v>
      </c>
      <c r="L173" s="11">
        <f t="shared" ca="1" si="29"/>
        <v>1060.2700000000186</v>
      </c>
    </row>
    <row r="174" spans="1:12" x14ac:dyDescent="0.25">
      <c r="A174" s="5">
        <v>159</v>
      </c>
      <c r="B174" s="18">
        <f t="shared" ca="1" si="30"/>
        <v>69.06</v>
      </c>
      <c r="C174" s="33">
        <f t="shared" ca="1" si="22"/>
        <v>-0.45999999999999375</v>
      </c>
      <c r="D174" s="5">
        <f t="shared" ca="1" si="31"/>
        <v>4</v>
      </c>
      <c r="E174" s="5">
        <f t="shared" ca="1" si="23"/>
        <v>0</v>
      </c>
      <c r="F174" s="5">
        <f t="shared" ca="1" si="24"/>
        <v>0</v>
      </c>
      <c r="G174" s="5">
        <f t="shared" ca="1" si="25"/>
        <v>4</v>
      </c>
      <c r="H174" s="11">
        <f t="shared" ca="1" si="32"/>
        <v>100782.19000000002</v>
      </c>
      <c r="I174" s="11">
        <f t="shared" ca="1" si="26"/>
        <v>0</v>
      </c>
      <c r="J174" s="11">
        <f t="shared" ca="1" si="27"/>
        <v>100782.19000000002</v>
      </c>
      <c r="K174" s="11">
        <f t="shared" ca="1" si="28"/>
        <v>276.24</v>
      </c>
      <c r="L174" s="11">
        <f t="shared" ca="1" si="29"/>
        <v>1058.4300000000221</v>
      </c>
    </row>
    <row r="175" spans="1:12" x14ac:dyDescent="0.25">
      <c r="A175" s="5">
        <v>160</v>
      </c>
      <c r="B175" s="18">
        <f t="shared" ca="1" si="30"/>
        <v>70.150000000000006</v>
      </c>
      <c r="C175" s="33">
        <f t="shared" ca="1" si="22"/>
        <v>1.0900000000000034</v>
      </c>
      <c r="D175" s="5">
        <f t="shared" ca="1" si="31"/>
        <v>4</v>
      </c>
      <c r="E175" s="5">
        <f t="shared" ca="1" si="23"/>
        <v>0</v>
      </c>
      <c r="F175" s="5">
        <f t="shared" ca="1" si="24"/>
        <v>0</v>
      </c>
      <c r="G175" s="5">
        <f t="shared" ca="1" si="25"/>
        <v>4</v>
      </c>
      <c r="H175" s="11">
        <f t="shared" ca="1" si="32"/>
        <v>100782.19000000002</v>
      </c>
      <c r="I175" s="11">
        <f t="shared" ca="1" si="26"/>
        <v>0</v>
      </c>
      <c r="J175" s="11">
        <f t="shared" ca="1" si="27"/>
        <v>100782.19000000002</v>
      </c>
      <c r="K175" s="11">
        <f t="shared" ca="1" si="28"/>
        <v>280.60000000000002</v>
      </c>
      <c r="L175" s="11">
        <f t="shared" ca="1" si="29"/>
        <v>1062.7900000000227</v>
      </c>
    </row>
    <row r="176" spans="1:12" x14ac:dyDescent="0.25">
      <c r="A176" s="5">
        <v>161</v>
      </c>
      <c r="B176" s="18">
        <f t="shared" ca="1" si="30"/>
        <v>70.34</v>
      </c>
      <c r="C176" s="33">
        <f t="shared" ca="1" si="22"/>
        <v>0.18999999999999773</v>
      </c>
      <c r="D176" s="5">
        <f t="shared" ca="1" si="31"/>
        <v>4</v>
      </c>
      <c r="E176" s="5">
        <f t="shared" ca="1" si="23"/>
        <v>0</v>
      </c>
      <c r="F176" s="5">
        <f t="shared" ca="1" si="24"/>
        <v>0</v>
      </c>
      <c r="G176" s="5">
        <f t="shared" ca="1" si="25"/>
        <v>4</v>
      </c>
      <c r="H176" s="11">
        <f t="shared" ca="1" si="32"/>
        <v>100782.19000000002</v>
      </c>
      <c r="I176" s="11">
        <f t="shared" ca="1" si="26"/>
        <v>0</v>
      </c>
      <c r="J176" s="11">
        <f t="shared" ca="1" si="27"/>
        <v>100782.19000000002</v>
      </c>
      <c r="K176" s="11">
        <f t="shared" ca="1" si="28"/>
        <v>281.36</v>
      </c>
      <c r="L176" s="11">
        <f t="shared" ca="1" si="29"/>
        <v>1063.5500000000175</v>
      </c>
    </row>
    <row r="177" spans="1:12" x14ac:dyDescent="0.25">
      <c r="A177" s="5">
        <v>162</v>
      </c>
      <c r="B177" s="18">
        <f t="shared" ca="1" si="30"/>
        <v>71.28</v>
      </c>
      <c r="C177" s="33">
        <f t="shared" ca="1" si="22"/>
        <v>0.93999999999999773</v>
      </c>
      <c r="D177" s="5">
        <f t="shared" ca="1" si="31"/>
        <v>4</v>
      </c>
      <c r="E177" s="5">
        <f t="shared" ca="1" si="23"/>
        <v>1</v>
      </c>
      <c r="F177" s="5">
        <f t="shared" ca="1" si="24"/>
        <v>0</v>
      </c>
      <c r="G177" s="5">
        <f t="shared" ca="1" si="25"/>
        <v>3</v>
      </c>
      <c r="H177" s="11">
        <f t="shared" ca="1" si="32"/>
        <v>100782.19000000002</v>
      </c>
      <c r="I177" s="11">
        <f t="shared" ca="1" si="26"/>
        <v>71.28</v>
      </c>
      <c r="J177" s="11">
        <f t="shared" ca="1" si="27"/>
        <v>100853.47000000002</v>
      </c>
      <c r="K177" s="11">
        <f t="shared" ca="1" si="28"/>
        <v>213.84</v>
      </c>
      <c r="L177" s="11">
        <f t="shared" ca="1" si="29"/>
        <v>1067.3100000000122</v>
      </c>
    </row>
    <row r="178" spans="1:12" x14ac:dyDescent="0.25">
      <c r="A178" s="5">
        <v>163</v>
      </c>
      <c r="B178" s="18">
        <f t="shared" ca="1" si="30"/>
        <v>72.02</v>
      </c>
      <c r="C178" s="33">
        <f t="shared" ca="1" si="22"/>
        <v>0.73999999999999488</v>
      </c>
      <c r="D178" s="5">
        <f t="shared" ca="1" si="31"/>
        <v>3</v>
      </c>
      <c r="E178" s="5">
        <f t="shared" ca="1" si="23"/>
        <v>1</v>
      </c>
      <c r="F178" s="5">
        <f t="shared" ca="1" si="24"/>
        <v>0</v>
      </c>
      <c r="G178" s="5">
        <f t="shared" ca="1" si="25"/>
        <v>2</v>
      </c>
      <c r="H178" s="11">
        <f t="shared" ca="1" si="32"/>
        <v>100853.47000000002</v>
      </c>
      <c r="I178" s="11">
        <f t="shared" ca="1" si="26"/>
        <v>72.02</v>
      </c>
      <c r="J178" s="11">
        <f t="shared" ca="1" si="27"/>
        <v>100925.49000000002</v>
      </c>
      <c r="K178" s="11">
        <f t="shared" ca="1" si="28"/>
        <v>144.04</v>
      </c>
      <c r="L178" s="11">
        <f t="shared" ca="1" si="29"/>
        <v>1069.5300000000134</v>
      </c>
    </row>
    <row r="179" spans="1:12" x14ac:dyDescent="0.25">
      <c r="A179" s="5">
        <v>164</v>
      </c>
      <c r="B179" s="18">
        <f t="shared" ca="1" si="30"/>
        <v>73.72</v>
      </c>
      <c r="C179" s="33">
        <f t="shared" ca="1" si="22"/>
        <v>1.7000000000000028</v>
      </c>
      <c r="D179" s="5">
        <f t="shared" ca="1" si="31"/>
        <v>2</v>
      </c>
      <c r="E179" s="5">
        <f t="shared" ca="1" si="23"/>
        <v>1</v>
      </c>
      <c r="F179" s="5">
        <f t="shared" ca="1" si="24"/>
        <v>0</v>
      </c>
      <c r="G179" s="5">
        <f t="shared" ca="1" si="25"/>
        <v>1</v>
      </c>
      <c r="H179" s="11">
        <f t="shared" ca="1" si="32"/>
        <v>100925.49000000002</v>
      </c>
      <c r="I179" s="11">
        <f t="shared" ca="1" si="26"/>
        <v>73.72</v>
      </c>
      <c r="J179" s="11">
        <f t="shared" ca="1" si="27"/>
        <v>100999.21000000002</v>
      </c>
      <c r="K179" s="11">
        <f t="shared" ca="1" si="28"/>
        <v>73.72</v>
      </c>
      <c r="L179" s="11">
        <f t="shared" ca="1" si="29"/>
        <v>1072.9300000000221</v>
      </c>
    </row>
    <row r="180" spans="1:12" x14ac:dyDescent="0.25">
      <c r="A180" s="5">
        <v>165</v>
      </c>
      <c r="B180" s="18">
        <f t="shared" ca="1" si="30"/>
        <v>71.38</v>
      </c>
      <c r="C180" s="33">
        <f t="shared" ca="1" si="22"/>
        <v>-2.3400000000000034</v>
      </c>
      <c r="D180" s="5">
        <f t="shared" ca="1" si="31"/>
        <v>1</v>
      </c>
      <c r="E180" s="5">
        <f t="shared" ca="1" si="23"/>
        <v>0</v>
      </c>
      <c r="F180" s="5">
        <f t="shared" ca="1" si="24"/>
        <v>0</v>
      </c>
      <c r="G180" s="5">
        <f t="shared" ca="1" si="25"/>
        <v>1</v>
      </c>
      <c r="H180" s="11">
        <f t="shared" ca="1" si="32"/>
        <v>100999.21000000002</v>
      </c>
      <c r="I180" s="11">
        <f t="shared" ca="1" si="26"/>
        <v>0</v>
      </c>
      <c r="J180" s="11">
        <f t="shared" ca="1" si="27"/>
        <v>100999.21000000002</v>
      </c>
      <c r="K180" s="11">
        <f t="shared" ca="1" si="28"/>
        <v>71.38</v>
      </c>
      <c r="L180" s="11">
        <f t="shared" ca="1" si="29"/>
        <v>1070.5900000000256</v>
      </c>
    </row>
    <row r="181" spans="1:12" x14ac:dyDescent="0.25">
      <c r="A181" s="5">
        <v>166</v>
      </c>
      <c r="B181" s="18">
        <f t="shared" ca="1" si="30"/>
        <v>71.040000000000006</v>
      </c>
      <c r="C181" s="33">
        <f t="shared" ca="1" si="22"/>
        <v>-0.3399999999999892</v>
      </c>
      <c r="D181" s="5">
        <f t="shared" ca="1" si="31"/>
        <v>1</v>
      </c>
      <c r="E181" s="5">
        <f t="shared" ca="1" si="23"/>
        <v>0</v>
      </c>
      <c r="F181" s="5">
        <f t="shared" ca="1" si="24"/>
        <v>0</v>
      </c>
      <c r="G181" s="5">
        <f t="shared" ca="1" si="25"/>
        <v>1</v>
      </c>
      <c r="H181" s="11">
        <f t="shared" ca="1" si="32"/>
        <v>100999.21000000002</v>
      </c>
      <c r="I181" s="11">
        <f t="shared" ca="1" si="26"/>
        <v>0</v>
      </c>
      <c r="J181" s="11">
        <f t="shared" ca="1" si="27"/>
        <v>100999.21000000002</v>
      </c>
      <c r="K181" s="11">
        <f t="shared" ca="1" si="28"/>
        <v>71.040000000000006</v>
      </c>
      <c r="L181" s="11">
        <f t="shared" ca="1" si="29"/>
        <v>1070.2500000000146</v>
      </c>
    </row>
    <row r="182" spans="1:12" x14ac:dyDescent="0.25">
      <c r="A182" s="5">
        <v>167</v>
      </c>
      <c r="B182" s="18">
        <f t="shared" ca="1" si="30"/>
        <v>71.17</v>
      </c>
      <c r="C182" s="33">
        <f t="shared" ca="1" si="22"/>
        <v>0.12999999999999545</v>
      </c>
      <c r="D182" s="5">
        <f t="shared" ca="1" si="31"/>
        <v>1</v>
      </c>
      <c r="E182" s="5">
        <f t="shared" ca="1" si="23"/>
        <v>0</v>
      </c>
      <c r="F182" s="5">
        <f t="shared" ca="1" si="24"/>
        <v>0</v>
      </c>
      <c r="G182" s="5">
        <f t="shared" ca="1" si="25"/>
        <v>1</v>
      </c>
      <c r="H182" s="11">
        <f t="shared" ca="1" si="32"/>
        <v>100999.21000000002</v>
      </c>
      <c r="I182" s="11">
        <f t="shared" ca="1" si="26"/>
        <v>0</v>
      </c>
      <c r="J182" s="11">
        <f t="shared" ca="1" si="27"/>
        <v>100999.21000000002</v>
      </c>
      <c r="K182" s="11">
        <f t="shared" ca="1" si="28"/>
        <v>71.17</v>
      </c>
      <c r="L182" s="11">
        <f t="shared" ca="1" si="29"/>
        <v>1070.3800000000192</v>
      </c>
    </row>
    <row r="183" spans="1:12" x14ac:dyDescent="0.25">
      <c r="A183" s="5">
        <v>168</v>
      </c>
      <c r="B183" s="18">
        <f t="shared" ca="1" si="30"/>
        <v>72.430000000000007</v>
      </c>
      <c r="C183" s="33">
        <f t="shared" ca="1" si="22"/>
        <v>1.2600000000000051</v>
      </c>
      <c r="D183" s="5">
        <f t="shared" ca="1" si="31"/>
        <v>1</v>
      </c>
      <c r="E183" s="5">
        <f t="shared" ca="1" si="23"/>
        <v>0</v>
      </c>
      <c r="F183" s="5">
        <f t="shared" ca="1" si="24"/>
        <v>0</v>
      </c>
      <c r="G183" s="5">
        <f t="shared" ca="1" si="25"/>
        <v>1</v>
      </c>
      <c r="H183" s="11">
        <f t="shared" ca="1" si="32"/>
        <v>100999.21000000002</v>
      </c>
      <c r="I183" s="11">
        <f t="shared" ca="1" si="26"/>
        <v>0</v>
      </c>
      <c r="J183" s="11">
        <f t="shared" ca="1" si="27"/>
        <v>100999.21000000002</v>
      </c>
      <c r="K183" s="11">
        <f t="shared" ca="1" si="28"/>
        <v>72.430000000000007</v>
      </c>
      <c r="L183" s="11">
        <f t="shared" ca="1" si="29"/>
        <v>1071.640000000014</v>
      </c>
    </row>
    <row r="184" spans="1:12" x14ac:dyDescent="0.25">
      <c r="A184" s="5">
        <v>169</v>
      </c>
      <c r="B184" s="18">
        <f t="shared" ca="1" si="30"/>
        <v>70.91</v>
      </c>
      <c r="C184" s="33">
        <f t="shared" ca="1" si="22"/>
        <v>-1.5200000000000102</v>
      </c>
      <c r="D184" s="5">
        <f t="shared" ca="1" si="31"/>
        <v>1</v>
      </c>
      <c r="E184" s="5">
        <f t="shared" ca="1" si="23"/>
        <v>0</v>
      </c>
      <c r="F184" s="5">
        <f t="shared" ca="1" si="24"/>
        <v>0</v>
      </c>
      <c r="G184" s="5">
        <f t="shared" ca="1" si="25"/>
        <v>1</v>
      </c>
      <c r="H184" s="11">
        <f t="shared" ca="1" si="32"/>
        <v>100999.21000000002</v>
      </c>
      <c r="I184" s="11">
        <f t="shared" ca="1" si="26"/>
        <v>0</v>
      </c>
      <c r="J184" s="11">
        <f t="shared" ca="1" si="27"/>
        <v>100999.21000000002</v>
      </c>
      <c r="K184" s="11">
        <f t="shared" ca="1" si="28"/>
        <v>70.91</v>
      </c>
      <c r="L184" s="11">
        <f t="shared" ca="1" si="29"/>
        <v>1070.1200000000244</v>
      </c>
    </row>
    <row r="185" spans="1:12" x14ac:dyDescent="0.25">
      <c r="A185" s="5">
        <v>170</v>
      </c>
      <c r="B185" s="18">
        <f t="shared" ca="1" si="30"/>
        <v>68.97</v>
      </c>
      <c r="C185" s="33">
        <f t="shared" ca="1" si="22"/>
        <v>-1.9399999999999977</v>
      </c>
      <c r="D185" s="5">
        <f t="shared" ca="1" si="31"/>
        <v>1</v>
      </c>
      <c r="E185" s="5">
        <f t="shared" ca="1" si="23"/>
        <v>0</v>
      </c>
      <c r="F185" s="5">
        <f t="shared" ca="1" si="24"/>
        <v>0</v>
      </c>
      <c r="G185" s="5">
        <f t="shared" ca="1" si="25"/>
        <v>1</v>
      </c>
      <c r="H185" s="11">
        <f t="shared" ca="1" si="32"/>
        <v>100999.21000000002</v>
      </c>
      <c r="I185" s="11">
        <f t="shared" ca="1" si="26"/>
        <v>0</v>
      </c>
      <c r="J185" s="11">
        <f t="shared" ca="1" si="27"/>
        <v>100999.21000000002</v>
      </c>
      <c r="K185" s="11">
        <f t="shared" ca="1" si="28"/>
        <v>68.97</v>
      </c>
      <c r="L185" s="11">
        <f t="shared" ca="1" si="29"/>
        <v>1068.1800000000221</v>
      </c>
    </row>
    <row r="186" spans="1:12" x14ac:dyDescent="0.25">
      <c r="A186" s="5">
        <v>171</v>
      </c>
      <c r="B186" s="18">
        <f t="shared" ca="1" si="30"/>
        <v>68.22</v>
      </c>
      <c r="C186" s="33">
        <f t="shared" ca="1" si="22"/>
        <v>-0.75</v>
      </c>
      <c r="D186" s="5">
        <f t="shared" ca="1" si="31"/>
        <v>1</v>
      </c>
      <c r="E186" s="5">
        <f t="shared" ca="1" si="23"/>
        <v>0</v>
      </c>
      <c r="F186" s="5">
        <f t="shared" ca="1" si="24"/>
        <v>0</v>
      </c>
      <c r="G186" s="5">
        <f t="shared" ca="1" si="25"/>
        <v>1</v>
      </c>
      <c r="H186" s="11">
        <f t="shared" ca="1" si="32"/>
        <v>100999.21000000002</v>
      </c>
      <c r="I186" s="11">
        <f t="shared" ca="1" si="26"/>
        <v>0</v>
      </c>
      <c r="J186" s="11">
        <f t="shared" ca="1" si="27"/>
        <v>100999.21000000002</v>
      </c>
      <c r="K186" s="11">
        <f t="shared" ca="1" si="28"/>
        <v>68.22</v>
      </c>
      <c r="L186" s="11">
        <f t="shared" ca="1" si="29"/>
        <v>1067.4300000000221</v>
      </c>
    </row>
    <row r="187" spans="1:12" x14ac:dyDescent="0.25">
      <c r="A187" s="5">
        <v>172</v>
      </c>
      <c r="B187" s="18">
        <f t="shared" ca="1" si="30"/>
        <v>69.28</v>
      </c>
      <c r="C187" s="33">
        <f t="shared" ca="1" si="22"/>
        <v>1.0600000000000023</v>
      </c>
      <c r="D187" s="5">
        <f t="shared" ca="1" si="31"/>
        <v>1</v>
      </c>
      <c r="E187" s="5">
        <f t="shared" ca="1" si="23"/>
        <v>0</v>
      </c>
      <c r="F187" s="5">
        <f t="shared" ca="1" si="24"/>
        <v>0</v>
      </c>
      <c r="G187" s="5">
        <f t="shared" ca="1" si="25"/>
        <v>1</v>
      </c>
      <c r="H187" s="11">
        <f t="shared" ca="1" si="32"/>
        <v>100999.21000000002</v>
      </c>
      <c r="I187" s="11">
        <f t="shared" ca="1" si="26"/>
        <v>0</v>
      </c>
      <c r="J187" s="11">
        <f t="shared" ca="1" si="27"/>
        <v>100999.21000000002</v>
      </c>
      <c r="K187" s="11">
        <f t="shared" ca="1" si="28"/>
        <v>69.28</v>
      </c>
      <c r="L187" s="11">
        <f t="shared" ca="1" si="29"/>
        <v>1068.4900000000198</v>
      </c>
    </row>
    <row r="188" spans="1:12" x14ac:dyDescent="0.25">
      <c r="A188" s="5">
        <v>173</v>
      </c>
      <c r="B188" s="18">
        <f t="shared" ca="1" si="30"/>
        <v>70.16</v>
      </c>
      <c r="C188" s="33">
        <f t="shared" ca="1" si="22"/>
        <v>0.87999999999999545</v>
      </c>
      <c r="D188" s="5">
        <f t="shared" ca="1" si="31"/>
        <v>1</v>
      </c>
      <c r="E188" s="5">
        <f t="shared" ca="1" si="23"/>
        <v>0</v>
      </c>
      <c r="F188" s="5">
        <f t="shared" ca="1" si="24"/>
        <v>0</v>
      </c>
      <c r="G188" s="5">
        <f t="shared" ca="1" si="25"/>
        <v>1</v>
      </c>
      <c r="H188" s="11">
        <f t="shared" ca="1" si="32"/>
        <v>100999.21000000002</v>
      </c>
      <c r="I188" s="11">
        <f t="shared" ca="1" si="26"/>
        <v>0</v>
      </c>
      <c r="J188" s="11">
        <f t="shared" ca="1" si="27"/>
        <v>100999.21000000002</v>
      </c>
      <c r="K188" s="11">
        <f t="shared" ca="1" si="28"/>
        <v>70.16</v>
      </c>
      <c r="L188" s="11">
        <f t="shared" ca="1" si="29"/>
        <v>1069.3700000000244</v>
      </c>
    </row>
    <row r="189" spans="1:12" x14ac:dyDescent="0.25">
      <c r="A189" s="5">
        <v>174</v>
      </c>
      <c r="B189" s="18">
        <f t="shared" ca="1" si="30"/>
        <v>69.97</v>
      </c>
      <c r="C189" s="33">
        <f t="shared" ca="1" si="22"/>
        <v>-0.18999999999999773</v>
      </c>
      <c r="D189" s="5">
        <f t="shared" ca="1" si="31"/>
        <v>1</v>
      </c>
      <c r="E189" s="5">
        <f t="shared" ca="1" si="23"/>
        <v>0</v>
      </c>
      <c r="F189" s="5">
        <f t="shared" ca="1" si="24"/>
        <v>0</v>
      </c>
      <c r="G189" s="5">
        <f t="shared" ca="1" si="25"/>
        <v>1</v>
      </c>
      <c r="H189" s="11">
        <f t="shared" ca="1" si="32"/>
        <v>100999.21000000002</v>
      </c>
      <c r="I189" s="11">
        <f t="shared" ca="1" si="26"/>
        <v>0</v>
      </c>
      <c r="J189" s="11">
        <f t="shared" ca="1" si="27"/>
        <v>100999.21000000002</v>
      </c>
      <c r="K189" s="11">
        <f t="shared" ca="1" si="28"/>
        <v>69.97</v>
      </c>
      <c r="L189" s="11">
        <f t="shared" ca="1" si="29"/>
        <v>1069.1800000000221</v>
      </c>
    </row>
    <row r="190" spans="1:12" x14ac:dyDescent="0.25">
      <c r="A190" s="5">
        <v>175</v>
      </c>
      <c r="B190" s="18">
        <f t="shared" ca="1" si="30"/>
        <v>69.27</v>
      </c>
      <c r="C190" s="33">
        <f t="shared" ca="1" si="22"/>
        <v>-0.70000000000000284</v>
      </c>
      <c r="D190" s="5">
        <f t="shared" ca="1" si="31"/>
        <v>1</v>
      </c>
      <c r="E190" s="5">
        <f t="shared" ca="1" si="23"/>
        <v>0</v>
      </c>
      <c r="F190" s="5">
        <f t="shared" ca="1" si="24"/>
        <v>0</v>
      </c>
      <c r="G190" s="5">
        <f t="shared" ca="1" si="25"/>
        <v>1</v>
      </c>
      <c r="H190" s="11">
        <f t="shared" ca="1" si="32"/>
        <v>100999.21000000002</v>
      </c>
      <c r="I190" s="11">
        <f t="shared" ca="1" si="26"/>
        <v>0</v>
      </c>
      <c r="J190" s="11">
        <f t="shared" ca="1" si="27"/>
        <v>100999.21000000002</v>
      </c>
      <c r="K190" s="11">
        <f t="shared" ca="1" si="28"/>
        <v>69.27</v>
      </c>
      <c r="L190" s="11">
        <f t="shared" ca="1" si="29"/>
        <v>1068.480000000025</v>
      </c>
    </row>
    <row r="191" spans="1:12" x14ac:dyDescent="0.25">
      <c r="A191" s="5">
        <v>176</v>
      </c>
      <c r="B191" s="18">
        <f t="shared" ca="1" si="30"/>
        <v>71.28</v>
      </c>
      <c r="C191" s="33">
        <f t="shared" ca="1" si="22"/>
        <v>2.0100000000000051</v>
      </c>
      <c r="D191" s="5">
        <f t="shared" ca="1" si="31"/>
        <v>1</v>
      </c>
      <c r="E191" s="5">
        <f t="shared" ca="1" si="23"/>
        <v>0</v>
      </c>
      <c r="F191" s="5">
        <f t="shared" ca="1" si="24"/>
        <v>0</v>
      </c>
      <c r="G191" s="5">
        <f t="shared" ca="1" si="25"/>
        <v>1</v>
      </c>
      <c r="H191" s="11">
        <f t="shared" ca="1" si="32"/>
        <v>100999.21000000002</v>
      </c>
      <c r="I191" s="11">
        <f t="shared" ca="1" si="26"/>
        <v>0</v>
      </c>
      <c r="J191" s="11">
        <f t="shared" ca="1" si="27"/>
        <v>100999.21000000002</v>
      </c>
      <c r="K191" s="11">
        <f t="shared" ca="1" si="28"/>
        <v>71.28</v>
      </c>
      <c r="L191" s="11">
        <f t="shared" ca="1" si="29"/>
        <v>1070.4900000000198</v>
      </c>
    </row>
    <row r="192" spans="1:12" x14ac:dyDescent="0.25">
      <c r="A192" s="5">
        <v>177</v>
      </c>
      <c r="B192" s="18">
        <f t="shared" ca="1" si="30"/>
        <v>70.03</v>
      </c>
      <c r="C192" s="33">
        <f t="shared" ca="1" si="22"/>
        <v>-1.25</v>
      </c>
      <c r="D192" s="5">
        <f t="shared" ca="1" si="31"/>
        <v>1</v>
      </c>
      <c r="E192" s="5">
        <f t="shared" ca="1" si="23"/>
        <v>0</v>
      </c>
      <c r="F192" s="5">
        <f t="shared" ca="1" si="24"/>
        <v>0</v>
      </c>
      <c r="G192" s="5">
        <f t="shared" ca="1" si="25"/>
        <v>1</v>
      </c>
      <c r="H192" s="11">
        <f t="shared" ca="1" si="32"/>
        <v>100999.21000000002</v>
      </c>
      <c r="I192" s="11">
        <f t="shared" ca="1" si="26"/>
        <v>0</v>
      </c>
      <c r="J192" s="11">
        <f t="shared" ca="1" si="27"/>
        <v>100999.21000000002</v>
      </c>
      <c r="K192" s="11">
        <f t="shared" ca="1" si="28"/>
        <v>70.03</v>
      </c>
      <c r="L192" s="11">
        <f t="shared" ca="1" si="29"/>
        <v>1069.2400000000198</v>
      </c>
    </row>
    <row r="193" spans="1:12" x14ac:dyDescent="0.25">
      <c r="A193" s="5">
        <v>178</v>
      </c>
      <c r="B193" s="18">
        <f t="shared" ca="1" si="30"/>
        <v>69.069999999999993</v>
      </c>
      <c r="C193" s="33">
        <f t="shared" ca="1" si="22"/>
        <v>-0.96000000000000796</v>
      </c>
      <c r="D193" s="5">
        <f t="shared" ca="1" si="31"/>
        <v>1</v>
      </c>
      <c r="E193" s="5">
        <f t="shared" ca="1" si="23"/>
        <v>0</v>
      </c>
      <c r="F193" s="5">
        <f t="shared" ca="1" si="24"/>
        <v>0</v>
      </c>
      <c r="G193" s="5">
        <f t="shared" ca="1" si="25"/>
        <v>1</v>
      </c>
      <c r="H193" s="11">
        <f t="shared" ca="1" si="32"/>
        <v>100999.21000000002</v>
      </c>
      <c r="I193" s="11">
        <f t="shared" ca="1" si="26"/>
        <v>0</v>
      </c>
      <c r="J193" s="11">
        <f t="shared" ca="1" si="27"/>
        <v>100999.21000000002</v>
      </c>
      <c r="K193" s="11">
        <f t="shared" ca="1" si="28"/>
        <v>69.069999999999993</v>
      </c>
      <c r="L193" s="11">
        <f t="shared" ca="1" si="29"/>
        <v>1068.2800000000279</v>
      </c>
    </row>
    <row r="194" spans="1:12" x14ac:dyDescent="0.25">
      <c r="A194" s="5">
        <v>179</v>
      </c>
      <c r="B194" s="18">
        <f t="shared" ca="1" si="30"/>
        <v>70.53</v>
      </c>
      <c r="C194" s="33">
        <f t="shared" ca="1" si="22"/>
        <v>1.460000000000008</v>
      </c>
      <c r="D194" s="5">
        <f t="shared" ca="1" si="31"/>
        <v>1</v>
      </c>
      <c r="E194" s="5">
        <f t="shared" ca="1" si="23"/>
        <v>0</v>
      </c>
      <c r="F194" s="5">
        <f t="shared" ca="1" si="24"/>
        <v>0</v>
      </c>
      <c r="G194" s="5">
        <f t="shared" ca="1" si="25"/>
        <v>1</v>
      </c>
      <c r="H194" s="11">
        <f t="shared" ca="1" si="32"/>
        <v>100999.21000000002</v>
      </c>
      <c r="I194" s="11">
        <f t="shared" ca="1" si="26"/>
        <v>0</v>
      </c>
      <c r="J194" s="11">
        <f t="shared" ca="1" si="27"/>
        <v>100999.21000000002</v>
      </c>
      <c r="K194" s="11">
        <f t="shared" ca="1" si="28"/>
        <v>70.53</v>
      </c>
      <c r="L194" s="11">
        <f t="shared" ca="1" si="29"/>
        <v>1069.7400000000198</v>
      </c>
    </row>
    <row r="195" spans="1:12" x14ac:dyDescent="0.25">
      <c r="A195" s="5">
        <v>180</v>
      </c>
      <c r="B195" s="18">
        <f t="shared" ca="1" si="30"/>
        <v>70.989999999999995</v>
      </c>
      <c r="C195" s="33">
        <f t="shared" ca="1" si="22"/>
        <v>0.45999999999999375</v>
      </c>
      <c r="D195" s="5">
        <f t="shared" ca="1" si="31"/>
        <v>1</v>
      </c>
      <c r="E195" s="5">
        <f t="shared" ca="1" si="23"/>
        <v>0</v>
      </c>
      <c r="F195" s="5">
        <f t="shared" ca="1" si="24"/>
        <v>0</v>
      </c>
      <c r="G195" s="5">
        <f t="shared" ca="1" si="25"/>
        <v>1</v>
      </c>
      <c r="H195" s="11">
        <f t="shared" ca="1" si="32"/>
        <v>100999.21000000002</v>
      </c>
      <c r="I195" s="11">
        <f t="shared" ca="1" si="26"/>
        <v>0</v>
      </c>
      <c r="J195" s="11">
        <f t="shared" ca="1" si="27"/>
        <v>100999.21000000002</v>
      </c>
      <c r="K195" s="11">
        <f t="shared" ca="1" si="28"/>
        <v>70.989999999999995</v>
      </c>
      <c r="L195" s="11">
        <f t="shared" ca="1" si="29"/>
        <v>1070.2000000000262</v>
      </c>
    </row>
    <row r="196" spans="1:12" x14ac:dyDescent="0.25">
      <c r="A196" s="5">
        <v>181</v>
      </c>
      <c r="B196" s="18">
        <f t="shared" ca="1" si="30"/>
        <v>70.3</v>
      </c>
      <c r="C196" s="33">
        <f t="shared" ca="1" si="22"/>
        <v>-0.68999999999999773</v>
      </c>
      <c r="D196" s="5">
        <f t="shared" ca="1" si="31"/>
        <v>1</v>
      </c>
      <c r="E196" s="5">
        <f t="shared" ca="1" si="23"/>
        <v>0</v>
      </c>
      <c r="F196" s="5">
        <f t="shared" ca="1" si="24"/>
        <v>0</v>
      </c>
      <c r="G196" s="5">
        <f t="shared" ca="1" si="25"/>
        <v>1</v>
      </c>
      <c r="H196" s="11">
        <f t="shared" ca="1" si="32"/>
        <v>100999.21000000002</v>
      </c>
      <c r="I196" s="11">
        <f t="shared" ca="1" si="26"/>
        <v>0</v>
      </c>
      <c r="J196" s="11">
        <f t="shared" ca="1" si="27"/>
        <v>100999.21000000002</v>
      </c>
      <c r="K196" s="11">
        <f t="shared" ca="1" si="28"/>
        <v>70.3</v>
      </c>
      <c r="L196" s="11">
        <f t="shared" ca="1" si="29"/>
        <v>1069.5100000000239</v>
      </c>
    </row>
    <row r="197" spans="1:12" x14ac:dyDescent="0.25">
      <c r="A197" s="5">
        <v>182</v>
      </c>
      <c r="B197" s="18">
        <f t="shared" ca="1" si="30"/>
        <v>70.52</v>
      </c>
      <c r="C197" s="33">
        <f t="shared" ca="1" si="22"/>
        <v>0.21999999999999886</v>
      </c>
      <c r="D197" s="5">
        <f t="shared" ca="1" si="31"/>
        <v>1</v>
      </c>
      <c r="E197" s="5">
        <f t="shared" ca="1" si="23"/>
        <v>0</v>
      </c>
      <c r="F197" s="5">
        <f t="shared" ca="1" si="24"/>
        <v>0</v>
      </c>
      <c r="G197" s="5">
        <f t="shared" ca="1" si="25"/>
        <v>1</v>
      </c>
      <c r="H197" s="11">
        <f t="shared" ca="1" si="32"/>
        <v>100999.21000000002</v>
      </c>
      <c r="I197" s="11">
        <f t="shared" ca="1" si="26"/>
        <v>0</v>
      </c>
      <c r="J197" s="11">
        <f t="shared" ca="1" si="27"/>
        <v>100999.21000000002</v>
      </c>
      <c r="K197" s="11">
        <f t="shared" ca="1" si="28"/>
        <v>70.52</v>
      </c>
      <c r="L197" s="11">
        <f t="shared" ca="1" si="29"/>
        <v>1069.730000000025</v>
      </c>
    </row>
    <row r="198" spans="1:12" x14ac:dyDescent="0.25">
      <c r="A198" s="5">
        <v>183</v>
      </c>
      <c r="B198" s="18">
        <f t="shared" ca="1" si="30"/>
        <v>70.599999999999994</v>
      </c>
      <c r="C198" s="33">
        <f t="shared" ca="1" si="22"/>
        <v>7.9999999999998295E-2</v>
      </c>
      <c r="D198" s="5">
        <f t="shared" ca="1" si="31"/>
        <v>1</v>
      </c>
      <c r="E198" s="5">
        <f t="shared" ca="1" si="23"/>
        <v>0</v>
      </c>
      <c r="F198" s="5">
        <f t="shared" ca="1" si="24"/>
        <v>0</v>
      </c>
      <c r="G198" s="5">
        <f t="shared" ca="1" si="25"/>
        <v>1</v>
      </c>
      <c r="H198" s="11">
        <f t="shared" ca="1" si="32"/>
        <v>100999.21000000002</v>
      </c>
      <c r="I198" s="11">
        <f t="shared" ca="1" si="26"/>
        <v>0</v>
      </c>
      <c r="J198" s="11">
        <f t="shared" ca="1" si="27"/>
        <v>100999.21000000002</v>
      </c>
      <c r="K198" s="11">
        <f t="shared" ca="1" si="28"/>
        <v>70.599999999999994</v>
      </c>
      <c r="L198" s="11">
        <f t="shared" ca="1" si="29"/>
        <v>1069.8100000000268</v>
      </c>
    </row>
    <row r="199" spans="1:12" x14ac:dyDescent="0.25">
      <c r="A199" s="5">
        <v>184</v>
      </c>
      <c r="B199" s="18">
        <f t="shared" ca="1" si="30"/>
        <v>70.62</v>
      </c>
      <c r="C199" s="33">
        <f t="shared" ca="1" si="22"/>
        <v>2.0000000000010232E-2</v>
      </c>
      <c r="D199" s="5">
        <f t="shared" ca="1" si="31"/>
        <v>1</v>
      </c>
      <c r="E199" s="5">
        <f t="shared" ca="1" si="23"/>
        <v>0</v>
      </c>
      <c r="F199" s="5">
        <f t="shared" ca="1" si="24"/>
        <v>0</v>
      </c>
      <c r="G199" s="5">
        <f t="shared" ca="1" si="25"/>
        <v>1</v>
      </c>
      <c r="H199" s="11">
        <f t="shared" ca="1" si="32"/>
        <v>100999.21000000002</v>
      </c>
      <c r="I199" s="11">
        <f t="shared" ca="1" si="26"/>
        <v>0</v>
      </c>
      <c r="J199" s="11">
        <f t="shared" ca="1" si="27"/>
        <v>100999.21000000002</v>
      </c>
      <c r="K199" s="11">
        <f t="shared" ca="1" si="28"/>
        <v>70.62</v>
      </c>
      <c r="L199" s="11">
        <f t="shared" ca="1" si="29"/>
        <v>1069.8300000000163</v>
      </c>
    </row>
    <row r="200" spans="1:12" x14ac:dyDescent="0.25">
      <c r="A200" s="5">
        <v>185</v>
      </c>
      <c r="B200" s="18">
        <f t="shared" ca="1" si="30"/>
        <v>72.040000000000006</v>
      </c>
      <c r="C200" s="33">
        <f t="shared" ca="1" si="22"/>
        <v>1.4200000000000017</v>
      </c>
      <c r="D200" s="5">
        <f t="shared" ca="1" si="31"/>
        <v>1</v>
      </c>
      <c r="E200" s="5">
        <f t="shared" ca="1" si="23"/>
        <v>0</v>
      </c>
      <c r="F200" s="5">
        <f t="shared" ca="1" si="24"/>
        <v>0</v>
      </c>
      <c r="G200" s="5">
        <f t="shared" ca="1" si="25"/>
        <v>1</v>
      </c>
      <c r="H200" s="11">
        <f t="shared" ca="1" si="32"/>
        <v>100999.21000000002</v>
      </c>
      <c r="I200" s="11">
        <f t="shared" ca="1" si="26"/>
        <v>0</v>
      </c>
      <c r="J200" s="11">
        <f t="shared" ca="1" si="27"/>
        <v>100999.21000000002</v>
      </c>
      <c r="K200" s="11">
        <f t="shared" ca="1" si="28"/>
        <v>72.040000000000006</v>
      </c>
      <c r="L200" s="11">
        <f t="shared" ca="1" si="29"/>
        <v>1071.2500000000146</v>
      </c>
    </row>
    <row r="201" spans="1:12" x14ac:dyDescent="0.25">
      <c r="A201" s="5">
        <v>186</v>
      </c>
      <c r="B201" s="18">
        <f t="shared" ca="1" si="30"/>
        <v>72.69</v>
      </c>
      <c r="C201" s="33">
        <f t="shared" ca="1" si="22"/>
        <v>0.64999999999999147</v>
      </c>
      <c r="D201" s="5">
        <f t="shared" ca="1" si="31"/>
        <v>1</v>
      </c>
      <c r="E201" s="5">
        <f t="shared" ca="1" si="23"/>
        <v>0</v>
      </c>
      <c r="F201" s="5">
        <f t="shared" ca="1" si="24"/>
        <v>0</v>
      </c>
      <c r="G201" s="5">
        <f t="shared" ca="1" si="25"/>
        <v>1</v>
      </c>
      <c r="H201" s="11">
        <f t="shared" ca="1" si="32"/>
        <v>100999.21000000002</v>
      </c>
      <c r="I201" s="11">
        <f t="shared" ca="1" si="26"/>
        <v>0</v>
      </c>
      <c r="J201" s="11">
        <f t="shared" ca="1" si="27"/>
        <v>100999.21000000002</v>
      </c>
      <c r="K201" s="11">
        <f t="shared" ca="1" si="28"/>
        <v>72.69</v>
      </c>
      <c r="L201" s="11">
        <f t="shared" ca="1" si="29"/>
        <v>1071.9000000000233</v>
      </c>
    </row>
    <row r="202" spans="1:12" x14ac:dyDescent="0.25">
      <c r="A202" s="5">
        <v>187</v>
      </c>
      <c r="B202" s="18">
        <f t="shared" ca="1" si="30"/>
        <v>70.400000000000006</v>
      </c>
      <c r="C202" s="33">
        <f t="shared" ca="1" si="22"/>
        <v>-2.289999999999992</v>
      </c>
      <c r="D202" s="5">
        <f t="shared" ca="1" si="31"/>
        <v>1</v>
      </c>
      <c r="E202" s="5">
        <f t="shared" ca="1" si="23"/>
        <v>0</v>
      </c>
      <c r="F202" s="5">
        <f t="shared" ca="1" si="24"/>
        <v>0</v>
      </c>
      <c r="G202" s="5">
        <f t="shared" ca="1" si="25"/>
        <v>1</v>
      </c>
      <c r="H202" s="11">
        <f t="shared" ca="1" si="32"/>
        <v>100999.21000000002</v>
      </c>
      <c r="I202" s="11">
        <f t="shared" ca="1" si="26"/>
        <v>0</v>
      </c>
      <c r="J202" s="11">
        <f t="shared" ca="1" si="27"/>
        <v>100999.21000000002</v>
      </c>
      <c r="K202" s="11">
        <f t="shared" ca="1" si="28"/>
        <v>70.400000000000006</v>
      </c>
      <c r="L202" s="11">
        <f t="shared" ca="1" si="29"/>
        <v>1069.6100000000151</v>
      </c>
    </row>
    <row r="203" spans="1:12" x14ac:dyDescent="0.25">
      <c r="A203" s="5">
        <v>188</v>
      </c>
      <c r="B203" s="18">
        <f t="shared" ca="1" si="30"/>
        <v>70.459999999999994</v>
      </c>
      <c r="C203" s="33">
        <f t="shared" ca="1" si="22"/>
        <v>5.9999999999988063E-2</v>
      </c>
      <c r="D203" s="5">
        <f t="shared" ca="1" si="31"/>
        <v>1</v>
      </c>
      <c r="E203" s="5">
        <f t="shared" ca="1" si="23"/>
        <v>0</v>
      </c>
      <c r="F203" s="5">
        <f t="shared" ca="1" si="24"/>
        <v>0</v>
      </c>
      <c r="G203" s="5">
        <f t="shared" ca="1" si="25"/>
        <v>1</v>
      </c>
      <c r="H203" s="11">
        <f t="shared" ca="1" si="32"/>
        <v>100999.21000000002</v>
      </c>
      <c r="I203" s="11">
        <f t="shared" ca="1" si="26"/>
        <v>0</v>
      </c>
      <c r="J203" s="11">
        <f t="shared" ca="1" si="27"/>
        <v>100999.21000000002</v>
      </c>
      <c r="K203" s="11">
        <f t="shared" ca="1" si="28"/>
        <v>70.459999999999994</v>
      </c>
      <c r="L203" s="11">
        <f t="shared" ca="1" si="29"/>
        <v>1069.6700000000274</v>
      </c>
    </row>
    <row r="204" spans="1:12" x14ac:dyDescent="0.25">
      <c r="A204" s="5">
        <v>189</v>
      </c>
      <c r="B204" s="18">
        <f t="shared" ca="1" si="30"/>
        <v>72.900000000000006</v>
      </c>
      <c r="C204" s="33">
        <f t="shared" ca="1" si="22"/>
        <v>2.4400000000000119</v>
      </c>
      <c r="D204" s="5">
        <f t="shared" ca="1" si="31"/>
        <v>1</v>
      </c>
      <c r="E204" s="5">
        <f t="shared" ca="1" si="23"/>
        <v>0</v>
      </c>
      <c r="F204" s="5">
        <f t="shared" ca="1" si="24"/>
        <v>0</v>
      </c>
      <c r="G204" s="5">
        <f t="shared" ca="1" si="25"/>
        <v>1</v>
      </c>
      <c r="H204" s="11">
        <f t="shared" ca="1" si="32"/>
        <v>100999.21000000002</v>
      </c>
      <c r="I204" s="11">
        <f t="shared" ca="1" si="26"/>
        <v>0</v>
      </c>
      <c r="J204" s="11">
        <f t="shared" ca="1" si="27"/>
        <v>100999.21000000002</v>
      </c>
      <c r="K204" s="11">
        <f t="shared" ca="1" si="28"/>
        <v>72.900000000000006</v>
      </c>
      <c r="L204" s="11">
        <f t="shared" ca="1" si="29"/>
        <v>1072.1100000000151</v>
      </c>
    </row>
    <row r="205" spans="1:12" x14ac:dyDescent="0.25">
      <c r="A205" s="5">
        <v>190</v>
      </c>
      <c r="B205" s="18">
        <f t="shared" ca="1" si="30"/>
        <v>72.23</v>
      </c>
      <c r="C205" s="33">
        <f t="shared" ca="1" si="22"/>
        <v>-0.67000000000000171</v>
      </c>
      <c r="D205" s="5">
        <f t="shared" ca="1" si="31"/>
        <v>1</v>
      </c>
      <c r="E205" s="5">
        <f t="shared" ca="1" si="23"/>
        <v>0</v>
      </c>
      <c r="F205" s="5">
        <f t="shared" ca="1" si="24"/>
        <v>0</v>
      </c>
      <c r="G205" s="5">
        <f t="shared" ca="1" si="25"/>
        <v>1</v>
      </c>
      <c r="H205" s="11">
        <f t="shared" ca="1" si="32"/>
        <v>100999.21000000002</v>
      </c>
      <c r="I205" s="11">
        <f t="shared" ca="1" si="26"/>
        <v>0</v>
      </c>
      <c r="J205" s="11">
        <f t="shared" ca="1" si="27"/>
        <v>100999.21000000002</v>
      </c>
      <c r="K205" s="11">
        <f t="shared" ca="1" si="28"/>
        <v>72.23</v>
      </c>
      <c r="L205" s="11">
        <f t="shared" ca="1" si="29"/>
        <v>1071.4400000000169</v>
      </c>
    </row>
    <row r="206" spans="1:12" x14ac:dyDescent="0.25">
      <c r="A206" s="5">
        <v>191</v>
      </c>
      <c r="B206" s="18">
        <f t="shared" ca="1" si="30"/>
        <v>75.95</v>
      </c>
      <c r="C206" s="33">
        <f t="shared" ref="C206:C265" ca="1" si="33">B206-B205</f>
        <v>3.7199999999999989</v>
      </c>
      <c r="D206" s="5">
        <f t="shared" ca="1" si="31"/>
        <v>1</v>
      </c>
      <c r="E206" s="5">
        <f t="shared" ca="1" si="23"/>
        <v>0</v>
      </c>
      <c r="F206" s="5">
        <f t="shared" ca="1" si="24"/>
        <v>0</v>
      </c>
      <c r="G206" s="5">
        <f t="shared" ca="1" si="25"/>
        <v>1</v>
      </c>
      <c r="H206" s="11">
        <f t="shared" ca="1" si="32"/>
        <v>100999.21000000002</v>
      </c>
      <c r="I206" s="11">
        <f t="shared" ca="1" si="26"/>
        <v>0</v>
      </c>
      <c r="J206" s="11">
        <f t="shared" ca="1" si="27"/>
        <v>100999.21000000002</v>
      </c>
      <c r="K206" s="11">
        <f t="shared" ca="1" si="28"/>
        <v>75.95</v>
      </c>
      <c r="L206" s="11">
        <f t="shared" ca="1" si="29"/>
        <v>1075.160000000018</v>
      </c>
    </row>
    <row r="207" spans="1:12" x14ac:dyDescent="0.25">
      <c r="A207" s="5">
        <v>192</v>
      </c>
      <c r="B207" s="18">
        <f t="shared" ca="1" si="30"/>
        <v>75.010000000000005</v>
      </c>
      <c r="C207" s="33">
        <f t="shared" ca="1" si="33"/>
        <v>-0.93999999999999773</v>
      </c>
      <c r="D207" s="5">
        <f t="shared" ca="1" si="31"/>
        <v>1</v>
      </c>
      <c r="E207" s="5">
        <f t="shared" ca="1" si="23"/>
        <v>0</v>
      </c>
      <c r="F207" s="5">
        <f t="shared" ca="1" si="24"/>
        <v>0</v>
      </c>
      <c r="G207" s="5">
        <f t="shared" ca="1" si="25"/>
        <v>1</v>
      </c>
      <c r="H207" s="11">
        <f t="shared" ca="1" si="32"/>
        <v>100999.21000000002</v>
      </c>
      <c r="I207" s="11">
        <f t="shared" ca="1" si="26"/>
        <v>0</v>
      </c>
      <c r="J207" s="11">
        <f t="shared" ca="1" si="27"/>
        <v>100999.21000000002</v>
      </c>
      <c r="K207" s="11">
        <f t="shared" ca="1" si="28"/>
        <v>75.010000000000005</v>
      </c>
      <c r="L207" s="11">
        <f t="shared" ca="1" si="29"/>
        <v>1074.2200000000157</v>
      </c>
    </row>
    <row r="208" spans="1:12" x14ac:dyDescent="0.25">
      <c r="A208" s="5">
        <v>193</v>
      </c>
      <c r="B208" s="18">
        <f t="shared" ca="1" si="30"/>
        <v>74.56</v>
      </c>
      <c r="C208" s="33">
        <f t="shared" ca="1" si="33"/>
        <v>-0.45000000000000284</v>
      </c>
      <c r="D208" s="5">
        <f t="shared" ca="1" si="31"/>
        <v>1</v>
      </c>
      <c r="E208" s="5">
        <f t="shared" ref="E208:E265" ca="1" si="34">IF(AND(C206&gt;0,C207&gt;0,C208&gt;0),ROUND(SellPct3*D208,0),IF(AND(C207&gt;0,C208&gt;0),ROUND(SellPct2*D208,0),0))</f>
        <v>0</v>
      </c>
      <c r="F208" s="5">
        <f t="shared" ref="F208:F265" ca="1" si="35">IF(AND(C206&lt;0,C207&lt;0,C208&lt;0),MIN(ROUND(BuyPct3*D208,0),INT(H208/B208)),IF(AND(C207&lt;0,C208&lt;0),MIN(ROUND(BuyPct2*D208,0),INT(H208/B208)),0))</f>
        <v>0</v>
      </c>
      <c r="G208" s="5">
        <f t="shared" ref="G208:G265" ca="1" si="36">D208-E208+F208</f>
        <v>1</v>
      </c>
      <c r="H208" s="11">
        <f t="shared" ca="1" si="32"/>
        <v>100999.21000000002</v>
      </c>
      <c r="I208" s="11">
        <f t="shared" ref="I208:I265" ca="1" si="37">(E208-F208)*B208</f>
        <v>0</v>
      </c>
      <c r="J208" s="11">
        <f t="shared" ref="J208:J265" ca="1" si="38">H208+I208</f>
        <v>100999.21000000002</v>
      </c>
      <c r="K208" s="11">
        <f t="shared" ref="K208:K265" ca="1" si="39">G208*B208</f>
        <v>74.56</v>
      </c>
      <c r="L208" s="11">
        <f t="shared" ref="L208:L265" ca="1" si="40">(J208+K208)-(InitCash+InitShares*InitPrice)</f>
        <v>1073.7700000000186</v>
      </c>
    </row>
    <row r="209" spans="1:12" x14ac:dyDescent="0.25">
      <c r="A209" s="5">
        <v>194</v>
      </c>
      <c r="B209" s="18">
        <f t="shared" ref="B209:B265" ca="1" si="41">ROUND(B208*EXP((GrMean-0.5*GrStdev^2)+GrStdev*NORMINV(RAND(),0,1)),2)</f>
        <v>73.66</v>
      </c>
      <c r="C209" s="33">
        <f t="shared" ca="1" si="33"/>
        <v>-0.90000000000000568</v>
      </c>
      <c r="D209" s="5">
        <f t="shared" ref="D209:D265" ca="1" si="42">G208</f>
        <v>1</v>
      </c>
      <c r="E209" s="5">
        <f t="shared" ca="1" si="34"/>
        <v>0</v>
      </c>
      <c r="F209" s="5">
        <f t="shared" ca="1" si="35"/>
        <v>0</v>
      </c>
      <c r="G209" s="5">
        <f t="shared" ca="1" si="36"/>
        <v>1</v>
      </c>
      <c r="H209" s="11">
        <f t="shared" ref="H209:H265" ca="1" si="43">J208</f>
        <v>100999.21000000002</v>
      </c>
      <c r="I209" s="11">
        <f t="shared" ca="1" si="37"/>
        <v>0</v>
      </c>
      <c r="J209" s="11">
        <f t="shared" ca="1" si="38"/>
        <v>100999.21000000002</v>
      </c>
      <c r="K209" s="11">
        <f t="shared" ca="1" si="39"/>
        <v>73.66</v>
      </c>
      <c r="L209" s="11">
        <f t="shared" ca="1" si="40"/>
        <v>1072.8700000000244</v>
      </c>
    </row>
    <row r="210" spans="1:12" x14ac:dyDescent="0.25">
      <c r="A210" s="5">
        <v>195</v>
      </c>
      <c r="B210" s="18">
        <f t="shared" ca="1" si="41"/>
        <v>73.58</v>
      </c>
      <c r="C210" s="33">
        <f t="shared" ca="1" si="33"/>
        <v>-7.9999999999998295E-2</v>
      </c>
      <c r="D210" s="5">
        <f t="shared" ca="1" si="42"/>
        <v>1</v>
      </c>
      <c r="E210" s="5">
        <f t="shared" ca="1" si="34"/>
        <v>0</v>
      </c>
      <c r="F210" s="5">
        <f t="shared" ca="1" si="35"/>
        <v>0</v>
      </c>
      <c r="G210" s="5">
        <f t="shared" ca="1" si="36"/>
        <v>1</v>
      </c>
      <c r="H210" s="11">
        <f t="shared" ca="1" si="43"/>
        <v>100999.21000000002</v>
      </c>
      <c r="I210" s="11">
        <f t="shared" ca="1" si="37"/>
        <v>0</v>
      </c>
      <c r="J210" s="11">
        <f t="shared" ca="1" si="38"/>
        <v>100999.21000000002</v>
      </c>
      <c r="K210" s="11">
        <f t="shared" ca="1" si="39"/>
        <v>73.58</v>
      </c>
      <c r="L210" s="11">
        <f t="shared" ca="1" si="40"/>
        <v>1072.7900000000227</v>
      </c>
    </row>
    <row r="211" spans="1:12" x14ac:dyDescent="0.25">
      <c r="A211" s="5">
        <v>196</v>
      </c>
      <c r="B211" s="18">
        <f t="shared" ca="1" si="41"/>
        <v>72.67</v>
      </c>
      <c r="C211" s="33">
        <f t="shared" ca="1" si="33"/>
        <v>-0.90999999999999659</v>
      </c>
      <c r="D211" s="5">
        <f t="shared" ca="1" si="42"/>
        <v>1</v>
      </c>
      <c r="E211" s="5">
        <f t="shared" ca="1" si="34"/>
        <v>0</v>
      </c>
      <c r="F211" s="5">
        <f t="shared" ca="1" si="35"/>
        <v>0</v>
      </c>
      <c r="G211" s="5">
        <f t="shared" ca="1" si="36"/>
        <v>1</v>
      </c>
      <c r="H211" s="11">
        <f t="shared" ca="1" si="43"/>
        <v>100999.21000000002</v>
      </c>
      <c r="I211" s="11">
        <f t="shared" ca="1" si="37"/>
        <v>0</v>
      </c>
      <c r="J211" s="11">
        <f t="shared" ca="1" si="38"/>
        <v>100999.21000000002</v>
      </c>
      <c r="K211" s="11">
        <f t="shared" ca="1" si="39"/>
        <v>72.67</v>
      </c>
      <c r="L211" s="11">
        <f t="shared" ca="1" si="40"/>
        <v>1071.8800000000192</v>
      </c>
    </row>
    <row r="212" spans="1:12" x14ac:dyDescent="0.25">
      <c r="A212" s="5">
        <v>197</v>
      </c>
      <c r="B212" s="18">
        <f t="shared" ca="1" si="41"/>
        <v>71.239999999999995</v>
      </c>
      <c r="C212" s="33">
        <f t="shared" ca="1" si="33"/>
        <v>-1.4300000000000068</v>
      </c>
      <c r="D212" s="5">
        <f t="shared" ca="1" si="42"/>
        <v>1</v>
      </c>
      <c r="E212" s="5">
        <f t="shared" ca="1" si="34"/>
        <v>0</v>
      </c>
      <c r="F212" s="5">
        <f t="shared" ca="1" si="35"/>
        <v>0</v>
      </c>
      <c r="G212" s="5">
        <f t="shared" ca="1" si="36"/>
        <v>1</v>
      </c>
      <c r="H212" s="11">
        <f t="shared" ca="1" si="43"/>
        <v>100999.21000000002</v>
      </c>
      <c r="I212" s="11">
        <f t="shared" ca="1" si="37"/>
        <v>0</v>
      </c>
      <c r="J212" s="11">
        <f t="shared" ca="1" si="38"/>
        <v>100999.21000000002</v>
      </c>
      <c r="K212" s="11">
        <f t="shared" ca="1" si="39"/>
        <v>71.239999999999995</v>
      </c>
      <c r="L212" s="11">
        <f t="shared" ca="1" si="40"/>
        <v>1070.4500000000262</v>
      </c>
    </row>
    <row r="213" spans="1:12" x14ac:dyDescent="0.25">
      <c r="A213" s="5">
        <v>198</v>
      </c>
      <c r="B213" s="18">
        <f t="shared" ca="1" si="41"/>
        <v>72.33</v>
      </c>
      <c r="C213" s="33">
        <f t="shared" ca="1" si="33"/>
        <v>1.0900000000000034</v>
      </c>
      <c r="D213" s="5">
        <f t="shared" ca="1" si="42"/>
        <v>1</v>
      </c>
      <c r="E213" s="5">
        <f t="shared" ca="1" si="34"/>
        <v>0</v>
      </c>
      <c r="F213" s="5">
        <f t="shared" ca="1" si="35"/>
        <v>0</v>
      </c>
      <c r="G213" s="5">
        <f t="shared" ca="1" si="36"/>
        <v>1</v>
      </c>
      <c r="H213" s="11">
        <f t="shared" ca="1" si="43"/>
        <v>100999.21000000002</v>
      </c>
      <c r="I213" s="11">
        <f t="shared" ca="1" si="37"/>
        <v>0</v>
      </c>
      <c r="J213" s="11">
        <f t="shared" ca="1" si="38"/>
        <v>100999.21000000002</v>
      </c>
      <c r="K213" s="11">
        <f t="shared" ca="1" si="39"/>
        <v>72.33</v>
      </c>
      <c r="L213" s="11">
        <f t="shared" ca="1" si="40"/>
        <v>1071.5400000000227</v>
      </c>
    </row>
    <row r="214" spans="1:12" x14ac:dyDescent="0.25">
      <c r="A214" s="5">
        <v>199</v>
      </c>
      <c r="B214" s="18">
        <f t="shared" ca="1" si="41"/>
        <v>73.260000000000005</v>
      </c>
      <c r="C214" s="33">
        <f t="shared" ca="1" si="33"/>
        <v>0.93000000000000682</v>
      </c>
      <c r="D214" s="5">
        <f t="shared" ca="1" si="42"/>
        <v>1</v>
      </c>
      <c r="E214" s="5">
        <f t="shared" ca="1" si="34"/>
        <v>0</v>
      </c>
      <c r="F214" s="5">
        <f t="shared" ca="1" si="35"/>
        <v>0</v>
      </c>
      <c r="G214" s="5">
        <f t="shared" ca="1" si="36"/>
        <v>1</v>
      </c>
      <c r="H214" s="11">
        <f t="shared" ca="1" si="43"/>
        <v>100999.21000000002</v>
      </c>
      <c r="I214" s="11">
        <f t="shared" ca="1" si="37"/>
        <v>0</v>
      </c>
      <c r="J214" s="11">
        <f t="shared" ca="1" si="38"/>
        <v>100999.21000000002</v>
      </c>
      <c r="K214" s="11">
        <f t="shared" ca="1" si="39"/>
        <v>73.260000000000005</v>
      </c>
      <c r="L214" s="11">
        <f t="shared" ca="1" si="40"/>
        <v>1072.4700000000157</v>
      </c>
    </row>
    <row r="215" spans="1:12" x14ac:dyDescent="0.25">
      <c r="A215" s="5">
        <v>200</v>
      </c>
      <c r="B215" s="18">
        <f t="shared" ca="1" si="41"/>
        <v>71.099999999999994</v>
      </c>
      <c r="C215" s="33">
        <f t="shared" ca="1" si="33"/>
        <v>-2.1600000000000108</v>
      </c>
      <c r="D215" s="5">
        <f t="shared" ca="1" si="42"/>
        <v>1</v>
      </c>
      <c r="E215" s="5">
        <f t="shared" ca="1" si="34"/>
        <v>0</v>
      </c>
      <c r="F215" s="5">
        <f t="shared" ca="1" si="35"/>
        <v>0</v>
      </c>
      <c r="G215" s="5">
        <f t="shared" ca="1" si="36"/>
        <v>1</v>
      </c>
      <c r="H215" s="11">
        <f t="shared" ca="1" si="43"/>
        <v>100999.21000000002</v>
      </c>
      <c r="I215" s="11">
        <f t="shared" ca="1" si="37"/>
        <v>0</v>
      </c>
      <c r="J215" s="11">
        <f t="shared" ca="1" si="38"/>
        <v>100999.21000000002</v>
      </c>
      <c r="K215" s="11">
        <f t="shared" ca="1" si="39"/>
        <v>71.099999999999994</v>
      </c>
      <c r="L215" s="11">
        <f t="shared" ca="1" si="40"/>
        <v>1070.3100000000268</v>
      </c>
    </row>
    <row r="216" spans="1:12" x14ac:dyDescent="0.25">
      <c r="A216" s="5">
        <v>201</v>
      </c>
      <c r="B216" s="18">
        <f t="shared" ca="1" si="41"/>
        <v>71.3</v>
      </c>
      <c r="C216" s="33">
        <f t="shared" ca="1" si="33"/>
        <v>0.20000000000000284</v>
      </c>
      <c r="D216" s="5">
        <f t="shared" ca="1" si="42"/>
        <v>1</v>
      </c>
      <c r="E216" s="5">
        <f t="shared" ca="1" si="34"/>
        <v>0</v>
      </c>
      <c r="F216" s="5">
        <f t="shared" ca="1" si="35"/>
        <v>0</v>
      </c>
      <c r="G216" s="5">
        <f t="shared" ca="1" si="36"/>
        <v>1</v>
      </c>
      <c r="H216" s="11">
        <f t="shared" ca="1" si="43"/>
        <v>100999.21000000002</v>
      </c>
      <c r="I216" s="11">
        <f t="shared" ca="1" si="37"/>
        <v>0</v>
      </c>
      <c r="J216" s="11">
        <f t="shared" ca="1" si="38"/>
        <v>100999.21000000002</v>
      </c>
      <c r="K216" s="11">
        <f t="shared" ca="1" si="39"/>
        <v>71.3</v>
      </c>
      <c r="L216" s="11">
        <f t="shared" ca="1" si="40"/>
        <v>1070.5100000000239</v>
      </c>
    </row>
    <row r="217" spans="1:12" x14ac:dyDescent="0.25">
      <c r="A217" s="5">
        <v>202</v>
      </c>
      <c r="B217" s="18">
        <f t="shared" ca="1" si="41"/>
        <v>71.459999999999994</v>
      </c>
      <c r="C217" s="33">
        <f t="shared" ca="1" si="33"/>
        <v>0.15999999999999659</v>
      </c>
      <c r="D217" s="5">
        <f t="shared" ca="1" si="42"/>
        <v>1</v>
      </c>
      <c r="E217" s="5">
        <f t="shared" ca="1" si="34"/>
        <v>0</v>
      </c>
      <c r="F217" s="5">
        <f t="shared" ca="1" si="35"/>
        <v>0</v>
      </c>
      <c r="G217" s="5">
        <f t="shared" ca="1" si="36"/>
        <v>1</v>
      </c>
      <c r="H217" s="11">
        <f t="shared" ca="1" si="43"/>
        <v>100999.21000000002</v>
      </c>
      <c r="I217" s="11">
        <f t="shared" ca="1" si="37"/>
        <v>0</v>
      </c>
      <c r="J217" s="11">
        <f t="shared" ca="1" si="38"/>
        <v>100999.21000000002</v>
      </c>
      <c r="K217" s="11">
        <f t="shared" ca="1" si="39"/>
        <v>71.459999999999994</v>
      </c>
      <c r="L217" s="11">
        <f t="shared" ca="1" si="40"/>
        <v>1070.6700000000274</v>
      </c>
    </row>
    <row r="218" spans="1:12" x14ac:dyDescent="0.25">
      <c r="A218" s="5">
        <v>203</v>
      </c>
      <c r="B218" s="18">
        <f t="shared" ca="1" si="41"/>
        <v>71.819999999999993</v>
      </c>
      <c r="C218" s="33">
        <f t="shared" ca="1" si="33"/>
        <v>0.35999999999999943</v>
      </c>
      <c r="D218" s="5">
        <f t="shared" ca="1" si="42"/>
        <v>1</v>
      </c>
      <c r="E218" s="5">
        <f t="shared" ca="1" si="34"/>
        <v>0</v>
      </c>
      <c r="F218" s="5">
        <f t="shared" ca="1" si="35"/>
        <v>0</v>
      </c>
      <c r="G218" s="5">
        <f t="shared" ca="1" si="36"/>
        <v>1</v>
      </c>
      <c r="H218" s="11">
        <f t="shared" ca="1" si="43"/>
        <v>100999.21000000002</v>
      </c>
      <c r="I218" s="11">
        <f t="shared" ca="1" si="37"/>
        <v>0</v>
      </c>
      <c r="J218" s="11">
        <f t="shared" ca="1" si="38"/>
        <v>100999.21000000002</v>
      </c>
      <c r="K218" s="11">
        <f t="shared" ca="1" si="39"/>
        <v>71.819999999999993</v>
      </c>
      <c r="L218" s="11">
        <f t="shared" ca="1" si="40"/>
        <v>1071.0300000000279</v>
      </c>
    </row>
    <row r="219" spans="1:12" x14ac:dyDescent="0.25">
      <c r="A219" s="5">
        <v>204</v>
      </c>
      <c r="B219" s="18">
        <f t="shared" ca="1" si="41"/>
        <v>71.37</v>
      </c>
      <c r="C219" s="33">
        <f t="shared" ca="1" si="33"/>
        <v>-0.44999999999998863</v>
      </c>
      <c r="D219" s="5">
        <f t="shared" ca="1" si="42"/>
        <v>1</v>
      </c>
      <c r="E219" s="5">
        <f t="shared" ca="1" si="34"/>
        <v>0</v>
      </c>
      <c r="F219" s="5">
        <f t="shared" ca="1" si="35"/>
        <v>0</v>
      </c>
      <c r="G219" s="5">
        <f t="shared" ca="1" si="36"/>
        <v>1</v>
      </c>
      <c r="H219" s="11">
        <f t="shared" ca="1" si="43"/>
        <v>100999.21000000002</v>
      </c>
      <c r="I219" s="11">
        <f t="shared" ca="1" si="37"/>
        <v>0</v>
      </c>
      <c r="J219" s="11">
        <f t="shared" ca="1" si="38"/>
        <v>100999.21000000002</v>
      </c>
      <c r="K219" s="11">
        <f t="shared" ca="1" si="39"/>
        <v>71.37</v>
      </c>
      <c r="L219" s="11">
        <f t="shared" ca="1" si="40"/>
        <v>1070.5800000000163</v>
      </c>
    </row>
    <row r="220" spans="1:12" x14ac:dyDescent="0.25">
      <c r="A220" s="5">
        <v>205</v>
      </c>
      <c r="B220" s="18">
        <f t="shared" ca="1" si="41"/>
        <v>72.16</v>
      </c>
      <c r="C220" s="33">
        <f t="shared" ca="1" si="33"/>
        <v>0.78999999999999204</v>
      </c>
      <c r="D220" s="5">
        <f t="shared" ca="1" si="42"/>
        <v>1</v>
      </c>
      <c r="E220" s="5">
        <f t="shared" ca="1" si="34"/>
        <v>0</v>
      </c>
      <c r="F220" s="5">
        <f t="shared" ca="1" si="35"/>
        <v>0</v>
      </c>
      <c r="G220" s="5">
        <f t="shared" ca="1" si="36"/>
        <v>1</v>
      </c>
      <c r="H220" s="11">
        <f t="shared" ca="1" si="43"/>
        <v>100999.21000000002</v>
      </c>
      <c r="I220" s="11">
        <f t="shared" ca="1" si="37"/>
        <v>0</v>
      </c>
      <c r="J220" s="11">
        <f t="shared" ca="1" si="38"/>
        <v>100999.21000000002</v>
      </c>
      <c r="K220" s="11">
        <f t="shared" ca="1" si="39"/>
        <v>72.16</v>
      </c>
      <c r="L220" s="11">
        <f t="shared" ca="1" si="40"/>
        <v>1071.3700000000244</v>
      </c>
    </row>
    <row r="221" spans="1:12" x14ac:dyDescent="0.25">
      <c r="A221" s="5">
        <v>206</v>
      </c>
      <c r="B221" s="18">
        <f t="shared" ca="1" si="41"/>
        <v>70.819999999999993</v>
      </c>
      <c r="C221" s="33">
        <f t="shared" ca="1" si="33"/>
        <v>-1.3400000000000034</v>
      </c>
      <c r="D221" s="5">
        <f t="shared" ca="1" si="42"/>
        <v>1</v>
      </c>
      <c r="E221" s="5">
        <f t="shared" ca="1" si="34"/>
        <v>0</v>
      </c>
      <c r="F221" s="5">
        <f t="shared" ca="1" si="35"/>
        <v>0</v>
      </c>
      <c r="G221" s="5">
        <f t="shared" ca="1" si="36"/>
        <v>1</v>
      </c>
      <c r="H221" s="11">
        <f t="shared" ca="1" si="43"/>
        <v>100999.21000000002</v>
      </c>
      <c r="I221" s="11">
        <f t="shared" ca="1" si="37"/>
        <v>0</v>
      </c>
      <c r="J221" s="11">
        <f t="shared" ca="1" si="38"/>
        <v>100999.21000000002</v>
      </c>
      <c r="K221" s="11">
        <f t="shared" ca="1" si="39"/>
        <v>70.819999999999993</v>
      </c>
      <c r="L221" s="11">
        <f t="shared" ca="1" si="40"/>
        <v>1070.0300000000279</v>
      </c>
    </row>
    <row r="222" spans="1:12" x14ac:dyDescent="0.25">
      <c r="A222" s="5">
        <v>207</v>
      </c>
      <c r="B222" s="18">
        <f t="shared" ca="1" si="41"/>
        <v>71.150000000000006</v>
      </c>
      <c r="C222" s="33">
        <f t="shared" ca="1" si="33"/>
        <v>0.33000000000001251</v>
      </c>
      <c r="D222" s="5">
        <f t="shared" ca="1" si="42"/>
        <v>1</v>
      </c>
      <c r="E222" s="5">
        <f t="shared" ca="1" si="34"/>
        <v>0</v>
      </c>
      <c r="F222" s="5">
        <f t="shared" ca="1" si="35"/>
        <v>0</v>
      </c>
      <c r="G222" s="5">
        <f t="shared" ca="1" si="36"/>
        <v>1</v>
      </c>
      <c r="H222" s="11">
        <f t="shared" ca="1" si="43"/>
        <v>100999.21000000002</v>
      </c>
      <c r="I222" s="11">
        <f t="shared" ca="1" si="37"/>
        <v>0</v>
      </c>
      <c r="J222" s="11">
        <f t="shared" ca="1" si="38"/>
        <v>100999.21000000002</v>
      </c>
      <c r="K222" s="11">
        <f t="shared" ca="1" si="39"/>
        <v>71.150000000000006</v>
      </c>
      <c r="L222" s="11">
        <f t="shared" ca="1" si="40"/>
        <v>1070.3600000000151</v>
      </c>
    </row>
    <row r="223" spans="1:12" x14ac:dyDescent="0.25">
      <c r="A223" s="5">
        <v>208</v>
      </c>
      <c r="B223" s="18">
        <f t="shared" ca="1" si="41"/>
        <v>72.22</v>
      </c>
      <c r="C223" s="33">
        <f t="shared" ca="1" si="33"/>
        <v>1.0699999999999932</v>
      </c>
      <c r="D223" s="5">
        <f t="shared" ca="1" si="42"/>
        <v>1</v>
      </c>
      <c r="E223" s="5">
        <f t="shared" ca="1" si="34"/>
        <v>0</v>
      </c>
      <c r="F223" s="5">
        <f t="shared" ca="1" si="35"/>
        <v>0</v>
      </c>
      <c r="G223" s="5">
        <f t="shared" ca="1" si="36"/>
        <v>1</v>
      </c>
      <c r="H223" s="11">
        <f t="shared" ca="1" si="43"/>
        <v>100999.21000000002</v>
      </c>
      <c r="I223" s="11">
        <f t="shared" ca="1" si="37"/>
        <v>0</v>
      </c>
      <c r="J223" s="11">
        <f t="shared" ca="1" si="38"/>
        <v>100999.21000000002</v>
      </c>
      <c r="K223" s="11">
        <f t="shared" ca="1" si="39"/>
        <v>72.22</v>
      </c>
      <c r="L223" s="11">
        <f t="shared" ca="1" si="40"/>
        <v>1071.4300000000221</v>
      </c>
    </row>
    <row r="224" spans="1:12" x14ac:dyDescent="0.25">
      <c r="A224" s="5">
        <v>209</v>
      </c>
      <c r="B224" s="18">
        <f t="shared" ca="1" si="41"/>
        <v>69.430000000000007</v>
      </c>
      <c r="C224" s="33">
        <f t="shared" ca="1" si="33"/>
        <v>-2.789999999999992</v>
      </c>
      <c r="D224" s="5">
        <f t="shared" ca="1" si="42"/>
        <v>1</v>
      </c>
      <c r="E224" s="5">
        <f t="shared" ca="1" si="34"/>
        <v>0</v>
      </c>
      <c r="F224" s="5">
        <f t="shared" ca="1" si="35"/>
        <v>0</v>
      </c>
      <c r="G224" s="5">
        <f t="shared" ca="1" si="36"/>
        <v>1</v>
      </c>
      <c r="H224" s="11">
        <f t="shared" ca="1" si="43"/>
        <v>100999.21000000002</v>
      </c>
      <c r="I224" s="11">
        <f t="shared" ca="1" si="37"/>
        <v>0</v>
      </c>
      <c r="J224" s="11">
        <f t="shared" ca="1" si="38"/>
        <v>100999.21000000002</v>
      </c>
      <c r="K224" s="11">
        <f t="shared" ca="1" si="39"/>
        <v>69.430000000000007</v>
      </c>
      <c r="L224" s="11">
        <f t="shared" ca="1" si="40"/>
        <v>1068.640000000014</v>
      </c>
    </row>
    <row r="225" spans="1:12" x14ac:dyDescent="0.25">
      <c r="A225" s="5">
        <v>210</v>
      </c>
      <c r="B225" s="18">
        <f t="shared" ca="1" si="41"/>
        <v>70.2</v>
      </c>
      <c r="C225" s="33">
        <f t="shared" ca="1" si="33"/>
        <v>0.76999999999999602</v>
      </c>
      <c r="D225" s="5">
        <f t="shared" ca="1" si="42"/>
        <v>1</v>
      </c>
      <c r="E225" s="5">
        <f t="shared" ca="1" si="34"/>
        <v>0</v>
      </c>
      <c r="F225" s="5">
        <f t="shared" ca="1" si="35"/>
        <v>0</v>
      </c>
      <c r="G225" s="5">
        <f t="shared" ca="1" si="36"/>
        <v>1</v>
      </c>
      <c r="H225" s="11">
        <f t="shared" ca="1" si="43"/>
        <v>100999.21000000002</v>
      </c>
      <c r="I225" s="11">
        <f t="shared" ca="1" si="37"/>
        <v>0</v>
      </c>
      <c r="J225" s="11">
        <f t="shared" ca="1" si="38"/>
        <v>100999.21000000002</v>
      </c>
      <c r="K225" s="11">
        <f t="shared" ca="1" si="39"/>
        <v>70.2</v>
      </c>
      <c r="L225" s="11">
        <f t="shared" ca="1" si="40"/>
        <v>1069.410000000018</v>
      </c>
    </row>
    <row r="226" spans="1:12" x14ac:dyDescent="0.25">
      <c r="A226" s="5">
        <v>211</v>
      </c>
      <c r="B226" s="18">
        <f t="shared" ca="1" si="41"/>
        <v>70.55</v>
      </c>
      <c r="C226" s="33">
        <f t="shared" ca="1" si="33"/>
        <v>0.34999999999999432</v>
      </c>
      <c r="D226" s="5">
        <f t="shared" ca="1" si="42"/>
        <v>1</v>
      </c>
      <c r="E226" s="5">
        <f t="shared" ca="1" si="34"/>
        <v>0</v>
      </c>
      <c r="F226" s="5">
        <f t="shared" ca="1" si="35"/>
        <v>0</v>
      </c>
      <c r="G226" s="5">
        <f t="shared" ca="1" si="36"/>
        <v>1</v>
      </c>
      <c r="H226" s="11">
        <f t="shared" ca="1" si="43"/>
        <v>100999.21000000002</v>
      </c>
      <c r="I226" s="11">
        <f t="shared" ca="1" si="37"/>
        <v>0</v>
      </c>
      <c r="J226" s="11">
        <f t="shared" ca="1" si="38"/>
        <v>100999.21000000002</v>
      </c>
      <c r="K226" s="11">
        <f t="shared" ca="1" si="39"/>
        <v>70.55</v>
      </c>
      <c r="L226" s="11">
        <f t="shared" ca="1" si="40"/>
        <v>1069.7600000000239</v>
      </c>
    </row>
    <row r="227" spans="1:12" x14ac:dyDescent="0.25">
      <c r="A227" s="5">
        <v>212</v>
      </c>
      <c r="B227" s="18">
        <f t="shared" ca="1" si="41"/>
        <v>70.650000000000006</v>
      </c>
      <c r="C227" s="33">
        <f t="shared" ca="1" si="33"/>
        <v>0.10000000000000853</v>
      </c>
      <c r="D227" s="5">
        <f t="shared" ca="1" si="42"/>
        <v>1</v>
      </c>
      <c r="E227" s="5">
        <f t="shared" ca="1" si="34"/>
        <v>0</v>
      </c>
      <c r="F227" s="5">
        <f t="shared" ca="1" si="35"/>
        <v>0</v>
      </c>
      <c r="G227" s="5">
        <f t="shared" ca="1" si="36"/>
        <v>1</v>
      </c>
      <c r="H227" s="11">
        <f t="shared" ca="1" si="43"/>
        <v>100999.21000000002</v>
      </c>
      <c r="I227" s="11">
        <f t="shared" ca="1" si="37"/>
        <v>0</v>
      </c>
      <c r="J227" s="11">
        <f t="shared" ca="1" si="38"/>
        <v>100999.21000000002</v>
      </c>
      <c r="K227" s="11">
        <f t="shared" ca="1" si="39"/>
        <v>70.650000000000006</v>
      </c>
      <c r="L227" s="11">
        <f t="shared" ca="1" si="40"/>
        <v>1069.8600000000151</v>
      </c>
    </row>
    <row r="228" spans="1:12" x14ac:dyDescent="0.25">
      <c r="A228" s="5">
        <v>213</v>
      </c>
      <c r="B228" s="18">
        <f t="shared" ca="1" si="41"/>
        <v>68.209999999999994</v>
      </c>
      <c r="C228" s="33">
        <f t="shared" ca="1" si="33"/>
        <v>-2.4400000000000119</v>
      </c>
      <c r="D228" s="5">
        <f t="shared" ca="1" si="42"/>
        <v>1</v>
      </c>
      <c r="E228" s="5">
        <f t="shared" ca="1" si="34"/>
        <v>0</v>
      </c>
      <c r="F228" s="5">
        <f t="shared" ca="1" si="35"/>
        <v>0</v>
      </c>
      <c r="G228" s="5">
        <f t="shared" ca="1" si="36"/>
        <v>1</v>
      </c>
      <c r="H228" s="11">
        <f t="shared" ca="1" si="43"/>
        <v>100999.21000000002</v>
      </c>
      <c r="I228" s="11">
        <f t="shared" ca="1" si="37"/>
        <v>0</v>
      </c>
      <c r="J228" s="11">
        <f t="shared" ca="1" si="38"/>
        <v>100999.21000000002</v>
      </c>
      <c r="K228" s="11">
        <f t="shared" ca="1" si="39"/>
        <v>68.209999999999994</v>
      </c>
      <c r="L228" s="11">
        <f t="shared" ca="1" si="40"/>
        <v>1067.4200000000274</v>
      </c>
    </row>
    <row r="229" spans="1:12" x14ac:dyDescent="0.25">
      <c r="A229" s="5">
        <v>214</v>
      </c>
      <c r="B229" s="18">
        <f t="shared" ca="1" si="41"/>
        <v>66.73</v>
      </c>
      <c r="C229" s="33">
        <f t="shared" ca="1" si="33"/>
        <v>-1.4799999999999898</v>
      </c>
      <c r="D229" s="5">
        <f t="shared" ca="1" si="42"/>
        <v>1</v>
      </c>
      <c r="E229" s="5">
        <f t="shared" ca="1" si="34"/>
        <v>0</v>
      </c>
      <c r="F229" s="5">
        <f t="shared" ca="1" si="35"/>
        <v>0</v>
      </c>
      <c r="G229" s="5">
        <f t="shared" ca="1" si="36"/>
        <v>1</v>
      </c>
      <c r="H229" s="11">
        <f t="shared" ca="1" si="43"/>
        <v>100999.21000000002</v>
      </c>
      <c r="I229" s="11">
        <f t="shared" ca="1" si="37"/>
        <v>0</v>
      </c>
      <c r="J229" s="11">
        <f t="shared" ca="1" si="38"/>
        <v>100999.21000000002</v>
      </c>
      <c r="K229" s="11">
        <f t="shared" ca="1" si="39"/>
        <v>66.73</v>
      </c>
      <c r="L229" s="11">
        <f t="shared" ca="1" si="40"/>
        <v>1065.9400000000169</v>
      </c>
    </row>
    <row r="230" spans="1:12" x14ac:dyDescent="0.25">
      <c r="A230" s="5">
        <v>215</v>
      </c>
      <c r="B230" s="18">
        <f t="shared" ca="1" si="41"/>
        <v>66.069999999999993</v>
      </c>
      <c r="C230" s="33">
        <f t="shared" ca="1" si="33"/>
        <v>-0.6600000000000108</v>
      </c>
      <c r="D230" s="5">
        <f t="shared" ca="1" si="42"/>
        <v>1</v>
      </c>
      <c r="E230" s="5">
        <f t="shared" ca="1" si="34"/>
        <v>0</v>
      </c>
      <c r="F230" s="5">
        <f t="shared" ca="1" si="35"/>
        <v>0</v>
      </c>
      <c r="G230" s="5">
        <f t="shared" ca="1" si="36"/>
        <v>1</v>
      </c>
      <c r="H230" s="11">
        <f t="shared" ca="1" si="43"/>
        <v>100999.21000000002</v>
      </c>
      <c r="I230" s="11">
        <f t="shared" ca="1" si="37"/>
        <v>0</v>
      </c>
      <c r="J230" s="11">
        <f t="shared" ca="1" si="38"/>
        <v>100999.21000000002</v>
      </c>
      <c r="K230" s="11">
        <f t="shared" ca="1" si="39"/>
        <v>66.069999999999993</v>
      </c>
      <c r="L230" s="11">
        <f t="shared" ca="1" si="40"/>
        <v>1065.2800000000279</v>
      </c>
    </row>
    <row r="231" spans="1:12" x14ac:dyDescent="0.25">
      <c r="A231" s="5">
        <v>216</v>
      </c>
      <c r="B231" s="18">
        <f t="shared" ca="1" si="41"/>
        <v>65.64</v>
      </c>
      <c r="C231" s="33">
        <f t="shared" ca="1" si="33"/>
        <v>-0.42999999999999261</v>
      </c>
      <c r="D231" s="5">
        <f t="shared" ca="1" si="42"/>
        <v>1</v>
      </c>
      <c r="E231" s="5">
        <f t="shared" ca="1" si="34"/>
        <v>0</v>
      </c>
      <c r="F231" s="5">
        <f t="shared" ca="1" si="35"/>
        <v>0</v>
      </c>
      <c r="G231" s="5">
        <f t="shared" ca="1" si="36"/>
        <v>1</v>
      </c>
      <c r="H231" s="11">
        <f t="shared" ca="1" si="43"/>
        <v>100999.21000000002</v>
      </c>
      <c r="I231" s="11">
        <f t="shared" ca="1" si="37"/>
        <v>0</v>
      </c>
      <c r="J231" s="11">
        <f t="shared" ca="1" si="38"/>
        <v>100999.21000000002</v>
      </c>
      <c r="K231" s="11">
        <f t="shared" ca="1" si="39"/>
        <v>65.64</v>
      </c>
      <c r="L231" s="11">
        <f t="shared" ca="1" si="40"/>
        <v>1064.8500000000204</v>
      </c>
    </row>
    <row r="232" spans="1:12" x14ac:dyDescent="0.25">
      <c r="A232" s="5">
        <v>217</v>
      </c>
      <c r="B232" s="18">
        <f t="shared" ca="1" si="41"/>
        <v>66.02</v>
      </c>
      <c r="C232" s="33">
        <f t="shared" ca="1" si="33"/>
        <v>0.37999999999999545</v>
      </c>
      <c r="D232" s="5">
        <f t="shared" ca="1" si="42"/>
        <v>1</v>
      </c>
      <c r="E232" s="5">
        <f t="shared" ca="1" si="34"/>
        <v>0</v>
      </c>
      <c r="F232" s="5">
        <f t="shared" ca="1" si="35"/>
        <v>0</v>
      </c>
      <c r="G232" s="5">
        <f t="shared" ca="1" si="36"/>
        <v>1</v>
      </c>
      <c r="H232" s="11">
        <f t="shared" ca="1" si="43"/>
        <v>100999.21000000002</v>
      </c>
      <c r="I232" s="11">
        <f t="shared" ca="1" si="37"/>
        <v>0</v>
      </c>
      <c r="J232" s="11">
        <f t="shared" ca="1" si="38"/>
        <v>100999.21000000002</v>
      </c>
      <c r="K232" s="11">
        <f t="shared" ca="1" si="39"/>
        <v>66.02</v>
      </c>
      <c r="L232" s="11">
        <f t="shared" ca="1" si="40"/>
        <v>1065.230000000025</v>
      </c>
    </row>
    <row r="233" spans="1:12" x14ac:dyDescent="0.25">
      <c r="A233" s="5">
        <v>218</v>
      </c>
      <c r="B233" s="18">
        <f t="shared" ca="1" si="41"/>
        <v>65.56</v>
      </c>
      <c r="C233" s="33">
        <f t="shared" ca="1" si="33"/>
        <v>-0.45999999999999375</v>
      </c>
      <c r="D233" s="5">
        <f t="shared" ca="1" si="42"/>
        <v>1</v>
      </c>
      <c r="E233" s="5">
        <f t="shared" ca="1" si="34"/>
        <v>0</v>
      </c>
      <c r="F233" s="5">
        <f t="shared" ca="1" si="35"/>
        <v>0</v>
      </c>
      <c r="G233" s="5">
        <f t="shared" ca="1" si="36"/>
        <v>1</v>
      </c>
      <c r="H233" s="11">
        <f t="shared" ca="1" si="43"/>
        <v>100999.21000000002</v>
      </c>
      <c r="I233" s="11">
        <f t="shared" ca="1" si="37"/>
        <v>0</v>
      </c>
      <c r="J233" s="11">
        <f t="shared" ca="1" si="38"/>
        <v>100999.21000000002</v>
      </c>
      <c r="K233" s="11">
        <f t="shared" ca="1" si="39"/>
        <v>65.56</v>
      </c>
      <c r="L233" s="11">
        <f t="shared" ca="1" si="40"/>
        <v>1064.7700000000186</v>
      </c>
    </row>
    <row r="234" spans="1:12" x14ac:dyDescent="0.25">
      <c r="A234" s="5">
        <v>219</v>
      </c>
      <c r="B234" s="18">
        <f t="shared" ca="1" si="41"/>
        <v>65.150000000000006</v>
      </c>
      <c r="C234" s="33">
        <f t="shared" ca="1" si="33"/>
        <v>-0.40999999999999659</v>
      </c>
      <c r="D234" s="5">
        <f t="shared" ca="1" si="42"/>
        <v>1</v>
      </c>
      <c r="E234" s="5">
        <f t="shared" ca="1" si="34"/>
        <v>0</v>
      </c>
      <c r="F234" s="5">
        <f t="shared" ca="1" si="35"/>
        <v>0</v>
      </c>
      <c r="G234" s="5">
        <f t="shared" ca="1" si="36"/>
        <v>1</v>
      </c>
      <c r="H234" s="11">
        <f t="shared" ca="1" si="43"/>
        <v>100999.21000000002</v>
      </c>
      <c r="I234" s="11">
        <f t="shared" ca="1" si="37"/>
        <v>0</v>
      </c>
      <c r="J234" s="11">
        <f t="shared" ca="1" si="38"/>
        <v>100999.21000000002</v>
      </c>
      <c r="K234" s="11">
        <f t="shared" ca="1" si="39"/>
        <v>65.150000000000006</v>
      </c>
      <c r="L234" s="11">
        <f t="shared" ca="1" si="40"/>
        <v>1064.3600000000151</v>
      </c>
    </row>
    <row r="235" spans="1:12" x14ac:dyDescent="0.25">
      <c r="A235" s="5">
        <v>220</v>
      </c>
      <c r="B235" s="18">
        <f t="shared" ca="1" si="41"/>
        <v>64.89</v>
      </c>
      <c r="C235" s="33">
        <f t="shared" ca="1" si="33"/>
        <v>-0.26000000000000512</v>
      </c>
      <c r="D235" s="5">
        <f t="shared" ca="1" si="42"/>
        <v>1</v>
      </c>
      <c r="E235" s="5">
        <f t="shared" ca="1" si="34"/>
        <v>0</v>
      </c>
      <c r="F235" s="5">
        <f t="shared" ca="1" si="35"/>
        <v>0</v>
      </c>
      <c r="G235" s="5">
        <f t="shared" ca="1" si="36"/>
        <v>1</v>
      </c>
      <c r="H235" s="11">
        <f t="shared" ca="1" si="43"/>
        <v>100999.21000000002</v>
      </c>
      <c r="I235" s="11">
        <f t="shared" ca="1" si="37"/>
        <v>0</v>
      </c>
      <c r="J235" s="11">
        <f t="shared" ca="1" si="38"/>
        <v>100999.21000000002</v>
      </c>
      <c r="K235" s="11">
        <f t="shared" ca="1" si="39"/>
        <v>64.89</v>
      </c>
      <c r="L235" s="11">
        <f t="shared" ca="1" si="40"/>
        <v>1064.1000000000204</v>
      </c>
    </row>
    <row r="236" spans="1:12" x14ac:dyDescent="0.25">
      <c r="A236" s="5">
        <v>221</v>
      </c>
      <c r="B236" s="18">
        <f t="shared" ca="1" si="41"/>
        <v>64.59</v>
      </c>
      <c r="C236" s="33">
        <f t="shared" ca="1" si="33"/>
        <v>-0.29999999999999716</v>
      </c>
      <c r="D236" s="5">
        <f t="shared" ca="1" si="42"/>
        <v>1</v>
      </c>
      <c r="E236" s="5">
        <f t="shared" ca="1" si="34"/>
        <v>0</v>
      </c>
      <c r="F236" s="5">
        <f t="shared" ca="1" si="35"/>
        <v>0</v>
      </c>
      <c r="G236" s="5">
        <f t="shared" ca="1" si="36"/>
        <v>1</v>
      </c>
      <c r="H236" s="11">
        <f t="shared" ca="1" si="43"/>
        <v>100999.21000000002</v>
      </c>
      <c r="I236" s="11">
        <f t="shared" ca="1" si="37"/>
        <v>0</v>
      </c>
      <c r="J236" s="11">
        <f t="shared" ca="1" si="38"/>
        <v>100999.21000000002</v>
      </c>
      <c r="K236" s="11">
        <f t="shared" ca="1" si="39"/>
        <v>64.59</v>
      </c>
      <c r="L236" s="11">
        <f t="shared" ca="1" si="40"/>
        <v>1063.8000000000175</v>
      </c>
    </row>
    <row r="237" spans="1:12" x14ac:dyDescent="0.25">
      <c r="A237" s="5">
        <v>222</v>
      </c>
      <c r="B237" s="18">
        <f t="shared" ca="1" si="41"/>
        <v>62.76</v>
      </c>
      <c r="C237" s="33">
        <f t="shared" ca="1" si="33"/>
        <v>-1.8300000000000054</v>
      </c>
      <c r="D237" s="5">
        <f t="shared" ca="1" si="42"/>
        <v>1</v>
      </c>
      <c r="E237" s="5">
        <f t="shared" ca="1" si="34"/>
        <v>0</v>
      </c>
      <c r="F237" s="5">
        <f t="shared" ca="1" si="35"/>
        <v>0</v>
      </c>
      <c r="G237" s="5">
        <f t="shared" ca="1" si="36"/>
        <v>1</v>
      </c>
      <c r="H237" s="11">
        <f t="shared" ca="1" si="43"/>
        <v>100999.21000000002</v>
      </c>
      <c r="I237" s="11">
        <f t="shared" ca="1" si="37"/>
        <v>0</v>
      </c>
      <c r="J237" s="11">
        <f t="shared" ca="1" si="38"/>
        <v>100999.21000000002</v>
      </c>
      <c r="K237" s="11">
        <f t="shared" ca="1" si="39"/>
        <v>62.76</v>
      </c>
      <c r="L237" s="11">
        <f t="shared" ca="1" si="40"/>
        <v>1061.9700000000157</v>
      </c>
    </row>
    <row r="238" spans="1:12" x14ac:dyDescent="0.25">
      <c r="A238" s="5">
        <v>223</v>
      </c>
      <c r="B238" s="18">
        <f t="shared" ca="1" si="41"/>
        <v>62.85</v>
      </c>
      <c r="C238" s="33">
        <f t="shared" ca="1" si="33"/>
        <v>9.0000000000003411E-2</v>
      </c>
      <c r="D238" s="5">
        <f t="shared" ca="1" si="42"/>
        <v>1</v>
      </c>
      <c r="E238" s="5">
        <f t="shared" ca="1" si="34"/>
        <v>0</v>
      </c>
      <c r="F238" s="5">
        <f t="shared" ca="1" si="35"/>
        <v>0</v>
      </c>
      <c r="G238" s="5">
        <f t="shared" ca="1" si="36"/>
        <v>1</v>
      </c>
      <c r="H238" s="11">
        <f t="shared" ca="1" si="43"/>
        <v>100999.21000000002</v>
      </c>
      <c r="I238" s="11">
        <f t="shared" ca="1" si="37"/>
        <v>0</v>
      </c>
      <c r="J238" s="11">
        <f t="shared" ca="1" si="38"/>
        <v>100999.21000000002</v>
      </c>
      <c r="K238" s="11">
        <f t="shared" ca="1" si="39"/>
        <v>62.85</v>
      </c>
      <c r="L238" s="11">
        <f t="shared" ca="1" si="40"/>
        <v>1062.0600000000268</v>
      </c>
    </row>
    <row r="239" spans="1:12" x14ac:dyDescent="0.25">
      <c r="A239" s="5">
        <v>224</v>
      </c>
      <c r="B239" s="18">
        <f t="shared" ca="1" si="41"/>
        <v>62.09</v>
      </c>
      <c r="C239" s="33">
        <f t="shared" ca="1" si="33"/>
        <v>-0.75999999999999801</v>
      </c>
      <c r="D239" s="5">
        <f t="shared" ca="1" si="42"/>
        <v>1</v>
      </c>
      <c r="E239" s="5">
        <f t="shared" ca="1" si="34"/>
        <v>0</v>
      </c>
      <c r="F239" s="5">
        <f t="shared" ca="1" si="35"/>
        <v>0</v>
      </c>
      <c r="G239" s="5">
        <f t="shared" ca="1" si="36"/>
        <v>1</v>
      </c>
      <c r="H239" s="11">
        <f t="shared" ca="1" si="43"/>
        <v>100999.21000000002</v>
      </c>
      <c r="I239" s="11">
        <f t="shared" ca="1" si="37"/>
        <v>0</v>
      </c>
      <c r="J239" s="11">
        <f t="shared" ca="1" si="38"/>
        <v>100999.21000000002</v>
      </c>
      <c r="K239" s="11">
        <f t="shared" ca="1" si="39"/>
        <v>62.09</v>
      </c>
      <c r="L239" s="11">
        <f t="shared" ca="1" si="40"/>
        <v>1061.3000000000175</v>
      </c>
    </row>
    <row r="240" spans="1:12" x14ac:dyDescent="0.25">
      <c r="A240" s="5">
        <v>225</v>
      </c>
      <c r="B240" s="18">
        <f t="shared" ca="1" si="41"/>
        <v>62.44</v>
      </c>
      <c r="C240" s="33">
        <f t="shared" ca="1" si="33"/>
        <v>0.34999999999999432</v>
      </c>
      <c r="D240" s="5">
        <f t="shared" ca="1" si="42"/>
        <v>1</v>
      </c>
      <c r="E240" s="5">
        <f t="shared" ca="1" si="34"/>
        <v>0</v>
      </c>
      <c r="F240" s="5">
        <f t="shared" ca="1" si="35"/>
        <v>0</v>
      </c>
      <c r="G240" s="5">
        <f t="shared" ca="1" si="36"/>
        <v>1</v>
      </c>
      <c r="H240" s="11">
        <f t="shared" ca="1" si="43"/>
        <v>100999.21000000002</v>
      </c>
      <c r="I240" s="11">
        <f t="shared" ca="1" si="37"/>
        <v>0</v>
      </c>
      <c r="J240" s="11">
        <f t="shared" ca="1" si="38"/>
        <v>100999.21000000002</v>
      </c>
      <c r="K240" s="11">
        <f t="shared" ca="1" si="39"/>
        <v>62.44</v>
      </c>
      <c r="L240" s="11">
        <f t="shared" ca="1" si="40"/>
        <v>1061.6500000000233</v>
      </c>
    </row>
    <row r="241" spans="1:12" x14ac:dyDescent="0.25">
      <c r="A241" s="5">
        <v>226</v>
      </c>
      <c r="B241" s="18">
        <f t="shared" ca="1" si="41"/>
        <v>61.99</v>
      </c>
      <c r="C241" s="33">
        <f t="shared" ca="1" si="33"/>
        <v>-0.44999999999999574</v>
      </c>
      <c r="D241" s="5">
        <f t="shared" ca="1" si="42"/>
        <v>1</v>
      </c>
      <c r="E241" s="5">
        <f t="shared" ca="1" si="34"/>
        <v>0</v>
      </c>
      <c r="F241" s="5">
        <f t="shared" ca="1" si="35"/>
        <v>0</v>
      </c>
      <c r="G241" s="5">
        <f t="shared" ca="1" si="36"/>
        <v>1</v>
      </c>
      <c r="H241" s="11">
        <f t="shared" ca="1" si="43"/>
        <v>100999.21000000002</v>
      </c>
      <c r="I241" s="11">
        <f t="shared" ca="1" si="37"/>
        <v>0</v>
      </c>
      <c r="J241" s="11">
        <f t="shared" ca="1" si="38"/>
        <v>100999.21000000002</v>
      </c>
      <c r="K241" s="11">
        <f t="shared" ca="1" si="39"/>
        <v>61.99</v>
      </c>
      <c r="L241" s="11">
        <f t="shared" ca="1" si="40"/>
        <v>1061.2000000000262</v>
      </c>
    </row>
    <row r="242" spans="1:12" x14ac:dyDescent="0.25">
      <c r="A242" s="5">
        <v>227</v>
      </c>
      <c r="B242" s="18">
        <f t="shared" ca="1" si="41"/>
        <v>62.74</v>
      </c>
      <c r="C242" s="33">
        <f t="shared" ca="1" si="33"/>
        <v>0.75</v>
      </c>
      <c r="D242" s="5">
        <f t="shared" ca="1" si="42"/>
        <v>1</v>
      </c>
      <c r="E242" s="5">
        <f t="shared" ca="1" si="34"/>
        <v>0</v>
      </c>
      <c r="F242" s="5">
        <f t="shared" ca="1" si="35"/>
        <v>0</v>
      </c>
      <c r="G242" s="5">
        <f t="shared" ca="1" si="36"/>
        <v>1</v>
      </c>
      <c r="H242" s="11">
        <f t="shared" ca="1" si="43"/>
        <v>100999.21000000002</v>
      </c>
      <c r="I242" s="11">
        <f t="shared" ca="1" si="37"/>
        <v>0</v>
      </c>
      <c r="J242" s="11">
        <f t="shared" ca="1" si="38"/>
        <v>100999.21000000002</v>
      </c>
      <c r="K242" s="11">
        <f t="shared" ca="1" si="39"/>
        <v>62.74</v>
      </c>
      <c r="L242" s="11">
        <f t="shared" ca="1" si="40"/>
        <v>1061.9500000000262</v>
      </c>
    </row>
    <row r="243" spans="1:12" x14ac:dyDescent="0.25">
      <c r="A243" s="5">
        <v>228</v>
      </c>
      <c r="B243" s="18">
        <f t="shared" ca="1" si="41"/>
        <v>62.62</v>
      </c>
      <c r="C243" s="33">
        <f t="shared" ca="1" si="33"/>
        <v>-0.12000000000000455</v>
      </c>
      <c r="D243" s="5">
        <f t="shared" ca="1" si="42"/>
        <v>1</v>
      </c>
      <c r="E243" s="5">
        <f t="shared" ca="1" si="34"/>
        <v>0</v>
      </c>
      <c r="F243" s="5">
        <f t="shared" ca="1" si="35"/>
        <v>0</v>
      </c>
      <c r="G243" s="5">
        <f t="shared" ca="1" si="36"/>
        <v>1</v>
      </c>
      <c r="H243" s="11">
        <f t="shared" ca="1" si="43"/>
        <v>100999.21000000002</v>
      </c>
      <c r="I243" s="11">
        <f t="shared" ca="1" si="37"/>
        <v>0</v>
      </c>
      <c r="J243" s="11">
        <f t="shared" ca="1" si="38"/>
        <v>100999.21000000002</v>
      </c>
      <c r="K243" s="11">
        <f t="shared" ca="1" si="39"/>
        <v>62.62</v>
      </c>
      <c r="L243" s="11">
        <f t="shared" ca="1" si="40"/>
        <v>1061.8300000000163</v>
      </c>
    </row>
    <row r="244" spans="1:12" x14ac:dyDescent="0.25">
      <c r="A244" s="5">
        <v>229</v>
      </c>
      <c r="B244" s="18">
        <f t="shared" ca="1" si="41"/>
        <v>62.54</v>
      </c>
      <c r="C244" s="33">
        <f t="shared" ca="1" si="33"/>
        <v>-7.9999999999998295E-2</v>
      </c>
      <c r="D244" s="5">
        <f t="shared" ca="1" si="42"/>
        <v>1</v>
      </c>
      <c r="E244" s="5">
        <f t="shared" ca="1" si="34"/>
        <v>0</v>
      </c>
      <c r="F244" s="5">
        <f t="shared" ca="1" si="35"/>
        <v>0</v>
      </c>
      <c r="G244" s="5">
        <f t="shared" ca="1" si="36"/>
        <v>1</v>
      </c>
      <c r="H244" s="11">
        <f t="shared" ca="1" si="43"/>
        <v>100999.21000000002</v>
      </c>
      <c r="I244" s="11">
        <f t="shared" ca="1" si="37"/>
        <v>0</v>
      </c>
      <c r="J244" s="11">
        <f t="shared" ca="1" si="38"/>
        <v>100999.21000000002</v>
      </c>
      <c r="K244" s="11">
        <f t="shared" ca="1" si="39"/>
        <v>62.54</v>
      </c>
      <c r="L244" s="11">
        <f t="shared" ca="1" si="40"/>
        <v>1061.7500000000146</v>
      </c>
    </row>
    <row r="245" spans="1:12" x14ac:dyDescent="0.25">
      <c r="A245" s="5">
        <v>230</v>
      </c>
      <c r="B245" s="18">
        <f t="shared" ca="1" si="41"/>
        <v>62.74</v>
      </c>
      <c r="C245" s="33">
        <f t="shared" ca="1" si="33"/>
        <v>0.20000000000000284</v>
      </c>
      <c r="D245" s="5">
        <f t="shared" ca="1" si="42"/>
        <v>1</v>
      </c>
      <c r="E245" s="5">
        <f t="shared" ca="1" si="34"/>
        <v>0</v>
      </c>
      <c r="F245" s="5">
        <f t="shared" ca="1" si="35"/>
        <v>0</v>
      </c>
      <c r="G245" s="5">
        <f t="shared" ca="1" si="36"/>
        <v>1</v>
      </c>
      <c r="H245" s="11">
        <f t="shared" ca="1" si="43"/>
        <v>100999.21000000002</v>
      </c>
      <c r="I245" s="11">
        <f t="shared" ca="1" si="37"/>
        <v>0</v>
      </c>
      <c r="J245" s="11">
        <f t="shared" ca="1" si="38"/>
        <v>100999.21000000002</v>
      </c>
      <c r="K245" s="11">
        <f t="shared" ca="1" si="39"/>
        <v>62.74</v>
      </c>
      <c r="L245" s="11">
        <f t="shared" ca="1" si="40"/>
        <v>1061.9500000000262</v>
      </c>
    </row>
    <row r="246" spans="1:12" x14ac:dyDescent="0.25">
      <c r="A246" s="5">
        <v>231</v>
      </c>
      <c r="B246" s="18">
        <f t="shared" ca="1" si="41"/>
        <v>63.04</v>
      </c>
      <c r="C246" s="33">
        <f t="shared" ca="1" si="33"/>
        <v>0.29999999999999716</v>
      </c>
      <c r="D246" s="5">
        <f t="shared" ca="1" si="42"/>
        <v>1</v>
      </c>
      <c r="E246" s="5">
        <f t="shared" ca="1" si="34"/>
        <v>0</v>
      </c>
      <c r="F246" s="5">
        <f t="shared" ca="1" si="35"/>
        <v>0</v>
      </c>
      <c r="G246" s="5">
        <f t="shared" ca="1" si="36"/>
        <v>1</v>
      </c>
      <c r="H246" s="11">
        <f t="shared" ca="1" si="43"/>
        <v>100999.21000000002</v>
      </c>
      <c r="I246" s="11">
        <f t="shared" ca="1" si="37"/>
        <v>0</v>
      </c>
      <c r="J246" s="11">
        <f t="shared" ca="1" si="38"/>
        <v>100999.21000000002</v>
      </c>
      <c r="K246" s="11">
        <f t="shared" ca="1" si="39"/>
        <v>63.04</v>
      </c>
      <c r="L246" s="11">
        <f t="shared" ca="1" si="40"/>
        <v>1062.2500000000146</v>
      </c>
    </row>
    <row r="247" spans="1:12" x14ac:dyDescent="0.25">
      <c r="A247" s="5">
        <v>232</v>
      </c>
      <c r="B247" s="18">
        <f t="shared" ca="1" si="41"/>
        <v>61.44</v>
      </c>
      <c r="C247" s="33">
        <f t="shared" ca="1" si="33"/>
        <v>-1.6000000000000014</v>
      </c>
      <c r="D247" s="5">
        <f t="shared" ca="1" si="42"/>
        <v>1</v>
      </c>
      <c r="E247" s="5">
        <f t="shared" ca="1" si="34"/>
        <v>0</v>
      </c>
      <c r="F247" s="5">
        <f t="shared" ca="1" si="35"/>
        <v>0</v>
      </c>
      <c r="G247" s="5">
        <f t="shared" ca="1" si="36"/>
        <v>1</v>
      </c>
      <c r="H247" s="11">
        <f t="shared" ca="1" si="43"/>
        <v>100999.21000000002</v>
      </c>
      <c r="I247" s="11">
        <f t="shared" ca="1" si="37"/>
        <v>0</v>
      </c>
      <c r="J247" s="11">
        <f t="shared" ca="1" si="38"/>
        <v>100999.21000000002</v>
      </c>
      <c r="K247" s="11">
        <f t="shared" ca="1" si="39"/>
        <v>61.44</v>
      </c>
      <c r="L247" s="11">
        <f t="shared" ca="1" si="40"/>
        <v>1060.6500000000233</v>
      </c>
    </row>
    <row r="248" spans="1:12" x14ac:dyDescent="0.25">
      <c r="A248" s="5">
        <v>233</v>
      </c>
      <c r="B248" s="18">
        <f t="shared" ca="1" si="41"/>
        <v>62.51</v>
      </c>
      <c r="C248" s="33">
        <f t="shared" ca="1" si="33"/>
        <v>1.0700000000000003</v>
      </c>
      <c r="D248" s="5">
        <f t="shared" ca="1" si="42"/>
        <v>1</v>
      </c>
      <c r="E248" s="5">
        <f t="shared" ca="1" si="34"/>
        <v>0</v>
      </c>
      <c r="F248" s="5">
        <f t="shared" ca="1" si="35"/>
        <v>0</v>
      </c>
      <c r="G248" s="5">
        <f t="shared" ca="1" si="36"/>
        <v>1</v>
      </c>
      <c r="H248" s="11">
        <f t="shared" ca="1" si="43"/>
        <v>100999.21000000002</v>
      </c>
      <c r="I248" s="11">
        <f t="shared" ca="1" si="37"/>
        <v>0</v>
      </c>
      <c r="J248" s="11">
        <f t="shared" ca="1" si="38"/>
        <v>100999.21000000002</v>
      </c>
      <c r="K248" s="11">
        <f t="shared" ca="1" si="39"/>
        <v>62.51</v>
      </c>
      <c r="L248" s="11">
        <f t="shared" ca="1" si="40"/>
        <v>1061.7200000000157</v>
      </c>
    </row>
    <row r="249" spans="1:12" x14ac:dyDescent="0.25">
      <c r="A249" s="5">
        <v>234</v>
      </c>
      <c r="B249" s="18">
        <f t="shared" ca="1" si="41"/>
        <v>60.93</v>
      </c>
      <c r="C249" s="33">
        <f t="shared" ca="1" si="33"/>
        <v>-1.5799999999999983</v>
      </c>
      <c r="D249" s="5">
        <f t="shared" ca="1" si="42"/>
        <v>1</v>
      </c>
      <c r="E249" s="5">
        <f t="shared" ca="1" si="34"/>
        <v>0</v>
      </c>
      <c r="F249" s="5">
        <f t="shared" ca="1" si="35"/>
        <v>0</v>
      </c>
      <c r="G249" s="5">
        <f t="shared" ca="1" si="36"/>
        <v>1</v>
      </c>
      <c r="H249" s="11">
        <f t="shared" ca="1" si="43"/>
        <v>100999.21000000002</v>
      </c>
      <c r="I249" s="11">
        <f t="shared" ca="1" si="37"/>
        <v>0</v>
      </c>
      <c r="J249" s="11">
        <f t="shared" ca="1" si="38"/>
        <v>100999.21000000002</v>
      </c>
      <c r="K249" s="11">
        <f t="shared" ca="1" si="39"/>
        <v>60.93</v>
      </c>
      <c r="L249" s="11">
        <f t="shared" ca="1" si="40"/>
        <v>1060.140000000014</v>
      </c>
    </row>
    <row r="250" spans="1:12" x14ac:dyDescent="0.25">
      <c r="A250" s="5">
        <v>235</v>
      </c>
      <c r="B250" s="18">
        <f t="shared" ca="1" si="41"/>
        <v>61.14</v>
      </c>
      <c r="C250" s="33">
        <f t="shared" ca="1" si="33"/>
        <v>0.21000000000000085</v>
      </c>
      <c r="D250" s="5">
        <f t="shared" ca="1" si="42"/>
        <v>1</v>
      </c>
      <c r="E250" s="5">
        <f t="shared" ca="1" si="34"/>
        <v>0</v>
      </c>
      <c r="F250" s="5">
        <f t="shared" ca="1" si="35"/>
        <v>0</v>
      </c>
      <c r="G250" s="5">
        <f t="shared" ca="1" si="36"/>
        <v>1</v>
      </c>
      <c r="H250" s="11">
        <f t="shared" ca="1" si="43"/>
        <v>100999.21000000002</v>
      </c>
      <c r="I250" s="11">
        <f t="shared" ca="1" si="37"/>
        <v>0</v>
      </c>
      <c r="J250" s="11">
        <f t="shared" ca="1" si="38"/>
        <v>100999.21000000002</v>
      </c>
      <c r="K250" s="11">
        <f t="shared" ca="1" si="39"/>
        <v>61.14</v>
      </c>
      <c r="L250" s="11">
        <f t="shared" ca="1" si="40"/>
        <v>1060.3500000000204</v>
      </c>
    </row>
    <row r="251" spans="1:12" x14ac:dyDescent="0.25">
      <c r="A251" s="5">
        <v>236</v>
      </c>
      <c r="B251" s="18">
        <f t="shared" ca="1" si="41"/>
        <v>60.65</v>
      </c>
      <c r="C251" s="33">
        <f t="shared" ca="1" si="33"/>
        <v>-0.49000000000000199</v>
      </c>
      <c r="D251" s="5">
        <f t="shared" ca="1" si="42"/>
        <v>1</v>
      </c>
      <c r="E251" s="5">
        <f t="shared" ca="1" si="34"/>
        <v>0</v>
      </c>
      <c r="F251" s="5">
        <f t="shared" ca="1" si="35"/>
        <v>0</v>
      </c>
      <c r="G251" s="5">
        <f t="shared" ca="1" si="36"/>
        <v>1</v>
      </c>
      <c r="H251" s="11">
        <f t="shared" ca="1" si="43"/>
        <v>100999.21000000002</v>
      </c>
      <c r="I251" s="11">
        <f t="shared" ca="1" si="37"/>
        <v>0</v>
      </c>
      <c r="J251" s="11">
        <f t="shared" ca="1" si="38"/>
        <v>100999.21000000002</v>
      </c>
      <c r="K251" s="11">
        <f t="shared" ca="1" si="39"/>
        <v>60.65</v>
      </c>
      <c r="L251" s="11">
        <f t="shared" ca="1" si="40"/>
        <v>1059.8600000000151</v>
      </c>
    </row>
    <row r="252" spans="1:12" x14ac:dyDescent="0.25">
      <c r="A252" s="5">
        <v>237</v>
      </c>
      <c r="B252" s="18">
        <f t="shared" ca="1" si="41"/>
        <v>61.37</v>
      </c>
      <c r="C252" s="33">
        <f t="shared" ca="1" si="33"/>
        <v>0.71999999999999886</v>
      </c>
      <c r="D252" s="5">
        <f t="shared" ca="1" si="42"/>
        <v>1</v>
      </c>
      <c r="E252" s="5">
        <f t="shared" ca="1" si="34"/>
        <v>0</v>
      </c>
      <c r="F252" s="5">
        <f t="shared" ca="1" si="35"/>
        <v>0</v>
      </c>
      <c r="G252" s="5">
        <f t="shared" ca="1" si="36"/>
        <v>1</v>
      </c>
      <c r="H252" s="11">
        <f t="shared" ca="1" si="43"/>
        <v>100999.21000000002</v>
      </c>
      <c r="I252" s="11">
        <f t="shared" ca="1" si="37"/>
        <v>0</v>
      </c>
      <c r="J252" s="11">
        <f t="shared" ca="1" si="38"/>
        <v>100999.21000000002</v>
      </c>
      <c r="K252" s="11">
        <f t="shared" ca="1" si="39"/>
        <v>61.37</v>
      </c>
      <c r="L252" s="11">
        <f t="shared" ca="1" si="40"/>
        <v>1060.5800000000163</v>
      </c>
    </row>
    <row r="253" spans="1:12" x14ac:dyDescent="0.25">
      <c r="A253" s="5">
        <v>238</v>
      </c>
      <c r="B253" s="18">
        <f t="shared" ca="1" si="41"/>
        <v>62.4</v>
      </c>
      <c r="C253" s="33">
        <f t="shared" ca="1" si="33"/>
        <v>1.0300000000000011</v>
      </c>
      <c r="D253" s="5">
        <f t="shared" ca="1" si="42"/>
        <v>1</v>
      </c>
      <c r="E253" s="5">
        <f t="shared" ca="1" si="34"/>
        <v>0</v>
      </c>
      <c r="F253" s="5">
        <f t="shared" ca="1" si="35"/>
        <v>0</v>
      </c>
      <c r="G253" s="5">
        <f t="shared" ca="1" si="36"/>
        <v>1</v>
      </c>
      <c r="H253" s="11">
        <f t="shared" ca="1" si="43"/>
        <v>100999.21000000002</v>
      </c>
      <c r="I253" s="11">
        <f t="shared" ca="1" si="37"/>
        <v>0</v>
      </c>
      <c r="J253" s="11">
        <f t="shared" ca="1" si="38"/>
        <v>100999.21000000002</v>
      </c>
      <c r="K253" s="11">
        <f t="shared" ca="1" si="39"/>
        <v>62.4</v>
      </c>
      <c r="L253" s="11">
        <f t="shared" ca="1" si="40"/>
        <v>1061.6100000000151</v>
      </c>
    </row>
    <row r="254" spans="1:12" x14ac:dyDescent="0.25">
      <c r="A254" s="5">
        <v>239</v>
      </c>
      <c r="B254" s="18">
        <f t="shared" ca="1" si="41"/>
        <v>62.55</v>
      </c>
      <c r="C254" s="33">
        <f t="shared" ca="1" si="33"/>
        <v>0.14999999999999858</v>
      </c>
      <c r="D254" s="5">
        <f t="shared" ca="1" si="42"/>
        <v>1</v>
      </c>
      <c r="E254" s="5">
        <f t="shared" ca="1" si="34"/>
        <v>0</v>
      </c>
      <c r="F254" s="5">
        <f t="shared" ca="1" si="35"/>
        <v>0</v>
      </c>
      <c r="G254" s="5">
        <f t="shared" ca="1" si="36"/>
        <v>1</v>
      </c>
      <c r="H254" s="11">
        <f t="shared" ca="1" si="43"/>
        <v>100999.21000000002</v>
      </c>
      <c r="I254" s="11">
        <f t="shared" ca="1" si="37"/>
        <v>0</v>
      </c>
      <c r="J254" s="11">
        <f t="shared" ca="1" si="38"/>
        <v>100999.21000000002</v>
      </c>
      <c r="K254" s="11">
        <f t="shared" ca="1" si="39"/>
        <v>62.55</v>
      </c>
      <c r="L254" s="11">
        <f t="shared" ca="1" si="40"/>
        <v>1061.7600000000239</v>
      </c>
    </row>
    <row r="255" spans="1:12" x14ac:dyDescent="0.25">
      <c r="A255" s="5">
        <v>240</v>
      </c>
      <c r="B255" s="18">
        <f t="shared" ca="1" si="41"/>
        <v>60.05</v>
      </c>
      <c r="C255" s="33">
        <f t="shared" ca="1" si="33"/>
        <v>-2.5</v>
      </c>
      <c r="D255" s="5">
        <f t="shared" ca="1" si="42"/>
        <v>1</v>
      </c>
      <c r="E255" s="5">
        <f t="shared" ca="1" si="34"/>
        <v>0</v>
      </c>
      <c r="F255" s="5">
        <f t="shared" ca="1" si="35"/>
        <v>0</v>
      </c>
      <c r="G255" s="5">
        <f t="shared" ca="1" si="36"/>
        <v>1</v>
      </c>
      <c r="H255" s="11">
        <f t="shared" ca="1" si="43"/>
        <v>100999.21000000002</v>
      </c>
      <c r="I255" s="11">
        <f t="shared" ca="1" si="37"/>
        <v>0</v>
      </c>
      <c r="J255" s="11">
        <f t="shared" ca="1" si="38"/>
        <v>100999.21000000002</v>
      </c>
      <c r="K255" s="11">
        <f t="shared" ca="1" si="39"/>
        <v>60.05</v>
      </c>
      <c r="L255" s="11">
        <f t="shared" ca="1" si="40"/>
        <v>1059.2600000000239</v>
      </c>
    </row>
    <row r="256" spans="1:12" x14ac:dyDescent="0.25">
      <c r="A256" s="5">
        <v>241</v>
      </c>
      <c r="B256" s="18">
        <f t="shared" ca="1" si="41"/>
        <v>57.94</v>
      </c>
      <c r="C256" s="33">
        <f t="shared" ca="1" si="33"/>
        <v>-2.1099999999999994</v>
      </c>
      <c r="D256" s="5">
        <f t="shared" ca="1" si="42"/>
        <v>1</v>
      </c>
      <c r="E256" s="5">
        <f t="shared" ca="1" si="34"/>
        <v>0</v>
      </c>
      <c r="F256" s="5">
        <f t="shared" ca="1" si="35"/>
        <v>0</v>
      </c>
      <c r="G256" s="5">
        <f t="shared" ca="1" si="36"/>
        <v>1</v>
      </c>
      <c r="H256" s="11">
        <f t="shared" ca="1" si="43"/>
        <v>100999.21000000002</v>
      </c>
      <c r="I256" s="11">
        <f t="shared" ca="1" si="37"/>
        <v>0</v>
      </c>
      <c r="J256" s="11">
        <f t="shared" ca="1" si="38"/>
        <v>100999.21000000002</v>
      </c>
      <c r="K256" s="11">
        <f t="shared" ca="1" si="39"/>
        <v>57.94</v>
      </c>
      <c r="L256" s="11">
        <f t="shared" ca="1" si="40"/>
        <v>1057.1500000000233</v>
      </c>
    </row>
    <row r="257" spans="1:12" x14ac:dyDescent="0.25">
      <c r="A257" s="5">
        <v>242</v>
      </c>
      <c r="B257" s="18">
        <f t="shared" ca="1" si="41"/>
        <v>59.34</v>
      </c>
      <c r="C257" s="33">
        <f t="shared" ca="1" si="33"/>
        <v>1.4000000000000057</v>
      </c>
      <c r="D257" s="5">
        <f t="shared" ca="1" si="42"/>
        <v>1</v>
      </c>
      <c r="E257" s="5">
        <f t="shared" ca="1" si="34"/>
        <v>0</v>
      </c>
      <c r="F257" s="5">
        <f t="shared" ca="1" si="35"/>
        <v>0</v>
      </c>
      <c r="G257" s="5">
        <f t="shared" ca="1" si="36"/>
        <v>1</v>
      </c>
      <c r="H257" s="11">
        <f t="shared" ca="1" si="43"/>
        <v>100999.21000000002</v>
      </c>
      <c r="I257" s="11">
        <f t="shared" ca="1" si="37"/>
        <v>0</v>
      </c>
      <c r="J257" s="11">
        <f t="shared" ca="1" si="38"/>
        <v>100999.21000000002</v>
      </c>
      <c r="K257" s="11">
        <f t="shared" ca="1" si="39"/>
        <v>59.34</v>
      </c>
      <c r="L257" s="11">
        <f t="shared" ca="1" si="40"/>
        <v>1058.5500000000175</v>
      </c>
    </row>
    <row r="258" spans="1:12" x14ac:dyDescent="0.25">
      <c r="A258" s="5">
        <v>243</v>
      </c>
      <c r="B258" s="18">
        <f t="shared" ca="1" si="41"/>
        <v>59.38</v>
      </c>
      <c r="C258" s="33">
        <f t="shared" ca="1" si="33"/>
        <v>3.9999999999999147E-2</v>
      </c>
      <c r="D258" s="5">
        <f t="shared" ca="1" si="42"/>
        <v>1</v>
      </c>
      <c r="E258" s="5">
        <f t="shared" ca="1" si="34"/>
        <v>0</v>
      </c>
      <c r="F258" s="5">
        <f t="shared" ca="1" si="35"/>
        <v>0</v>
      </c>
      <c r="G258" s="5">
        <f t="shared" ca="1" si="36"/>
        <v>1</v>
      </c>
      <c r="H258" s="11">
        <f t="shared" ca="1" si="43"/>
        <v>100999.21000000002</v>
      </c>
      <c r="I258" s="11">
        <f t="shared" ca="1" si="37"/>
        <v>0</v>
      </c>
      <c r="J258" s="11">
        <f t="shared" ca="1" si="38"/>
        <v>100999.21000000002</v>
      </c>
      <c r="K258" s="11">
        <f t="shared" ca="1" si="39"/>
        <v>59.38</v>
      </c>
      <c r="L258" s="11">
        <f t="shared" ca="1" si="40"/>
        <v>1058.5900000000256</v>
      </c>
    </row>
    <row r="259" spans="1:12" x14ac:dyDescent="0.25">
      <c r="A259" s="5">
        <v>244</v>
      </c>
      <c r="B259" s="18">
        <f t="shared" ca="1" si="41"/>
        <v>57.22</v>
      </c>
      <c r="C259" s="33">
        <f t="shared" ca="1" si="33"/>
        <v>-2.1600000000000037</v>
      </c>
      <c r="D259" s="5">
        <f t="shared" ca="1" si="42"/>
        <v>1</v>
      </c>
      <c r="E259" s="5">
        <f t="shared" ca="1" si="34"/>
        <v>0</v>
      </c>
      <c r="F259" s="5">
        <f t="shared" ca="1" si="35"/>
        <v>0</v>
      </c>
      <c r="G259" s="5">
        <f t="shared" ca="1" si="36"/>
        <v>1</v>
      </c>
      <c r="H259" s="11">
        <f t="shared" ca="1" si="43"/>
        <v>100999.21000000002</v>
      </c>
      <c r="I259" s="11">
        <f t="shared" ca="1" si="37"/>
        <v>0</v>
      </c>
      <c r="J259" s="11">
        <f t="shared" ca="1" si="38"/>
        <v>100999.21000000002</v>
      </c>
      <c r="K259" s="11">
        <f t="shared" ca="1" si="39"/>
        <v>57.22</v>
      </c>
      <c r="L259" s="11">
        <f t="shared" ca="1" si="40"/>
        <v>1056.4300000000221</v>
      </c>
    </row>
    <row r="260" spans="1:12" x14ac:dyDescent="0.25">
      <c r="A260" s="5">
        <v>245</v>
      </c>
      <c r="B260" s="18">
        <f t="shared" ca="1" si="41"/>
        <v>57.36</v>
      </c>
      <c r="C260" s="33">
        <f t="shared" ca="1" si="33"/>
        <v>0.14000000000000057</v>
      </c>
      <c r="D260" s="5">
        <f t="shared" ca="1" si="42"/>
        <v>1</v>
      </c>
      <c r="E260" s="5">
        <f t="shared" ca="1" si="34"/>
        <v>0</v>
      </c>
      <c r="F260" s="5">
        <f t="shared" ca="1" si="35"/>
        <v>0</v>
      </c>
      <c r="G260" s="5">
        <f t="shared" ca="1" si="36"/>
        <v>1</v>
      </c>
      <c r="H260" s="11">
        <f t="shared" ca="1" si="43"/>
        <v>100999.21000000002</v>
      </c>
      <c r="I260" s="11">
        <f t="shared" ca="1" si="37"/>
        <v>0</v>
      </c>
      <c r="J260" s="11">
        <f t="shared" ca="1" si="38"/>
        <v>100999.21000000002</v>
      </c>
      <c r="K260" s="11">
        <f t="shared" ca="1" si="39"/>
        <v>57.36</v>
      </c>
      <c r="L260" s="11">
        <f t="shared" ca="1" si="40"/>
        <v>1056.5700000000215</v>
      </c>
    </row>
    <row r="261" spans="1:12" x14ac:dyDescent="0.25">
      <c r="A261" s="5">
        <v>246</v>
      </c>
      <c r="B261" s="18">
        <f t="shared" ca="1" si="41"/>
        <v>58.11</v>
      </c>
      <c r="C261" s="33">
        <f t="shared" ca="1" si="33"/>
        <v>0.75</v>
      </c>
      <c r="D261" s="5">
        <f t="shared" ca="1" si="42"/>
        <v>1</v>
      </c>
      <c r="E261" s="5">
        <f t="shared" ca="1" si="34"/>
        <v>0</v>
      </c>
      <c r="F261" s="5">
        <f t="shared" ca="1" si="35"/>
        <v>0</v>
      </c>
      <c r="G261" s="5">
        <f t="shared" ca="1" si="36"/>
        <v>1</v>
      </c>
      <c r="H261" s="11">
        <f t="shared" ca="1" si="43"/>
        <v>100999.21000000002</v>
      </c>
      <c r="I261" s="11">
        <f t="shared" ca="1" si="37"/>
        <v>0</v>
      </c>
      <c r="J261" s="11">
        <f t="shared" ca="1" si="38"/>
        <v>100999.21000000002</v>
      </c>
      <c r="K261" s="11">
        <f t="shared" ca="1" si="39"/>
        <v>58.11</v>
      </c>
      <c r="L261" s="11">
        <f t="shared" ca="1" si="40"/>
        <v>1057.3200000000215</v>
      </c>
    </row>
    <row r="262" spans="1:12" x14ac:dyDescent="0.25">
      <c r="A262" s="5">
        <v>247</v>
      </c>
      <c r="B262" s="18">
        <f t="shared" ca="1" si="41"/>
        <v>57.46</v>
      </c>
      <c r="C262" s="33">
        <f t="shared" ca="1" si="33"/>
        <v>-0.64999999999999858</v>
      </c>
      <c r="D262" s="5">
        <f t="shared" ca="1" si="42"/>
        <v>1</v>
      </c>
      <c r="E262" s="5">
        <f t="shared" ca="1" si="34"/>
        <v>0</v>
      </c>
      <c r="F262" s="5">
        <f t="shared" ca="1" si="35"/>
        <v>0</v>
      </c>
      <c r="G262" s="5">
        <f t="shared" ca="1" si="36"/>
        <v>1</v>
      </c>
      <c r="H262" s="11">
        <f t="shared" ca="1" si="43"/>
        <v>100999.21000000002</v>
      </c>
      <c r="I262" s="11">
        <f t="shared" ca="1" si="37"/>
        <v>0</v>
      </c>
      <c r="J262" s="11">
        <f t="shared" ca="1" si="38"/>
        <v>100999.21000000002</v>
      </c>
      <c r="K262" s="11">
        <f t="shared" ca="1" si="39"/>
        <v>57.46</v>
      </c>
      <c r="L262" s="11">
        <f t="shared" ca="1" si="40"/>
        <v>1056.6700000000274</v>
      </c>
    </row>
    <row r="263" spans="1:12" x14ac:dyDescent="0.25">
      <c r="A263" s="5">
        <v>248</v>
      </c>
      <c r="B263" s="18">
        <f t="shared" ca="1" si="41"/>
        <v>59.07</v>
      </c>
      <c r="C263" s="33">
        <f t="shared" ca="1" si="33"/>
        <v>1.6099999999999994</v>
      </c>
      <c r="D263" s="5">
        <f t="shared" ca="1" si="42"/>
        <v>1</v>
      </c>
      <c r="E263" s="5">
        <f t="shared" ca="1" si="34"/>
        <v>0</v>
      </c>
      <c r="F263" s="5">
        <f t="shared" ca="1" si="35"/>
        <v>0</v>
      </c>
      <c r="G263" s="5">
        <f t="shared" ca="1" si="36"/>
        <v>1</v>
      </c>
      <c r="H263" s="11">
        <f t="shared" ca="1" si="43"/>
        <v>100999.21000000002</v>
      </c>
      <c r="I263" s="11">
        <f t="shared" ca="1" si="37"/>
        <v>0</v>
      </c>
      <c r="J263" s="11">
        <f t="shared" ca="1" si="38"/>
        <v>100999.21000000002</v>
      </c>
      <c r="K263" s="11">
        <f t="shared" ca="1" si="39"/>
        <v>59.07</v>
      </c>
      <c r="L263" s="11">
        <f t="shared" ca="1" si="40"/>
        <v>1058.2800000000279</v>
      </c>
    </row>
    <row r="264" spans="1:12" x14ac:dyDescent="0.25">
      <c r="A264" s="5">
        <v>249</v>
      </c>
      <c r="B264" s="18">
        <f t="shared" ca="1" si="41"/>
        <v>58.5</v>
      </c>
      <c r="C264" s="33">
        <f t="shared" ca="1" si="33"/>
        <v>-0.57000000000000028</v>
      </c>
      <c r="D264" s="5">
        <f t="shared" ca="1" si="42"/>
        <v>1</v>
      </c>
      <c r="E264" s="5">
        <f t="shared" ca="1" si="34"/>
        <v>0</v>
      </c>
      <c r="F264" s="5">
        <f t="shared" ca="1" si="35"/>
        <v>0</v>
      </c>
      <c r="G264" s="5">
        <f t="shared" ca="1" si="36"/>
        <v>1</v>
      </c>
      <c r="H264" s="11">
        <f t="shared" ca="1" si="43"/>
        <v>100999.21000000002</v>
      </c>
      <c r="I264" s="11">
        <f t="shared" ca="1" si="37"/>
        <v>0</v>
      </c>
      <c r="J264" s="11">
        <f t="shared" ca="1" si="38"/>
        <v>100999.21000000002</v>
      </c>
      <c r="K264" s="11">
        <f t="shared" ca="1" si="39"/>
        <v>58.5</v>
      </c>
      <c r="L264" s="11">
        <f t="shared" ca="1" si="40"/>
        <v>1057.710000000021</v>
      </c>
    </row>
    <row r="265" spans="1:12" x14ac:dyDescent="0.25">
      <c r="A265" s="5">
        <v>250</v>
      </c>
      <c r="B265" s="18">
        <f t="shared" ca="1" si="41"/>
        <v>56.9</v>
      </c>
      <c r="C265" s="33">
        <f t="shared" ca="1" si="33"/>
        <v>-1.6000000000000014</v>
      </c>
      <c r="D265" s="5">
        <f t="shared" ca="1" si="42"/>
        <v>1</v>
      </c>
      <c r="E265" s="5">
        <f t="shared" ca="1" si="34"/>
        <v>0</v>
      </c>
      <c r="F265" s="5">
        <f t="shared" ca="1" si="35"/>
        <v>0</v>
      </c>
      <c r="G265" s="5">
        <f t="shared" ca="1" si="36"/>
        <v>1</v>
      </c>
      <c r="H265" s="11">
        <f t="shared" ca="1" si="43"/>
        <v>100999.21000000002</v>
      </c>
      <c r="I265" s="11">
        <f t="shared" ca="1" si="37"/>
        <v>0</v>
      </c>
      <c r="J265" s="11">
        <f t="shared" ca="1" si="38"/>
        <v>100999.21000000002</v>
      </c>
      <c r="K265" s="11">
        <f t="shared" ca="1" si="39"/>
        <v>56.9</v>
      </c>
      <c r="L265" s="11">
        <f t="shared" ca="1" si="40"/>
        <v>1056.1100000000151</v>
      </c>
    </row>
  </sheetData>
  <phoneticPr fontId="0" type="noConversion"/>
  <printOptions horizontalCentered="1" verticalCentered="1" headings="1" gridLines="1" gridLinesSet="0"/>
  <pageMargins left="0.75" right="0.75" top="1" bottom="1" header="0.5" footer="0.5"/>
  <pageSetup scale="62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Replications">
    <pageSetUpPr fitToPage="1"/>
  </sheetPr>
  <dimension ref="A1:F1003"/>
  <sheetViews>
    <sheetView zoomScaleNormal="100" workbookViewId="0">
      <selection activeCell="A2" sqref="A2"/>
    </sheetView>
  </sheetViews>
  <sheetFormatPr defaultRowHeight="15" x14ac:dyDescent="0.25"/>
  <cols>
    <col min="1" max="1" width="15.7109375" style="5" customWidth="1"/>
    <col min="2" max="2" width="15.7109375" style="11" customWidth="1"/>
    <col min="3" max="3" width="17.5703125" style="11" bestFit="1" customWidth="1"/>
    <col min="4" max="4" width="15.7109375" style="11" customWidth="1"/>
    <col min="5" max="6" width="15.7109375" style="5" customWidth="1"/>
    <col min="7" max="16384" width="9.140625" style="5"/>
  </cols>
  <sheetData>
    <row r="1" spans="1:6" x14ac:dyDescent="0.25">
      <c r="A1" s="4" t="s">
        <v>42</v>
      </c>
    </row>
    <row r="3" spans="1:6" x14ac:dyDescent="0.25">
      <c r="A3" s="17" t="s">
        <v>43</v>
      </c>
      <c r="B3" s="35" t="s">
        <v>23</v>
      </c>
      <c r="C3" s="35" t="s">
        <v>44</v>
      </c>
      <c r="D3" s="35" t="s">
        <v>45</v>
      </c>
      <c r="E3" s="35" t="s">
        <v>56</v>
      </c>
      <c r="F3" s="35" t="s">
        <v>57</v>
      </c>
    </row>
    <row r="4" spans="1:6" x14ac:dyDescent="0.25">
      <c r="A4" s="5">
        <v>1</v>
      </c>
      <c r="B4" s="11">
        <v>101157.2</v>
      </c>
      <c r="C4" s="11">
        <v>56.73</v>
      </c>
      <c r="D4" s="11">
        <v>1213.93</v>
      </c>
      <c r="E4" s="36">
        <v>46.59</v>
      </c>
      <c r="F4" s="36">
        <v>66.33</v>
      </c>
    </row>
    <row r="5" spans="1:6" x14ac:dyDescent="0.25">
      <c r="A5" s="5">
        <v>2</v>
      </c>
      <c r="B5" s="11">
        <v>50597.21</v>
      </c>
      <c r="C5" s="11">
        <v>42596.800000000003</v>
      </c>
      <c r="D5" s="11">
        <v>-6805.99</v>
      </c>
      <c r="E5" s="36">
        <v>31.32</v>
      </c>
      <c r="F5" s="36">
        <v>50.58</v>
      </c>
    </row>
    <row r="6" spans="1:6" x14ac:dyDescent="0.25">
      <c r="A6" s="5">
        <v>3</v>
      </c>
      <c r="B6" s="11">
        <v>100820.33</v>
      </c>
      <c r="C6" s="11">
        <v>40.99</v>
      </c>
      <c r="D6" s="11">
        <v>861.32</v>
      </c>
      <c r="E6" s="36">
        <v>39</v>
      </c>
      <c r="F6" s="36">
        <v>66.59</v>
      </c>
    </row>
    <row r="7" spans="1:6" x14ac:dyDescent="0.25">
      <c r="A7" s="5">
        <v>4</v>
      </c>
      <c r="B7" s="11">
        <v>101492.45</v>
      </c>
      <c r="C7" s="11">
        <v>2564</v>
      </c>
      <c r="D7" s="11">
        <v>4056.45</v>
      </c>
      <c r="E7" s="36">
        <v>37.200000000000003</v>
      </c>
      <c r="F7" s="36">
        <v>61.28</v>
      </c>
    </row>
    <row r="8" spans="1:6" x14ac:dyDescent="0.25">
      <c r="A8" s="5">
        <v>5</v>
      </c>
      <c r="B8" s="11">
        <v>82362.36</v>
      </c>
      <c r="C8" s="11">
        <v>5903.96</v>
      </c>
      <c r="D8" s="11">
        <v>-11733.68</v>
      </c>
      <c r="E8" s="36">
        <v>26.27</v>
      </c>
      <c r="F8" s="36">
        <v>52.76</v>
      </c>
    </row>
    <row r="9" spans="1:6" x14ac:dyDescent="0.25">
      <c r="A9" s="5">
        <v>6</v>
      </c>
      <c r="B9" s="11">
        <v>101845.55</v>
      </c>
      <c r="C9" s="11">
        <v>91.5</v>
      </c>
      <c r="D9" s="11">
        <v>1937.05</v>
      </c>
      <c r="E9" s="36">
        <v>46.42</v>
      </c>
      <c r="F9" s="36">
        <v>121.99</v>
      </c>
    </row>
    <row r="10" spans="1:6" x14ac:dyDescent="0.25">
      <c r="A10" s="5">
        <v>7</v>
      </c>
      <c r="B10" s="11">
        <v>113993.48</v>
      </c>
      <c r="C10" s="11">
        <v>766.35</v>
      </c>
      <c r="D10" s="11">
        <v>14759.83</v>
      </c>
      <c r="E10" s="36">
        <v>36.83</v>
      </c>
      <c r="F10" s="36">
        <v>64.989999999999995</v>
      </c>
    </row>
    <row r="11" spans="1:6" x14ac:dyDescent="0.25">
      <c r="A11" s="5">
        <v>8</v>
      </c>
      <c r="B11" s="11">
        <v>83420.45</v>
      </c>
      <c r="C11" s="11">
        <v>10429.299999999999</v>
      </c>
      <c r="D11" s="11">
        <v>-6150.25</v>
      </c>
      <c r="E11" s="36">
        <v>38.22</v>
      </c>
      <c r="F11" s="36">
        <v>54.95</v>
      </c>
    </row>
    <row r="12" spans="1:6" x14ac:dyDescent="0.25">
      <c r="A12" s="5">
        <v>9</v>
      </c>
      <c r="B12" s="11">
        <v>85915.63</v>
      </c>
      <c r="C12" s="11">
        <v>9734.8799999999992</v>
      </c>
      <c r="D12" s="11">
        <v>-4349.49</v>
      </c>
      <c r="E12" s="36">
        <v>33.28</v>
      </c>
      <c r="F12" s="36">
        <v>57.48</v>
      </c>
    </row>
    <row r="13" spans="1:6" x14ac:dyDescent="0.25">
      <c r="A13" s="5">
        <v>10</v>
      </c>
      <c r="B13" s="11">
        <v>101411.28</v>
      </c>
      <c r="C13" s="11">
        <v>1037.3399999999999</v>
      </c>
      <c r="D13" s="11">
        <v>2448.62</v>
      </c>
      <c r="E13" s="36">
        <v>42.71</v>
      </c>
      <c r="F13" s="36">
        <v>61.02</v>
      </c>
    </row>
    <row r="14" spans="1:6" x14ac:dyDescent="0.25">
      <c r="A14" s="5">
        <v>11</v>
      </c>
      <c r="B14" s="11">
        <v>103552.52</v>
      </c>
      <c r="C14" s="11">
        <v>951.84</v>
      </c>
      <c r="D14" s="11">
        <v>4504.3599999999997</v>
      </c>
      <c r="E14" s="36">
        <v>50</v>
      </c>
      <c r="F14" s="36">
        <v>82.98</v>
      </c>
    </row>
    <row r="15" spans="1:6" x14ac:dyDescent="0.25">
      <c r="A15" s="5">
        <v>12</v>
      </c>
      <c r="B15" s="11">
        <v>97108.55</v>
      </c>
      <c r="C15" s="11">
        <v>7908.56</v>
      </c>
      <c r="D15" s="11">
        <v>5017.1099999999997</v>
      </c>
      <c r="E15" s="36">
        <v>44.47</v>
      </c>
      <c r="F15" s="36">
        <v>57.7</v>
      </c>
    </row>
    <row r="16" spans="1:6" x14ac:dyDescent="0.25">
      <c r="A16" s="5">
        <v>13</v>
      </c>
      <c r="B16" s="11">
        <v>103801.96</v>
      </c>
      <c r="C16" s="11">
        <v>1440.56</v>
      </c>
      <c r="D16" s="11">
        <v>5242.5200000000004</v>
      </c>
      <c r="E16" s="36">
        <v>47.85</v>
      </c>
      <c r="F16" s="36">
        <v>77.650000000000006</v>
      </c>
    </row>
    <row r="17" spans="1:6" x14ac:dyDescent="0.25">
      <c r="A17" s="5">
        <v>14</v>
      </c>
      <c r="B17" s="11">
        <v>104797.54</v>
      </c>
      <c r="C17" s="11">
        <v>105.49</v>
      </c>
      <c r="D17" s="11">
        <v>4903.03</v>
      </c>
      <c r="E17" s="36">
        <v>50</v>
      </c>
      <c r="F17" s="36">
        <v>123.84</v>
      </c>
    </row>
    <row r="18" spans="1:6" x14ac:dyDescent="0.25">
      <c r="A18" s="5">
        <v>15</v>
      </c>
      <c r="B18" s="11">
        <v>94215.89</v>
      </c>
      <c r="C18" s="11">
        <v>6121.9</v>
      </c>
      <c r="D18" s="11">
        <v>337.79</v>
      </c>
      <c r="E18" s="36">
        <v>36.049999999999997</v>
      </c>
      <c r="F18" s="36">
        <v>50</v>
      </c>
    </row>
    <row r="19" spans="1:6" x14ac:dyDescent="0.25">
      <c r="A19" s="5">
        <v>16</v>
      </c>
      <c r="B19" s="11">
        <v>76062.81</v>
      </c>
      <c r="C19" s="11">
        <v>20292.75</v>
      </c>
      <c r="D19" s="11">
        <v>-3644.44</v>
      </c>
      <c r="E19" s="36">
        <v>25.47</v>
      </c>
      <c r="F19" s="36">
        <v>56.03</v>
      </c>
    </row>
    <row r="20" spans="1:6" x14ac:dyDescent="0.25">
      <c r="A20" s="5">
        <v>17</v>
      </c>
      <c r="B20" s="11">
        <v>95196.74</v>
      </c>
      <c r="C20" s="11">
        <v>13816.77</v>
      </c>
      <c r="D20" s="11">
        <v>9013.51</v>
      </c>
      <c r="E20" s="36">
        <v>42.5</v>
      </c>
      <c r="F20" s="36">
        <v>66.8</v>
      </c>
    </row>
    <row r="21" spans="1:6" x14ac:dyDescent="0.25">
      <c r="A21" s="5">
        <v>18</v>
      </c>
      <c r="B21" s="11">
        <v>101162.3</v>
      </c>
      <c r="C21" s="11">
        <v>60.57</v>
      </c>
      <c r="D21" s="11">
        <v>1222.8699999999999</v>
      </c>
      <c r="E21" s="36">
        <v>40.74</v>
      </c>
      <c r="F21" s="36">
        <v>67.97</v>
      </c>
    </row>
    <row r="22" spans="1:6" x14ac:dyDescent="0.25">
      <c r="A22" s="5">
        <v>19</v>
      </c>
      <c r="B22" s="11">
        <v>102361.99</v>
      </c>
      <c r="C22" s="11">
        <v>7082.27</v>
      </c>
      <c r="D22" s="11">
        <v>9444.26</v>
      </c>
      <c r="E22" s="36">
        <v>40.94</v>
      </c>
      <c r="F22" s="36">
        <v>57.6</v>
      </c>
    </row>
    <row r="23" spans="1:6" x14ac:dyDescent="0.25">
      <c r="A23" s="5">
        <v>20</v>
      </c>
      <c r="B23" s="11">
        <v>93558.8</v>
      </c>
      <c r="C23" s="11">
        <v>6847</v>
      </c>
      <c r="D23" s="11">
        <v>405.8</v>
      </c>
      <c r="E23" s="36">
        <v>33.4</v>
      </c>
      <c r="F23" s="36">
        <v>54.2</v>
      </c>
    </row>
    <row r="24" spans="1:6" x14ac:dyDescent="0.25">
      <c r="A24" s="5">
        <v>21</v>
      </c>
      <c r="B24" s="11">
        <v>103809.31</v>
      </c>
      <c r="C24" s="11">
        <v>470.4</v>
      </c>
      <c r="D24" s="11">
        <v>4279.71</v>
      </c>
      <c r="E24" s="36">
        <v>49.8</v>
      </c>
      <c r="F24" s="36">
        <v>77</v>
      </c>
    </row>
    <row r="25" spans="1:6" x14ac:dyDescent="0.25">
      <c r="A25" s="5">
        <v>22</v>
      </c>
      <c r="B25" s="11">
        <v>96904.23</v>
      </c>
      <c r="C25" s="11">
        <v>1560.6</v>
      </c>
      <c r="D25" s="11">
        <v>-1535.17</v>
      </c>
      <c r="E25" s="36">
        <v>37</v>
      </c>
      <c r="F25" s="36">
        <v>54.18</v>
      </c>
    </row>
    <row r="26" spans="1:6" x14ac:dyDescent="0.25">
      <c r="A26" s="5">
        <v>23</v>
      </c>
      <c r="B26" s="11">
        <v>107156.22</v>
      </c>
      <c r="C26" s="11">
        <v>66.37</v>
      </c>
      <c r="D26" s="11">
        <v>7222.59</v>
      </c>
      <c r="E26" s="36">
        <v>39.54</v>
      </c>
      <c r="F26" s="36">
        <v>74.91</v>
      </c>
    </row>
    <row r="27" spans="1:6" x14ac:dyDescent="0.25">
      <c r="A27" s="5">
        <v>24</v>
      </c>
      <c r="B27" s="11">
        <v>101915.22</v>
      </c>
      <c r="C27" s="11">
        <v>57.69</v>
      </c>
      <c r="D27" s="11">
        <v>1972.91</v>
      </c>
      <c r="E27" s="36">
        <v>42.85</v>
      </c>
      <c r="F27" s="36">
        <v>64.040000000000006</v>
      </c>
    </row>
    <row r="28" spans="1:6" x14ac:dyDescent="0.25">
      <c r="A28" s="5">
        <v>25</v>
      </c>
      <c r="B28" s="11">
        <v>103146.14</v>
      </c>
      <c r="C28" s="11">
        <v>308.04000000000002</v>
      </c>
      <c r="D28" s="11">
        <v>3454.18</v>
      </c>
      <c r="E28" s="36">
        <v>43.9</v>
      </c>
      <c r="F28" s="36">
        <v>58.2</v>
      </c>
    </row>
    <row r="29" spans="1:6" x14ac:dyDescent="0.25">
      <c r="A29" s="5">
        <v>26</v>
      </c>
      <c r="B29" s="11">
        <v>35190.47</v>
      </c>
      <c r="C29" s="11">
        <v>35809.33</v>
      </c>
      <c r="D29" s="11">
        <v>-29000.2</v>
      </c>
      <c r="E29" s="36">
        <v>25.6</v>
      </c>
      <c r="F29" s="36">
        <v>53.61</v>
      </c>
    </row>
    <row r="30" spans="1:6" x14ac:dyDescent="0.25">
      <c r="A30" s="5">
        <v>27</v>
      </c>
      <c r="B30" s="11">
        <v>93660.59</v>
      </c>
      <c r="C30" s="11">
        <v>2480.5</v>
      </c>
      <c r="D30" s="11">
        <v>-3858.91</v>
      </c>
      <c r="E30" s="36">
        <v>33.04</v>
      </c>
      <c r="F30" s="36">
        <v>53.7</v>
      </c>
    </row>
    <row r="31" spans="1:6" x14ac:dyDescent="0.25">
      <c r="A31" s="5">
        <v>28</v>
      </c>
      <c r="B31" s="11">
        <v>100439.07</v>
      </c>
      <c r="C31" s="11">
        <v>1458.44</v>
      </c>
      <c r="D31" s="11">
        <v>1897.51</v>
      </c>
      <c r="E31" s="36">
        <v>50</v>
      </c>
      <c r="F31" s="36">
        <v>79.900000000000006</v>
      </c>
    </row>
    <row r="32" spans="1:6" x14ac:dyDescent="0.25">
      <c r="A32" s="5">
        <v>29</v>
      </c>
      <c r="B32" s="11">
        <v>99763.27</v>
      </c>
      <c r="C32" s="11">
        <v>229.29</v>
      </c>
      <c r="D32" s="11">
        <v>-7.44</v>
      </c>
      <c r="E32" s="36">
        <v>43.75</v>
      </c>
      <c r="F32" s="36">
        <v>76.680000000000007</v>
      </c>
    </row>
    <row r="33" spans="1:6" x14ac:dyDescent="0.25">
      <c r="A33" s="5">
        <v>30</v>
      </c>
      <c r="B33" s="11">
        <v>44736.21</v>
      </c>
      <c r="C33" s="11">
        <v>54483.13</v>
      </c>
      <c r="D33" s="11">
        <v>-780.66</v>
      </c>
      <c r="E33" s="36">
        <v>34.28</v>
      </c>
      <c r="F33" s="36">
        <v>50</v>
      </c>
    </row>
    <row r="34" spans="1:6" x14ac:dyDescent="0.25">
      <c r="A34" s="5">
        <v>31</v>
      </c>
      <c r="B34" s="11">
        <v>62304.58</v>
      </c>
      <c r="C34" s="11">
        <v>43917.760000000002</v>
      </c>
      <c r="D34" s="11">
        <v>6222.34</v>
      </c>
      <c r="E34" s="36">
        <v>37.520000000000003</v>
      </c>
      <c r="F34" s="36">
        <v>56.21</v>
      </c>
    </row>
    <row r="35" spans="1:6" x14ac:dyDescent="0.25">
      <c r="A35" s="5">
        <v>32</v>
      </c>
      <c r="B35" s="11">
        <v>101318.99</v>
      </c>
      <c r="C35" s="11">
        <v>49.13</v>
      </c>
      <c r="D35" s="11">
        <v>1368.12</v>
      </c>
      <c r="E35" s="36">
        <v>37.950000000000003</v>
      </c>
      <c r="F35" s="36">
        <v>59.66</v>
      </c>
    </row>
    <row r="36" spans="1:6" x14ac:dyDescent="0.25">
      <c r="A36" s="5">
        <v>33</v>
      </c>
      <c r="B36" s="11">
        <v>88840.98</v>
      </c>
      <c r="C36" s="11">
        <v>11634.84</v>
      </c>
      <c r="D36" s="11">
        <v>475.82</v>
      </c>
      <c r="E36" s="36">
        <v>44.24</v>
      </c>
      <c r="F36" s="36">
        <v>65.099999999999994</v>
      </c>
    </row>
    <row r="37" spans="1:6" x14ac:dyDescent="0.25">
      <c r="A37" s="5">
        <v>34</v>
      </c>
      <c r="B37" s="11">
        <v>104223.08</v>
      </c>
      <c r="C37" s="11">
        <v>278.39999999999998</v>
      </c>
      <c r="D37" s="11">
        <v>4501.4799999999996</v>
      </c>
      <c r="E37" s="36">
        <v>41.94</v>
      </c>
      <c r="F37" s="36">
        <v>73.59</v>
      </c>
    </row>
    <row r="38" spans="1:6" x14ac:dyDescent="0.25">
      <c r="A38" s="5">
        <v>35</v>
      </c>
      <c r="B38" s="11">
        <v>100603.69</v>
      </c>
      <c r="C38" s="11">
        <v>63.29</v>
      </c>
      <c r="D38" s="11">
        <v>666.98</v>
      </c>
      <c r="E38" s="36">
        <v>44.52</v>
      </c>
      <c r="F38" s="36">
        <v>86.15</v>
      </c>
    </row>
    <row r="39" spans="1:6" x14ac:dyDescent="0.25">
      <c r="A39" s="5">
        <v>36</v>
      </c>
      <c r="B39" s="11">
        <v>106278.3</v>
      </c>
      <c r="C39" s="11">
        <v>62.22</v>
      </c>
      <c r="D39" s="11">
        <v>6340.52</v>
      </c>
      <c r="E39" s="36">
        <v>46.73</v>
      </c>
      <c r="F39" s="36">
        <v>68.319999999999993</v>
      </c>
    </row>
    <row r="40" spans="1:6" x14ac:dyDescent="0.25">
      <c r="A40" s="5">
        <v>37</v>
      </c>
      <c r="B40" s="11">
        <v>110815.36</v>
      </c>
      <c r="C40" s="11">
        <v>1250.97</v>
      </c>
      <c r="D40" s="11">
        <v>12066.33</v>
      </c>
      <c r="E40" s="36">
        <v>44.26</v>
      </c>
      <c r="F40" s="36">
        <v>63.46</v>
      </c>
    </row>
    <row r="41" spans="1:6" x14ac:dyDescent="0.25">
      <c r="A41" s="5">
        <v>38</v>
      </c>
      <c r="B41" s="11">
        <v>104581.57</v>
      </c>
      <c r="C41" s="11">
        <v>57.95</v>
      </c>
      <c r="D41" s="11">
        <v>4639.5200000000004</v>
      </c>
      <c r="E41" s="36">
        <v>39.14</v>
      </c>
      <c r="F41" s="36">
        <v>68.42</v>
      </c>
    </row>
    <row r="42" spans="1:6" x14ac:dyDescent="0.25">
      <c r="A42" s="5">
        <v>39</v>
      </c>
      <c r="B42" s="11">
        <v>101658.33</v>
      </c>
      <c r="C42" s="11">
        <v>92.95</v>
      </c>
      <c r="D42" s="11">
        <v>1751.28</v>
      </c>
      <c r="E42" s="36">
        <v>46.03</v>
      </c>
      <c r="F42" s="36">
        <v>100.98</v>
      </c>
    </row>
    <row r="43" spans="1:6" x14ac:dyDescent="0.25">
      <c r="A43" s="5">
        <v>40</v>
      </c>
      <c r="B43" s="11">
        <v>95181.49</v>
      </c>
      <c r="C43" s="11">
        <v>7647.01</v>
      </c>
      <c r="D43" s="11">
        <v>2828.5</v>
      </c>
      <c r="E43" s="36">
        <v>30.7</v>
      </c>
      <c r="F43" s="36">
        <v>56.32</v>
      </c>
    </row>
    <row r="44" spans="1:6" x14ac:dyDescent="0.25">
      <c r="A44" s="5">
        <v>41</v>
      </c>
      <c r="B44" s="11">
        <v>98087.13</v>
      </c>
      <c r="C44" s="11">
        <v>584.09</v>
      </c>
      <c r="D44" s="11">
        <v>-1328.78</v>
      </c>
      <c r="E44" s="36">
        <v>31.03</v>
      </c>
      <c r="F44" s="36">
        <v>50.75</v>
      </c>
    </row>
    <row r="45" spans="1:6" x14ac:dyDescent="0.25">
      <c r="A45" s="5">
        <v>42</v>
      </c>
      <c r="B45" s="11">
        <v>98445.61</v>
      </c>
      <c r="C45" s="11">
        <v>3719.52</v>
      </c>
      <c r="D45" s="11">
        <v>2165.13</v>
      </c>
      <c r="E45" s="36">
        <v>40.71</v>
      </c>
      <c r="F45" s="36">
        <v>56.45</v>
      </c>
    </row>
    <row r="46" spans="1:6" x14ac:dyDescent="0.25">
      <c r="A46" s="5">
        <v>43</v>
      </c>
      <c r="B46" s="11">
        <v>27910.560000000001</v>
      </c>
      <c r="C46" s="11">
        <v>76460.88</v>
      </c>
      <c r="D46" s="11">
        <v>4371.4399999999996</v>
      </c>
      <c r="E46" s="36">
        <v>39.33</v>
      </c>
      <c r="F46" s="36">
        <v>56.1</v>
      </c>
    </row>
    <row r="47" spans="1:6" x14ac:dyDescent="0.25">
      <c r="A47" s="5">
        <v>44</v>
      </c>
      <c r="B47" s="11">
        <v>101345.17</v>
      </c>
      <c r="C47" s="11">
        <v>76.39</v>
      </c>
      <c r="D47" s="11">
        <v>1421.56</v>
      </c>
      <c r="E47" s="36">
        <v>49.22</v>
      </c>
      <c r="F47" s="36">
        <v>79.25</v>
      </c>
    </row>
    <row r="48" spans="1:6" x14ac:dyDescent="0.25">
      <c r="A48" s="5">
        <v>45</v>
      </c>
      <c r="B48" s="11">
        <v>103451.81</v>
      </c>
      <c r="C48" s="11">
        <v>4076.8</v>
      </c>
      <c r="D48" s="11">
        <v>7528.61</v>
      </c>
      <c r="E48" s="36">
        <v>49.15</v>
      </c>
      <c r="F48" s="36">
        <v>74.430000000000007</v>
      </c>
    </row>
    <row r="49" spans="1:6" x14ac:dyDescent="0.25">
      <c r="A49" s="5">
        <v>46</v>
      </c>
      <c r="B49" s="11">
        <v>103110.13</v>
      </c>
      <c r="C49" s="11">
        <v>74.52</v>
      </c>
      <c r="D49" s="11">
        <v>3184.65</v>
      </c>
      <c r="E49" s="36">
        <v>50</v>
      </c>
      <c r="F49" s="36">
        <v>76.97</v>
      </c>
    </row>
    <row r="50" spans="1:6" x14ac:dyDescent="0.25">
      <c r="A50" s="5">
        <v>47</v>
      </c>
      <c r="B50" s="11">
        <v>99347.62</v>
      </c>
      <c r="C50" s="11">
        <v>446.94</v>
      </c>
      <c r="D50" s="11">
        <v>-205.44</v>
      </c>
      <c r="E50" s="36">
        <v>41.82</v>
      </c>
      <c r="F50" s="36">
        <v>57.46</v>
      </c>
    </row>
    <row r="51" spans="1:6" x14ac:dyDescent="0.25">
      <c r="A51" s="5">
        <v>48</v>
      </c>
      <c r="B51" s="11">
        <v>101700.76</v>
      </c>
      <c r="C51" s="11">
        <v>1046.27</v>
      </c>
      <c r="D51" s="11">
        <v>2747.03</v>
      </c>
      <c r="E51" s="36">
        <v>45.11</v>
      </c>
      <c r="F51" s="36">
        <v>62.77</v>
      </c>
    </row>
    <row r="52" spans="1:6" x14ac:dyDescent="0.25">
      <c r="A52" s="5">
        <v>49</v>
      </c>
      <c r="B52" s="11">
        <v>11525.96</v>
      </c>
      <c r="C52" s="11">
        <v>72413.91</v>
      </c>
      <c r="D52" s="11">
        <v>-16060.13</v>
      </c>
      <c r="E52" s="36">
        <v>28.99</v>
      </c>
      <c r="F52" s="36">
        <v>50</v>
      </c>
    </row>
    <row r="53" spans="1:6" x14ac:dyDescent="0.25">
      <c r="A53" s="5">
        <v>50</v>
      </c>
      <c r="B53" s="11">
        <v>104121.36</v>
      </c>
      <c r="C53" s="11">
        <v>6945.66</v>
      </c>
      <c r="D53" s="11">
        <v>11067.02</v>
      </c>
      <c r="E53" s="36">
        <v>39.630000000000003</v>
      </c>
      <c r="F53" s="36">
        <v>60.38</v>
      </c>
    </row>
    <row r="54" spans="1:6" x14ac:dyDescent="0.25">
      <c r="A54" s="5">
        <v>51</v>
      </c>
      <c r="B54" s="11">
        <v>77866.63</v>
      </c>
      <c r="C54" s="11">
        <v>736.89</v>
      </c>
      <c r="D54" s="11">
        <v>-21396.48</v>
      </c>
      <c r="E54" s="36">
        <v>31.96</v>
      </c>
      <c r="F54" s="36">
        <v>50.54</v>
      </c>
    </row>
    <row r="55" spans="1:6" x14ac:dyDescent="0.25">
      <c r="A55" s="5">
        <v>52</v>
      </c>
      <c r="B55" s="11">
        <v>92981.82</v>
      </c>
      <c r="C55" s="11">
        <v>2016.27</v>
      </c>
      <c r="D55" s="11">
        <v>-5001.91</v>
      </c>
      <c r="E55" s="36">
        <v>36.5</v>
      </c>
      <c r="F55" s="36">
        <v>53.94</v>
      </c>
    </row>
    <row r="56" spans="1:6" x14ac:dyDescent="0.25">
      <c r="A56" s="5">
        <v>53</v>
      </c>
      <c r="B56" s="11">
        <v>101638.68</v>
      </c>
      <c r="C56" s="11">
        <v>59.19</v>
      </c>
      <c r="D56" s="11">
        <v>1697.87</v>
      </c>
      <c r="E56" s="36">
        <v>48.92</v>
      </c>
      <c r="F56" s="36">
        <v>68.13</v>
      </c>
    </row>
    <row r="57" spans="1:6" x14ac:dyDescent="0.25">
      <c r="A57" s="5">
        <v>54</v>
      </c>
      <c r="B57" s="11">
        <v>83039.97</v>
      </c>
      <c r="C57" s="11">
        <v>21596.16</v>
      </c>
      <c r="D57" s="11">
        <v>4636.13</v>
      </c>
      <c r="E57" s="36">
        <v>33.29</v>
      </c>
      <c r="F57" s="36">
        <v>64.73</v>
      </c>
    </row>
    <row r="58" spans="1:6" x14ac:dyDescent="0.25">
      <c r="A58" s="5">
        <v>55</v>
      </c>
      <c r="B58" s="11">
        <v>109794.76</v>
      </c>
      <c r="C58" s="11">
        <v>103.55</v>
      </c>
      <c r="D58" s="11">
        <v>9898.31</v>
      </c>
      <c r="E58" s="36">
        <v>43.23</v>
      </c>
      <c r="F58" s="36">
        <v>105</v>
      </c>
    </row>
    <row r="59" spans="1:6" x14ac:dyDescent="0.25">
      <c r="A59" s="5">
        <v>56</v>
      </c>
      <c r="B59" s="11">
        <v>104440.46</v>
      </c>
      <c r="C59" s="11">
        <v>698.1</v>
      </c>
      <c r="D59" s="11">
        <v>5138.5600000000004</v>
      </c>
      <c r="E59" s="36">
        <v>45.73</v>
      </c>
      <c r="F59" s="36">
        <v>73.56</v>
      </c>
    </row>
    <row r="60" spans="1:6" x14ac:dyDescent="0.25">
      <c r="A60" s="5">
        <v>57</v>
      </c>
      <c r="B60" s="11">
        <v>107904.63</v>
      </c>
      <c r="C60" s="11">
        <v>103.52</v>
      </c>
      <c r="D60" s="11">
        <v>8008.15</v>
      </c>
      <c r="E60" s="36">
        <v>45.79</v>
      </c>
      <c r="F60" s="36">
        <v>103.52</v>
      </c>
    </row>
    <row r="61" spans="1:6" x14ac:dyDescent="0.25">
      <c r="A61" s="5">
        <v>58</v>
      </c>
      <c r="B61" s="11">
        <v>95867.41</v>
      </c>
      <c r="C61" s="11">
        <v>328.26</v>
      </c>
      <c r="D61" s="11">
        <v>-3804.33</v>
      </c>
      <c r="E61" s="36">
        <v>39.03</v>
      </c>
      <c r="F61" s="36">
        <v>61.63</v>
      </c>
    </row>
    <row r="62" spans="1:6" x14ac:dyDescent="0.25">
      <c r="A62" s="5">
        <v>59</v>
      </c>
      <c r="B62" s="11">
        <v>104847.77</v>
      </c>
      <c r="C62" s="11">
        <v>3435.39</v>
      </c>
      <c r="D62" s="11">
        <v>8283.16</v>
      </c>
      <c r="E62" s="36">
        <v>40.659999999999997</v>
      </c>
      <c r="F62" s="36">
        <v>61.6</v>
      </c>
    </row>
    <row r="63" spans="1:6" x14ac:dyDescent="0.25">
      <c r="A63" s="5">
        <v>60</v>
      </c>
      <c r="B63" s="11">
        <v>100984.66</v>
      </c>
      <c r="C63" s="11">
        <v>58.88</v>
      </c>
      <c r="D63" s="11">
        <v>1043.54</v>
      </c>
      <c r="E63" s="36">
        <v>37.520000000000003</v>
      </c>
      <c r="F63" s="36">
        <v>68.69</v>
      </c>
    </row>
    <row r="64" spans="1:6" x14ac:dyDescent="0.25">
      <c r="A64" s="5">
        <v>61</v>
      </c>
      <c r="B64" s="11">
        <v>99777.57</v>
      </c>
      <c r="C64" s="11">
        <v>63.4</v>
      </c>
      <c r="D64" s="11">
        <v>-159.03</v>
      </c>
      <c r="E64" s="36">
        <v>43.93</v>
      </c>
      <c r="F64" s="36">
        <v>64.790000000000006</v>
      </c>
    </row>
    <row r="65" spans="1:6" x14ac:dyDescent="0.25">
      <c r="A65" s="5">
        <v>62</v>
      </c>
      <c r="B65" s="11">
        <v>101086.06</v>
      </c>
      <c r="C65" s="11">
        <v>81.64</v>
      </c>
      <c r="D65" s="11">
        <v>1167.7</v>
      </c>
      <c r="E65" s="36">
        <v>46.06</v>
      </c>
      <c r="F65" s="36">
        <v>84.61</v>
      </c>
    </row>
    <row r="66" spans="1:6" x14ac:dyDescent="0.25">
      <c r="A66" s="5">
        <v>63</v>
      </c>
      <c r="B66" s="11">
        <v>81507.22</v>
      </c>
      <c r="C66" s="11">
        <v>962.5</v>
      </c>
      <c r="D66" s="11">
        <v>-17530.28</v>
      </c>
      <c r="E66" s="36">
        <v>32.04</v>
      </c>
      <c r="F66" s="36">
        <v>50</v>
      </c>
    </row>
    <row r="67" spans="1:6" x14ac:dyDescent="0.25">
      <c r="A67" s="5">
        <v>64</v>
      </c>
      <c r="B67" s="11">
        <v>53702.18</v>
      </c>
      <c r="C67" s="11">
        <v>49859.44</v>
      </c>
      <c r="D67" s="11">
        <v>3561.62</v>
      </c>
      <c r="E67" s="36">
        <v>34.229999999999997</v>
      </c>
      <c r="F67" s="36">
        <v>52.04</v>
      </c>
    </row>
    <row r="68" spans="1:6" x14ac:dyDescent="0.25">
      <c r="A68" s="5">
        <v>65</v>
      </c>
      <c r="B68" s="11">
        <v>100613.61</v>
      </c>
      <c r="C68" s="11">
        <v>12381.78</v>
      </c>
      <c r="D68" s="11">
        <v>12995.39</v>
      </c>
      <c r="E68" s="36">
        <v>50</v>
      </c>
      <c r="F68" s="36">
        <v>72.34</v>
      </c>
    </row>
    <row r="69" spans="1:6" x14ac:dyDescent="0.25">
      <c r="A69" s="5">
        <v>66</v>
      </c>
      <c r="B69" s="11">
        <v>85277.96</v>
      </c>
      <c r="C69" s="11">
        <v>20963.25</v>
      </c>
      <c r="D69" s="11">
        <v>6241.21</v>
      </c>
      <c r="E69" s="36">
        <v>35.97</v>
      </c>
      <c r="F69" s="36">
        <v>55.54</v>
      </c>
    </row>
    <row r="70" spans="1:6" x14ac:dyDescent="0.25">
      <c r="A70" s="5">
        <v>67</v>
      </c>
      <c r="B70" s="11">
        <v>96065.47</v>
      </c>
      <c r="C70" s="11">
        <v>6685.91</v>
      </c>
      <c r="D70" s="11">
        <v>2751.38</v>
      </c>
      <c r="E70" s="36">
        <v>39.33</v>
      </c>
      <c r="F70" s="36">
        <v>60.02</v>
      </c>
    </row>
    <row r="71" spans="1:6" x14ac:dyDescent="0.25">
      <c r="A71" s="5">
        <v>68</v>
      </c>
      <c r="B71" s="11">
        <v>107322.76</v>
      </c>
      <c r="C71" s="11">
        <v>42.68</v>
      </c>
      <c r="D71" s="11">
        <v>7365.44</v>
      </c>
      <c r="E71" s="36">
        <v>38.83</v>
      </c>
      <c r="F71" s="36">
        <v>68.510000000000005</v>
      </c>
    </row>
    <row r="72" spans="1:6" x14ac:dyDescent="0.25">
      <c r="A72" s="5">
        <v>69</v>
      </c>
      <c r="B72" s="11">
        <v>93443.49</v>
      </c>
      <c r="C72" s="11">
        <v>1585.6</v>
      </c>
      <c r="D72" s="11">
        <v>-4970.91</v>
      </c>
      <c r="E72" s="36">
        <v>31.83</v>
      </c>
      <c r="F72" s="36">
        <v>50</v>
      </c>
    </row>
    <row r="73" spans="1:6" x14ac:dyDescent="0.25">
      <c r="A73" s="5">
        <v>70</v>
      </c>
      <c r="B73" s="11">
        <v>100144.74</v>
      </c>
      <c r="C73" s="11">
        <v>997.36</v>
      </c>
      <c r="D73" s="11">
        <v>1142.0999999999999</v>
      </c>
      <c r="E73" s="36">
        <v>32.590000000000003</v>
      </c>
      <c r="F73" s="36">
        <v>53.45</v>
      </c>
    </row>
    <row r="74" spans="1:6" x14ac:dyDescent="0.25">
      <c r="A74" s="5">
        <v>71</v>
      </c>
      <c r="B74" s="11">
        <v>44130.61</v>
      </c>
      <c r="C74" s="11">
        <v>39644.19</v>
      </c>
      <c r="D74" s="11">
        <v>-16225.2</v>
      </c>
      <c r="E74" s="36">
        <v>28.88</v>
      </c>
      <c r="F74" s="36">
        <v>52.18</v>
      </c>
    </row>
    <row r="75" spans="1:6" x14ac:dyDescent="0.25">
      <c r="A75" s="5">
        <v>72</v>
      </c>
      <c r="B75" s="11">
        <v>100517.95</v>
      </c>
      <c r="C75" s="11">
        <v>4253.91</v>
      </c>
      <c r="D75" s="11">
        <v>4771.8599999999997</v>
      </c>
      <c r="E75" s="36">
        <v>50</v>
      </c>
      <c r="F75" s="36">
        <v>78.22</v>
      </c>
    </row>
    <row r="76" spans="1:6" x14ac:dyDescent="0.25">
      <c r="A76" s="5">
        <v>73</v>
      </c>
      <c r="B76" s="11">
        <v>39077.79</v>
      </c>
      <c r="C76" s="11">
        <v>68998.8</v>
      </c>
      <c r="D76" s="11">
        <v>8076.59</v>
      </c>
      <c r="E76" s="36">
        <v>36.47</v>
      </c>
      <c r="F76" s="36">
        <v>54.06</v>
      </c>
    </row>
    <row r="77" spans="1:6" x14ac:dyDescent="0.25">
      <c r="A77" s="5">
        <v>74</v>
      </c>
      <c r="B77" s="11">
        <v>98385.14</v>
      </c>
      <c r="C77" s="11">
        <v>2956.8</v>
      </c>
      <c r="D77" s="11">
        <v>1341.94</v>
      </c>
      <c r="E77" s="36">
        <v>35.06</v>
      </c>
      <c r="F77" s="36">
        <v>58.23</v>
      </c>
    </row>
    <row r="78" spans="1:6" x14ac:dyDescent="0.25">
      <c r="A78" s="5">
        <v>75</v>
      </c>
      <c r="B78" s="11">
        <v>19.350000000000001</v>
      </c>
      <c r="C78" s="11">
        <v>95594.4</v>
      </c>
      <c r="D78" s="11">
        <v>-4386.25</v>
      </c>
      <c r="E78" s="36">
        <v>39.6</v>
      </c>
      <c r="F78" s="36">
        <v>64.900000000000006</v>
      </c>
    </row>
    <row r="79" spans="1:6" x14ac:dyDescent="0.25">
      <c r="A79" s="5">
        <v>76</v>
      </c>
      <c r="B79" s="11">
        <v>60129.26</v>
      </c>
      <c r="C79" s="11">
        <v>10518.36</v>
      </c>
      <c r="D79" s="11">
        <v>-29352.38</v>
      </c>
      <c r="E79" s="36">
        <v>23.06</v>
      </c>
      <c r="F79" s="36">
        <v>50.32</v>
      </c>
    </row>
    <row r="80" spans="1:6" x14ac:dyDescent="0.25">
      <c r="A80" s="5">
        <v>77</v>
      </c>
      <c r="B80" s="11">
        <v>100176.44</v>
      </c>
      <c r="C80" s="11">
        <v>492.84</v>
      </c>
      <c r="D80" s="11">
        <v>669.28</v>
      </c>
      <c r="E80" s="36">
        <v>36.29</v>
      </c>
      <c r="F80" s="36">
        <v>54.62</v>
      </c>
    </row>
    <row r="81" spans="1:6" x14ac:dyDescent="0.25">
      <c r="A81" s="5">
        <v>78</v>
      </c>
      <c r="B81" s="11">
        <v>92366.1</v>
      </c>
      <c r="C81" s="11">
        <v>11178.18</v>
      </c>
      <c r="D81" s="11">
        <v>3544.28</v>
      </c>
      <c r="E81" s="36">
        <v>36.1</v>
      </c>
      <c r="F81" s="36">
        <v>58.9</v>
      </c>
    </row>
    <row r="82" spans="1:6" x14ac:dyDescent="0.25">
      <c r="A82" s="5">
        <v>79</v>
      </c>
      <c r="B82" s="11">
        <v>93614.8</v>
      </c>
      <c r="C82" s="11">
        <v>620.75</v>
      </c>
      <c r="D82" s="11">
        <v>-5764.45</v>
      </c>
      <c r="E82" s="36">
        <v>35.14</v>
      </c>
      <c r="F82" s="36">
        <v>57.11</v>
      </c>
    </row>
    <row r="83" spans="1:6" x14ac:dyDescent="0.25">
      <c r="A83" s="5">
        <v>80</v>
      </c>
      <c r="B83" s="11">
        <v>75706.86</v>
      </c>
      <c r="C83" s="11">
        <v>30130.14</v>
      </c>
      <c r="D83" s="11">
        <v>5837</v>
      </c>
      <c r="E83" s="36">
        <v>45.63</v>
      </c>
      <c r="F83" s="36">
        <v>72.77</v>
      </c>
    </row>
    <row r="84" spans="1:6" x14ac:dyDescent="0.25">
      <c r="A84" s="5">
        <v>81</v>
      </c>
      <c r="B84" s="11">
        <v>83370.44</v>
      </c>
      <c r="C84" s="11">
        <v>21084.35</v>
      </c>
      <c r="D84" s="11">
        <v>4454.79</v>
      </c>
      <c r="E84" s="36">
        <v>35.479999999999997</v>
      </c>
      <c r="F84" s="36">
        <v>55.06</v>
      </c>
    </row>
    <row r="85" spans="1:6" x14ac:dyDescent="0.25">
      <c r="A85" s="5">
        <v>82</v>
      </c>
      <c r="B85" s="11">
        <v>101294.93</v>
      </c>
      <c r="C85" s="11">
        <v>78.03</v>
      </c>
      <c r="D85" s="11">
        <v>1372.96</v>
      </c>
      <c r="E85" s="36">
        <v>42.05</v>
      </c>
      <c r="F85" s="36">
        <v>78.03</v>
      </c>
    </row>
    <row r="86" spans="1:6" x14ac:dyDescent="0.25">
      <c r="A86" s="5">
        <v>83</v>
      </c>
      <c r="B86" s="11">
        <v>102312.34</v>
      </c>
      <c r="C86" s="11">
        <v>831.4</v>
      </c>
      <c r="D86" s="11">
        <v>3143.74</v>
      </c>
      <c r="E86" s="36">
        <v>34.950000000000003</v>
      </c>
      <c r="F86" s="36">
        <v>50.78</v>
      </c>
    </row>
    <row r="87" spans="1:6" x14ac:dyDescent="0.25">
      <c r="A87" s="5">
        <v>84</v>
      </c>
      <c r="B87" s="11">
        <v>104480.99</v>
      </c>
      <c r="C87" s="11">
        <v>89.68</v>
      </c>
      <c r="D87" s="11">
        <v>4570.67</v>
      </c>
      <c r="E87" s="36">
        <v>48.9</v>
      </c>
      <c r="F87" s="36">
        <v>91.2</v>
      </c>
    </row>
    <row r="88" spans="1:6" x14ac:dyDescent="0.25">
      <c r="A88" s="5">
        <v>85</v>
      </c>
      <c r="B88" s="11">
        <v>98572.23</v>
      </c>
      <c r="C88" s="11">
        <v>1024.19</v>
      </c>
      <c r="D88" s="11">
        <v>-403.58</v>
      </c>
      <c r="E88" s="36">
        <v>32.65</v>
      </c>
      <c r="F88" s="36">
        <v>55.82</v>
      </c>
    </row>
    <row r="89" spans="1:6" x14ac:dyDescent="0.25">
      <c r="A89" s="5">
        <v>86</v>
      </c>
      <c r="B89" s="11">
        <v>96041.03</v>
      </c>
      <c r="C89" s="11">
        <v>4831.38</v>
      </c>
      <c r="D89" s="11">
        <v>872.41</v>
      </c>
      <c r="E89" s="36">
        <v>34.51</v>
      </c>
      <c r="F89" s="36">
        <v>50.85</v>
      </c>
    </row>
    <row r="90" spans="1:6" x14ac:dyDescent="0.25">
      <c r="A90" s="5">
        <v>87</v>
      </c>
      <c r="B90" s="11">
        <v>103324.84</v>
      </c>
      <c r="C90" s="11">
        <v>90.76</v>
      </c>
      <c r="D90" s="11">
        <v>3415.6</v>
      </c>
      <c r="E90" s="36">
        <v>45.87</v>
      </c>
      <c r="F90" s="36">
        <v>101.41</v>
      </c>
    </row>
    <row r="91" spans="1:6" x14ac:dyDescent="0.25">
      <c r="A91" s="5">
        <v>88</v>
      </c>
      <c r="B91" s="11">
        <v>62352.7</v>
      </c>
      <c r="C91" s="11">
        <v>32368.7</v>
      </c>
      <c r="D91" s="11">
        <v>-5278.6</v>
      </c>
      <c r="E91" s="36">
        <v>35.229999999999997</v>
      </c>
      <c r="F91" s="36">
        <v>58</v>
      </c>
    </row>
    <row r="92" spans="1:6" x14ac:dyDescent="0.25">
      <c r="A92" s="5">
        <v>89</v>
      </c>
      <c r="B92" s="11">
        <v>99804.18</v>
      </c>
      <c r="C92" s="11">
        <v>350.7</v>
      </c>
      <c r="D92" s="11">
        <v>154.88</v>
      </c>
      <c r="E92" s="36">
        <v>35.07</v>
      </c>
      <c r="F92" s="36">
        <v>60.99</v>
      </c>
    </row>
    <row r="93" spans="1:6" x14ac:dyDescent="0.25">
      <c r="A93" s="5">
        <v>90</v>
      </c>
      <c r="B93" s="11">
        <v>101346.16</v>
      </c>
      <c r="C93" s="11">
        <v>33.19</v>
      </c>
      <c r="D93" s="11">
        <v>1379.35</v>
      </c>
      <c r="E93" s="36">
        <v>33</v>
      </c>
      <c r="F93" s="36">
        <v>74.3</v>
      </c>
    </row>
    <row r="94" spans="1:6" x14ac:dyDescent="0.25">
      <c r="A94" s="5">
        <v>91</v>
      </c>
      <c r="B94" s="11">
        <v>102338.4</v>
      </c>
      <c r="C94" s="11">
        <v>83.03</v>
      </c>
      <c r="D94" s="11">
        <v>2421.4299999999998</v>
      </c>
      <c r="E94" s="36">
        <v>44.07</v>
      </c>
      <c r="F94" s="36">
        <v>99.59</v>
      </c>
    </row>
    <row r="95" spans="1:6" x14ac:dyDescent="0.25">
      <c r="A95" s="5">
        <v>92</v>
      </c>
      <c r="B95" s="11">
        <v>47462.19</v>
      </c>
      <c r="C95" s="11">
        <v>33624.629999999997</v>
      </c>
      <c r="D95" s="11">
        <v>-18913.18</v>
      </c>
      <c r="E95" s="36">
        <v>32.340000000000003</v>
      </c>
      <c r="F95" s="36">
        <v>57.78</v>
      </c>
    </row>
    <row r="96" spans="1:6" x14ac:dyDescent="0.25">
      <c r="A96" s="5">
        <v>93</v>
      </c>
      <c r="B96" s="11">
        <v>98906.7</v>
      </c>
      <c r="C96" s="11">
        <v>2617</v>
      </c>
      <c r="D96" s="11">
        <v>1523.7</v>
      </c>
      <c r="E96" s="36">
        <v>44.56</v>
      </c>
      <c r="F96" s="36">
        <v>79.819999999999993</v>
      </c>
    </row>
    <row r="97" spans="1:6" x14ac:dyDescent="0.25">
      <c r="A97" s="5">
        <v>94</v>
      </c>
      <c r="B97" s="11">
        <v>101233.45</v>
      </c>
      <c r="C97" s="11">
        <v>57.61</v>
      </c>
      <c r="D97" s="11">
        <v>1291.06</v>
      </c>
      <c r="E97" s="36">
        <v>37.369999999999997</v>
      </c>
      <c r="F97" s="36">
        <v>57.61</v>
      </c>
    </row>
    <row r="98" spans="1:6" x14ac:dyDescent="0.25">
      <c r="A98" s="5">
        <v>95</v>
      </c>
      <c r="B98" s="11">
        <v>98570.02</v>
      </c>
      <c r="C98" s="11">
        <v>5026.7700000000004</v>
      </c>
      <c r="D98" s="11">
        <v>3596.79</v>
      </c>
      <c r="E98" s="36">
        <v>45.82</v>
      </c>
      <c r="F98" s="36">
        <v>63.05</v>
      </c>
    </row>
    <row r="99" spans="1:6" x14ac:dyDescent="0.25">
      <c r="A99" s="5">
        <v>96</v>
      </c>
      <c r="B99" s="11">
        <v>91065.49</v>
      </c>
      <c r="C99" s="11">
        <v>3691.8</v>
      </c>
      <c r="D99" s="11">
        <v>-5242.71</v>
      </c>
      <c r="E99" s="36">
        <v>37.229999999999997</v>
      </c>
      <c r="F99" s="36">
        <v>57.4</v>
      </c>
    </row>
    <row r="100" spans="1:6" x14ac:dyDescent="0.25">
      <c r="A100" s="5">
        <v>97</v>
      </c>
      <c r="B100" s="11">
        <v>104156.87</v>
      </c>
      <c r="C100" s="11">
        <v>7596.84</v>
      </c>
      <c r="D100" s="11">
        <v>11753.71</v>
      </c>
      <c r="E100" s="36">
        <v>34.22</v>
      </c>
      <c r="F100" s="36">
        <v>70.5</v>
      </c>
    </row>
    <row r="101" spans="1:6" x14ac:dyDescent="0.25">
      <c r="A101" s="5">
        <v>98</v>
      </c>
      <c r="B101" s="11">
        <v>102632</v>
      </c>
      <c r="C101" s="11">
        <v>70.67</v>
      </c>
      <c r="D101" s="11">
        <v>2702.67</v>
      </c>
      <c r="E101" s="36">
        <v>50</v>
      </c>
      <c r="F101" s="36">
        <v>79.97</v>
      </c>
    </row>
    <row r="102" spans="1:6" x14ac:dyDescent="0.25">
      <c r="A102" s="5">
        <v>99</v>
      </c>
      <c r="B102" s="11">
        <v>112151.35</v>
      </c>
      <c r="C102" s="11">
        <v>7865.88</v>
      </c>
      <c r="D102" s="11">
        <v>20017.23</v>
      </c>
      <c r="E102" s="36">
        <v>44.52</v>
      </c>
      <c r="F102" s="36">
        <v>74.430000000000007</v>
      </c>
    </row>
    <row r="103" spans="1:6" x14ac:dyDescent="0.25">
      <c r="A103" s="5">
        <v>100</v>
      </c>
      <c r="B103" s="11">
        <v>99155.83</v>
      </c>
      <c r="C103" s="11">
        <v>71.959999999999994</v>
      </c>
      <c r="D103" s="11">
        <v>-772.21</v>
      </c>
      <c r="E103" s="36">
        <v>39.68</v>
      </c>
      <c r="F103" s="36">
        <v>74.78</v>
      </c>
    </row>
    <row r="104" spans="1:6" x14ac:dyDescent="0.25">
      <c r="A104" s="5">
        <v>101</v>
      </c>
      <c r="B104" s="11">
        <v>93849.24</v>
      </c>
      <c r="C104" s="11">
        <v>3619.2</v>
      </c>
      <c r="D104" s="11">
        <v>-2531.56</v>
      </c>
      <c r="E104" s="36">
        <v>34.799999999999997</v>
      </c>
      <c r="F104" s="36">
        <v>50.76</v>
      </c>
    </row>
    <row r="105" spans="1:6" x14ac:dyDescent="0.25">
      <c r="A105" s="5">
        <v>102</v>
      </c>
      <c r="B105" s="11">
        <v>91555.04</v>
      </c>
      <c r="C105" s="11">
        <v>6928.5</v>
      </c>
      <c r="D105" s="11">
        <v>-1516.46</v>
      </c>
      <c r="E105" s="36">
        <v>35.6</v>
      </c>
      <c r="F105" s="36">
        <v>59.64</v>
      </c>
    </row>
    <row r="106" spans="1:6" x14ac:dyDescent="0.25">
      <c r="A106" s="5">
        <v>103</v>
      </c>
      <c r="B106" s="11">
        <v>106456.58</v>
      </c>
      <c r="C106" s="11">
        <v>455.94</v>
      </c>
      <c r="D106" s="11">
        <v>6912.52</v>
      </c>
      <c r="E106" s="36">
        <v>44.25</v>
      </c>
      <c r="F106" s="36">
        <v>60.49</v>
      </c>
    </row>
    <row r="107" spans="1:6" x14ac:dyDescent="0.25">
      <c r="A107" s="5">
        <v>104</v>
      </c>
      <c r="B107" s="11">
        <v>87735.21</v>
      </c>
      <c r="C107" s="11">
        <v>16947.599999999999</v>
      </c>
      <c r="D107" s="11">
        <v>4682.8100000000004</v>
      </c>
      <c r="E107" s="36">
        <v>42.97</v>
      </c>
      <c r="F107" s="36">
        <v>58.87</v>
      </c>
    </row>
    <row r="108" spans="1:6" x14ac:dyDescent="0.25">
      <c r="A108" s="5">
        <v>105</v>
      </c>
      <c r="B108" s="11">
        <v>84318.12</v>
      </c>
      <c r="C108" s="11">
        <v>19332</v>
      </c>
      <c r="D108" s="11">
        <v>3650.12</v>
      </c>
      <c r="E108" s="36">
        <v>31.11</v>
      </c>
      <c r="F108" s="36">
        <v>50</v>
      </c>
    </row>
    <row r="109" spans="1:6" x14ac:dyDescent="0.25">
      <c r="A109" s="5">
        <v>106</v>
      </c>
      <c r="B109" s="11">
        <v>103304.44</v>
      </c>
      <c r="C109" s="11">
        <v>53.38</v>
      </c>
      <c r="D109" s="11">
        <v>3357.82</v>
      </c>
      <c r="E109" s="36">
        <v>49.41</v>
      </c>
      <c r="F109" s="36">
        <v>79.2</v>
      </c>
    </row>
    <row r="110" spans="1:6" x14ac:dyDescent="0.25">
      <c r="A110" s="5">
        <v>107</v>
      </c>
      <c r="B110" s="11">
        <v>103483.47</v>
      </c>
      <c r="C110" s="11">
        <v>288.85000000000002</v>
      </c>
      <c r="D110" s="11">
        <v>3772.32</v>
      </c>
      <c r="E110" s="36">
        <v>45.41</v>
      </c>
      <c r="F110" s="36">
        <v>68.38</v>
      </c>
    </row>
    <row r="111" spans="1:6" x14ac:dyDescent="0.25">
      <c r="A111" s="5">
        <v>108</v>
      </c>
      <c r="B111" s="11">
        <v>100909.45</v>
      </c>
      <c r="C111" s="11">
        <v>661.12</v>
      </c>
      <c r="D111" s="11">
        <v>1570.57</v>
      </c>
      <c r="E111" s="36">
        <v>38.22</v>
      </c>
      <c r="F111" s="36">
        <v>60.75</v>
      </c>
    </row>
    <row r="112" spans="1:6" x14ac:dyDescent="0.25">
      <c r="A112" s="5">
        <v>109</v>
      </c>
      <c r="B112" s="11">
        <v>102231.36</v>
      </c>
      <c r="C112" s="11">
        <v>2258.2399999999998</v>
      </c>
      <c r="D112" s="11">
        <v>4489.6000000000004</v>
      </c>
      <c r="E112" s="36">
        <v>50</v>
      </c>
      <c r="F112" s="36">
        <v>78.66</v>
      </c>
    </row>
    <row r="113" spans="1:6" x14ac:dyDescent="0.25">
      <c r="A113" s="5">
        <v>110</v>
      </c>
      <c r="B113" s="11">
        <v>95665.79</v>
      </c>
      <c r="C113" s="11">
        <v>5669.28</v>
      </c>
      <c r="D113" s="11">
        <v>1335.07</v>
      </c>
      <c r="E113" s="36">
        <v>38.83</v>
      </c>
      <c r="F113" s="36">
        <v>54.21</v>
      </c>
    </row>
    <row r="114" spans="1:6" x14ac:dyDescent="0.25">
      <c r="A114" s="5">
        <v>111</v>
      </c>
      <c r="B114" s="11">
        <v>103049.2</v>
      </c>
      <c r="C114" s="11">
        <v>490.28</v>
      </c>
      <c r="D114" s="11">
        <v>3539.48</v>
      </c>
      <c r="E114" s="36">
        <v>44.15</v>
      </c>
      <c r="F114" s="36">
        <v>76.89</v>
      </c>
    </row>
    <row r="115" spans="1:6" x14ac:dyDescent="0.25">
      <c r="A115" s="5">
        <v>112</v>
      </c>
      <c r="B115" s="11">
        <v>103662.16</v>
      </c>
      <c r="C115" s="11">
        <v>6260.94</v>
      </c>
      <c r="D115" s="11">
        <v>9923.1</v>
      </c>
      <c r="E115" s="36">
        <v>41.8</v>
      </c>
      <c r="F115" s="36">
        <v>53.32</v>
      </c>
    </row>
    <row r="116" spans="1:6" x14ac:dyDescent="0.25">
      <c r="A116" s="5">
        <v>113</v>
      </c>
      <c r="B116" s="11">
        <v>91473.17</v>
      </c>
      <c r="C116" s="11">
        <v>3003.77</v>
      </c>
      <c r="D116" s="11">
        <v>-5523.06</v>
      </c>
      <c r="E116" s="36">
        <v>32.159999999999997</v>
      </c>
      <c r="F116" s="36">
        <v>53.6</v>
      </c>
    </row>
    <row r="117" spans="1:6" x14ac:dyDescent="0.25">
      <c r="A117" s="5">
        <v>114</v>
      </c>
      <c r="B117" s="11">
        <v>102521.16</v>
      </c>
      <c r="C117" s="11">
        <v>4420.3500000000004</v>
      </c>
      <c r="D117" s="11">
        <v>6941.51</v>
      </c>
      <c r="E117" s="36">
        <v>38.840000000000003</v>
      </c>
      <c r="F117" s="36">
        <v>61.94</v>
      </c>
    </row>
    <row r="118" spans="1:6" x14ac:dyDescent="0.25">
      <c r="A118" s="5">
        <v>115</v>
      </c>
      <c r="B118" s="11">
        <v>102316.67</v>
      </c>
      <c r="C118" s="11">
        <v>76.62</v>
      </c>
      <c r="D118" s="11">
        <v>2393.29</v>
      </c>
      <c r="E118" s="36">
        <v>48.86</v>
      </c>
      <c r="F118" s="36">
        <v>83.58</v>
      </c>
    </row>
    <row r="119" spans="1:6" x14ac:dyDescent="0.25">
      <c r="A119" s="5">
        <v>116</v>
      </c>
      <c r="B119" s="11">
        <v>101932.35</v>
      </c>
      <c r="C119" s="11">
        <v>1557</v>
      </c>
      <c r="D119" s="11">
        <v>3489.35</v>
      </c>
      <c r="E119" s="36">
        <v>34.92</v>
      </c>
      <c r="F119" s="36">
        <v>56.9</v>
      </c>
    </row>
    <row r="120" spans="1:6" x14ac:dyDescent="0.25">
      <c r="A120" s="5">
        <v>117</v>
      </c>
      <c r="B120" s="11">
        <v>38356.79</v>
      </c>
      <c r="C120" s="11">
        <v>39492.879999999997</v>
      </c>
      <c r="D120" s="11">
        <v>-22150.33</v>
      </c>
      <c r="E120" s="36">
        <v>25.43</v>
      </c>
      <c r="F120" s="36">
        <v>52.76</v>
      </c>
    </row>
    <row r="121" spans="1:6" x14ac:dyDescent="0.25">
      <c r="A121" s="5">
        <v>118</v>
      </c>
      <c r="B121" s="11">
        <v>98430.26</v>
      </c>
      <c r="C121" s="11">
        <v>46.74</v>
      </c>
      <c r="D121" s="11">
        <v>-1523</v>
      </c>
      <c r="E121" s="36">
        <v>34.49</v>
      </c>
      <c r="F121" s="36">
        <v>51.72</v>
      </c>
    </row>
    <row r="122" spans="1:6" x14ac:dyDescent="0.25">
      <c r="A122" s="5">
        <v>119</v>
      </c>
      <c r="B122" s="11">
        <v>96285.41</v>
      </c>
      <c r="C122" s="11">
        <v>1617.36</v>
      </c>
      <c r="D122" s="11">
        <v>-2097.23</v>
      </c>
      <c r="E122" s="36">
        <v>29.92</v>
      </c>
      <c r="F122" s="36">
        <v>50</v>
      </c>
    </row>
    <row r="123" spans="1:6" x14ac:dyDescent="0.25">
      <c r="A123" s="5">
        <v>120</v>
      </c>
      <c r="B123" s="11">
        <v>53704.97</v>
      </c>
      <c r="C123" s="11">
        <v>56828.66</v>
      </c>
      <c r="D123" s="11">
        <v>10533.63</v>
      </c>
      <c r="E123" s="36">
        <v>35.28</v>
      </c>
      <c r="F123" s="36">
        <v>52.9</v>
      </c>
    </row>
    <row r="124" spans="1:6" x14ac:dyDescent="0.25">
      <c r="A124" s="5">
        <v>121</v>
      </c>
      <c r="B124" s="11">
        <v>75200.31</v>
      </c>
      <c r="C124" s="11">
        <v>21967.4</v>
      </c>
      <c r="D124" s="11">
        <v>-2832.29</v>
      </c>
      <c r="E124" s="36">
        <v>33.1</v>
      </c>
      <c r="F124" s="36">
        <v>61.52</v>
      </c>
    </row>
    <row r="125" spans="1:6" x14ac:dyDescent="0.25">
      <c r="A125" s="5">
        <v>122</v>
      </c>
      <c r="B125" s="11">
        <v>99433.02</v>
      </c>
      <c r="C125" s="11">
        <v>82.8</v>
      </c>
      <c r="D125" s="11">
        <v>-484.18</v>
      </c>
      <c r="E125" s="36">
        <v>43.07</v>
      </c>
      <c r="F125" s="36">
        <v>98.34</v>
      </c>
    </row>
    <row r="126" spans="1:6" x14ac:dyDescent="0.25">
      <c r="A126" s="5">
        <v>123</v>
      </c>
      <c r="B126" s="11">
        <v>61585.440000000002</v>
      </c>
      <c r="C126" s="11">
        <v>44714.16</v>
      </c>
      <c r="D126" s="11">
        <v>6299.6</v>
      </c>
      <c r="E126" s="36">
        <v>38.590000000000003</v>
      </c>
      <c r="F126" s="36">
        <v>55.33</v>
      </c>
    </row>
    <row r="127" spans="1:6" x14ac:dyDescent="0.25">
      <c r="A127" s="5">
        <v>124</v>
      </c>
      <c r="B127" s="11">
        <v>109371.55</v>
      </c>
      <c r="C127" s="11">
        <v>512.64</v>
      </c>
      <c r="D127" s="11">
        <v>9884.19</v>
      </c>
      <c r="E127" s="36">
        <v>40.229999999999997</v>
      </c>
      <c r="F127" s="36">
        <v>66.77</v>
      </c>
    </row>
    <row r="128" spans="1:6" x14ac:dyDescent="0.25">
      <c r="A128" s="5">
        <v>125</v>
      </c>
      <c r="B128" s="11">
        <v>102379.97</v>
      </c>
      <c r="C128" s="11">
        <v>63.72</v>
      </c>
      <c r="D128" s="11">
        <v>2443.69</v>
      </c>
      <c r="E128" s="36">
        <v>44.46</v>
      </c>
      <c r="F128" s="36">
        <v>71.47</v>
      </c>
    </row>
    <row r="129" spans="1:6" x14ac:dyDescent="0.25">
      <c r="A129" s="5">
        <v>126</v>
      </c>
      <c r="B129" s="11">
        <v>101592.3</v>
      </c>
      <c r="C129" s="11">
        <v>52.22</v>
      </c>
      <c r="D129" s="11">
        <v>1644.52</v>
      </c>
      <c r="E129" s="36">
        <v>44.35</v>
      </c>
      <c r="F129" s="36">
        <v>60.49</v>
      </c>
    </row>
    <row r="130" spans="1:6" x14ac:dyDescent="0.25">
      <c r="A130" s="5">
        <v>127</v>
      </c>
      <c r="B130" s="11">
        <v>104742.12</v>
      </c>
      <c r="C130" s="11">
        <v>66.41</v>
      </c>
      <c r="D130" s="11">
        <v>4808.53</v>
      </c>
      <c r="E130" s="36">
        <v>43.31</v>
      </c>
      <c r="F130" s="36">
        <v>68.930000000000007</v>
      </c>
    </row>
    <row r="131" spans="1:6" x14ac:dyDescent="0.25">
      <c r="A131" s="5">
        <v>128</v>
      </c>
      <c r="B131" s="11">
        <v>100888.76</v>
      </c>
      <c r="C131" s="11">
        <v>2232.56</v>
      </c>
      <c r="D131" s="11">
        <v>3121.32</v>
      </c>
      <c r="E131" s="36">
        <v>38.39</v>
      </c>
      <c r="F131" s="36">
        <v>57.12</v>
      </c>
    </row>
    <row r="132" spans="1:6" x14ac:dyDescent="0.25">
      <c r="A132" s="5">
        <v>129</v>
      </c>
      <c r="B132" s="11">
        <v>1810.41</v>
      </c>
      <c r="C132" s="11">
        <v>102275.69</v>
      </c>
      <c r="D132" s="11">
        <v>4086.1</v>
      </c>
      <c r="E132" s="36">
        <v>35.9</v>
      </c>
      <c r="F132" s="36">
        <v>54.01</v>
      </c>
    </row>
    <row r="133" spans="1:6" x14ac:dyDescent="0.25">
      <c r="A133" s="5">
        <v>130</v>
      </c>
      <c r="B133" s="11">
        <v>102408.71</v>
      </c>
      <c r="C133" s="11">
        <v>1609.52</v>
      </c>
      <c r="D133" s="11">
        <v>4018.23</v>
      </c>
      <c r="E133" s="36">
        <v>36.17</v>
      </c>
      <c r="F133" s="36">
        <v>59.44</v>
      </c>
    </row>
    <row r="134" spans="1:6" x14ac:dyDescent="0.25">
      <c r="A134" s="5">
        <v>131</v>
      </c>
      <c r="B134" s="11">
        <v>74708.34</v>
      </c>
      <c r="C134" s="11">
        <v>24261.65</v>
      </c>
      <c r="D134" s="11">
        <v>-1030.01</v>
      </c>
      <c r="E134" s="36">
        <v>32.75</v>
      </c>
      <c r="F134" s="36">
        <v>61.52</v>
      </c>
    </row>
    <row r="135" spans="1:6" x14ac:dyDescent="0.25">
      <c r="A135" s="5">
        <v>132</v>
      </c>
      <c r="B135" s="11">
        <v>87796.01</v>
      </c>
      <c r="C135" s="11">
        <v>12939.51</v>
      </c>
      <c r="D135" s="11">
        <v>735.52</v>
      </c>
      <c r="E135" s="36">
        <v>35.950000000000003</v>
      </c>
      <c r="F135" s="36">
        <v>55.61</v>
      </c>
    </row>
    <row r="136" spans="1:6" x14ac:dyDescent="0.25">
      <c r="A136" s="5">
        <v>133</v>
      </c>
      <c r="B136" s="11">
        <v>53527.39</v>
      </c>
      <c r="C136" s="11">
        <v>5421.57</v>
      </c>
      <c r="D136" s="11">
        <v>-41051.040000000001</v>
      </c>
      <c r="E136" s="36">
        <v>20.82</v>
      </c>
      <c r="F136" s="36">
        <v>50</v>
      </c>
    </row>
    <row r="137" spans="1:6" x14ac:dyDescent="0.25">
      <c r="A137" s="5">
        <v>134</v>
      </c>
      <c r="B137" s="11">
        <v>103815.86</v>
      </c>
      <c r="C137" s="11">
        <v>156.18</v>
      </c>
      <c r="D137" s="11">
        <v>3972.04</v>
      </c>
      <c r="E137" s="36">
        <v>49.62</v>
      </c>
      <c r="F137" s="36">
        <v>82</v>
      </c>
    </row>
    <row r="138" spans="1:6" x14ac:dyDescent="0.25">
      <c r="A138" s="5">
        <v>135</v>
      </c>
      <c r="B138" s="11">
        <v>99936.54</v>
      </c>
      <c r="C138" s="11">
        <v>48.1</v>
      </c>
      <c r="D138" s="11">
        <v>-15.36</v>
      </c>
      <c r="E138" s="36">
        <v>34.69</v>
      </c>
      <c r="F138" s="36">
        <v>54.32</v>
      </c>
    </row>
    <row r="139" spans="1:6" x14ac:dyDescent="0.25">
      <c r="A139" s="5">
        <v>136</v>
      </c>
      <c r="B139" s="11">
        <v>79760.539999999994</v>
      </c>
      <c r="C139" s="11">
        <v>22136.1</v>
      </c>
      <c r="D139" s="11">
        <v>1896.64</v>
      </c>
      <c r="E139" s="36">
        <v>36.21</v>
      </c>
      <c r="F139" s="36">
        <v>56.03</v>
      </c>
    </row>
    <row r="140" spans="1:6" x14ac:dyDescent="0.25">
      <c r="A140" s="5">
        <v>137</v>
      </c>
      <c r="B140" s="11">
        <v>100534.8</v>
      </c>
      <c r="C140" s="11">
        <v>12569.76</v>
      </c>
      <c r="D140" s="11">
        <v>13104.56</v>
      </c>
      <c r="E140" s="36">
        <v>34.21</v>
      </c>
      <c r="F140" s="36">
        <v>51</v>
      </c>
    </row>
    <row r="141" spans="1:6" x14ac:dyDescent="0.25">
      <c r="A141" s="5">
        <v>138</v>
      </c>
      <c r="B141" s="11">
        <v>98437.9</v>
      </c>
      <c r="C141" s="11">
        <v>5688.48</v>
      </c>
      <c r="D141" s="11">
        <v>4126.38</v>
      </c>
      <c r="E141" s="36">
        <v>39.14</v>
      </c>
      <c r="F141" s="36">
        <v>60.01</v>
      </c>
    </row>
    <row r="142" spans="1:6" x14ac:dyDescent="0.25">
      <c r="A142" s="5">
        <v>139</v>
      </c>
      <c r="B142" s="11">
        <v>103703.19</v>
      </c>
      <c r="C142" s="11">
        <v>82.85</v>
      </c>
      <c r="D142" s="11">
        <v>3786.04</v>
      </c>
      <c r="E142" s="36">
        <v>42.47</v>
      </c>
      <c r="F142" s="36">
        <v>84.73</v>
      </c>
    </row>
    <row r="143" spans="1:6" x14ac:dyDescent="0.25">
      <c r="A143" s="5">
        <v>140</v>
      </c>
      <c r="B143" s="11">
        <v>6783.75</v>
      </c>
      <c r="C143" s="11">
        <v>94597.2</v>
      </c>
      <c r="D143" s="11">
        <v>1380.95</v>
      </c>
      <c r="E143" s="36">
        <v>32.270000000000003</v>
      </c>
      <c r="F143" s="36">
        <v>50</v>
      </c>
    </row>
    <row r="144" spans="1:6" x14ac:dyDescent="0.25">
      <c r="A144" s="5">
        <v>141</v>
      </c>
      <c r="B144" s="11">
        <v>55663.13</v>
      </c>
      <c r="C144" s="11">
        <v>21223.84</v>
      </c>
      <c r="D144" s="11">
        <v>-23113.03</v>
      </c>
      <c r="E144" s="36">
        <v>23.44</v>
      </c>
      <c r="F144" s="36">
        <v>50</v>
      </c>
    </row>
    <row r="145" spans="1:6" x14ac:dyDescent="0.25">
      <c r="A145" s="5">
        <v>142</v>
      </c>
      <c r="B145" s="11">
        <v>100190.91</v>
      </c>
      <c r="C145" s="11">
        <v>51.12</v>
      </c>
      <c r="D145" s="11">
        <v>242.03</v>
      </c>
      <c r="E145" s="36">
        <v>43.41</v>
      </c>
      <c r="F145" s="36">
        <v>61.9</v>
      </c>
    </row>
    <row r="146" spans="1:6" x14ac:dyDescent="0.25">
      <c r="A146" s="5">
        <v>143</v>
      </c>
      <c r="B146" s="11">
        <v>49801.11</v>
      </c>
      <c r="C146" s="11">
        <v>1721.25</v>
      </c>
      <c r="D146" s="11">
        <v>-48477.64</v>
      </c>
      <c r="E146" s="36">
        <v>15.01</v>
      </c>
      <c r="F146" s="36">
        <v>52.34</v>
      </c>
    </row>
    <row r="147" spans="1:6" x14ac:dyDescent="0.25">
      <c r="A147" s="5">
        <v>144</v>
      </c>
      <c r="B147" s="11">
        <v>92352.39</v>
      </c>
      <c r="C147" s="11">
        <v>9606.59</v>
      </c>
      <c r="D147" s="11">
        <v>1958.98</v>
      </c>
      <c r="E147" s="36">
        <v>39.6</v>
      </c>
      <c r="F147" s="36">
        <v>60.78</v>
      </c>
    </row>
    <row r="148" spans="1:6" x14ac:dyDescent="0.25">
      <c r="A148" s="5">
        <v>145</v>
      </c>
      <c r="B148" s="11">
        <v>107956.89</v>
      </c>
      <c r="C148" s="11">
        <v>322.3</v>
      </c>
      <c r="D148" s="11">
        <v>8279.19</v>
      </c>
      <c r="E148" s="36">
        <v>38.76</v>
      </c>
      <c r="F148" s="36">
        <v>66.63</v>
      </c>
    </row>
    <row r="149" spans="1:6" x14ac:dyDescent="0.25">
      <c r="A149" s="5">
        <v>146</v>
      </c>
      <c r="B149" s="11">
        <v>25952.080000000002</v>
      </c>
      <c r="C149" s="11">
        <v>32905.839999999997</v>
      </c>
      <c r="D149" s="11">
        <v>-41142.080000000002</v>
      </c>
      <c r="E149" s="36">
        <v>22.65</v>
      </c>
      <c r="F149" s="36">
        <v>50.55</v>
      </c>
    </row>
    <row r="150" spans="1:6" x14ac:dyDescent="0.25">
      <c r="A150" s="5">
        <v>147</v>
      </c>
      <c r="B150" s="11">
        <v>102291.05</v>
      </c>
      <c r="C150" s="11">
        <v>70.34</v>
      </c>
      <c r="D150" s="11">
        <v>2361.39</v>
      </c>
      <c r="E150" s="36">
        <v>50</v>
      </c>
      <c r="F150" s="36">
        <v>81.11</v>
      </c>
    </row>
    <row r="151" spans="1:6" x14ac:dyDescent="0.25">
      <c r="A151" s="5">
        <v>148</v>
      </c>
      <c r="B151" s="11">
        <v>97331.34</v>
      </c>
      <c r="C151" s="11">
        <v>3635.28</v>
      </c>
      <c r="D151" s="11">
        <v>966.62</v>
      </c>
      <c r="E151" s="36">
        <v>31.66</v>
      </c>
      <c r="F151" s="36">
        <v>61.93</v>
      </c>
    </row>
    <row r="152" spans="1:6" x14ac:dyDescent="0.25">
      <c r="A152" s="5">
        <v>149</v>
      </c>
      <c r="B152" s="11">
        <v>120239.14</v>
      </c>
      <c r="C152" s="11">
        <v>1223.5999999999999</v>
      </c>
      <c r="D152" s="11">
        <v>21462.74</v>
      </c>
      <c r="E152" s="36">
        <v>44.64</v>
      </c>
      <c r="F152" s="36">
        <v>67.17</v>
      </c>
    </row>
    <row r="153" spans="1:6" x14ac:dyDescent="0.25">
      <c r="A153" s="5">
        <v>150</v>
      </c>
      <c r="B153" s="11">
        <v>21967.01</v>
      </c>
      <c r="C153" s="11">
        <v>48770.54</v>
      </c>
      <c r="D153" s="11">
        <v>-29262.45</v>
      </c>
      <c r="E153" s="36">
        <v>27.51</v>
      </c>
      <c r="F153" s="36">
        <v>61.87</v>
      </c>
    </row>
    <row r="154" spans="1:6" x14ac:dyDescent="0.25">
      <c r="A154" s="5">
        <v>151</v>
      </c>
      <c r="B154" s="11">
        <v>100609.26</v>
      </c>
      <c r="C154" s="11">
        <v>164.76</v>
      </c>
      <c r="D154" s="11">
        <v>774.02</v>
      </c>
      <c r="E154" s="36">
        <v>33.99</v>
      </c>
      <c r="F154" s="36">
        <v>54.05</v>
      </c>
    </row>
    <row r="155" spans="1:6" x14ac:dyDescent="0.25">
      <c r="A155" s="5">
        <v>152</v>
      </c>
      <c r="B155" s="11">
        <v>101731.93</v>
      </c>
      <c r="C155" s="11">
        <v>111.29</v>
      </c>
      <c r="D155" s="11">
        <v>1843.22</v>
      </c>
      <c r="E155" s="36">
        <v>47.5</v>
      </c>
      <c r="F155" s="36">
        <v>115.78</v>
      </c>
    </row>
    <row r="156" spans="1:6" x14ac:dyDescent="0.25">
      <c r="A156" s="5">
        <v>153</v>
      </c>
      <c r="B156" s="11">
        <v>65260.480000000003</v>
      </c>
      <c r="C156" s="11">
        <v>27988.240000000002</v>
      </c>
      <c r="D156" s="11">
        <v>-6751.28</v>
      </c>
      <c r="E156" s="36">
        <v>21.69</v>
      </c>
      <c r="F156" s="36">
        <v>51.06</v>
      </c>
    </row>
    <row r="157" spans="1:6" x14ac:dyDescent="0.25">
      <c r="A157" s="5">
        <v>154</v>
      </c>
      <c r="B157" s="11">
        <v>101196.45</v>
      </c>
      <c r="C157" s="11">
        <v>848.61</v>
      </c>
      <c r="D157" s="11">
        <v>2045.06</v>
      </c>
      <c r="E157" s="36">
        <v>34.03</v>
      </c>
      <c r="F157" s="36">
        <v>50</v>
      </c>
    </row>
    <row r="158" spans="1:6" x14ac:dyDescent="0.25">
      <c r="A158" s="5">
        <v>155</v>
      </c>
      <c r="B158" s="11">
        <v>102313.88</v>
      </c>
      <c r="C158" s="11">
        <v>2795.76</v>
      </c>
      <c r="D158" s="11">
        <v>5109.6400000000003</v>
      </c>
      <c r="E158" s="36">
        <v>48.41</v>
      </c>
      <c r="F158" s="36">
        <v>68.14</v>
      </c>
    </row>
    <row r="159" spans="1:6" x14ac:dyDescent="0.25">
      <c r="A159" s="5">
        <v>156</v>
      </c>
      <c r="B159" s="11">
        <v>86803.99</v>
      </c>
      <c r="C159" s="11">
        <v>8812.68</v>
      </c>
      <c r="D159" s="11">
        <v>-4383.33</v>
      </c>
      <c r="E159" s="36">
        <v>35.130000000000003</v>
      </c>
      <c r="F159" s="36">
        <v>52.99</v>
      </c>
    </row>
    <row r="160" spans="1:6" x14ac:dyDescent="0.25">
      <c r="A160" s="5">
        <v>157</v>
      </c>
      <c r="B160" s="11">
        <v>103366.7</v>
      </c>
      <c r="C160" s="11">
        <v>58.21</v>
      </c>
      <c r="D160" s="11">
        <v>3424.91</v>
      </c>
      <c r="E160" s="36">
        <v>48.83</v>
      </c>
      <c r="F160" s="36">
        <v>81.34</v>
      </c>
    </row>
    <row r="161" spans="1:6" x14ac:dyDescent="0.25">
      <c r="A161" s="5">
        <v>158</v>
      </c>
      <c r="B161" s="11">
        <v>113706.68</v>
      </c>
      <c r="C161" s="11">
        <v>275.27999999999997</v>
      </c>
      <c r="D161" s="11">
        <v>13981.96</v>
      </c>
      <c r="E161" s="36">
        <v>40.4</v>
      </c>
      <c r="F161" s="36">
        <v>73.099999999999994</v>
      </c>
    </row>
    <row r="162" spans="1:6" x14ac:dyDescent="0.25">
      <c r="A162" s="5">
        <v>159</v>
      </c>
      <c r="B162" s="11">
        <v>100578.38</v>
      </c>
      <c r="C162" s="11">
        <v>511</v>
      </c>
      <c r="D162" s="11">
        <v>1089.3800000000001</v>
      </c>
      <c r="E162" s="36">
        <v>39.369999999999997</v>
      </c>
      <c r="F162" s="36">
        <v>54.08</v>
      </c>
    </row>
    <row r="163" spans="1:6" x14ac:dyDescent="0.25">
      <c r="A163" s="5">
        <v>160</v>
      </c>
      <c r="B163" s="11">
        <v>101277.01</v>
      </c>
      <c r="C163" s="11">
        <v>57.67</v>
      </c>
      <c r="D163" s="11">
        <v>1334.68</v>
      </c>
      <c r="E163" s="36">
        <v>38.83</v>
      </c>
      <c r="F163" s="36">
        <v>60.79</v>
      </c>
    </row>
    <row r="164" spans="1:6" x14ac:dyDescent="0.25">
      <c r="A164" s="5">
        <v>161</v>
      </c>
      <c r="B164" s="11">
        <v>75868.23</v>
      </c>
      <c r="C164" s="11">
        <v>24329.58</v>
      </c>
      <c r="D164" s="11">
        <v>197.81</v>
      </c>
      <c r="E164" s="36">
        <v>36.340000000000003</v>
      </c>
      <c r="F164" s="36">
        <v>51.69</v>
      </c>
    </row>
    <row r="165" spans="1:6" x14ac:dyDescent="0.25">
      <c r="A165" s="5">
        <v>162</v>
      </c>
      <c r="B165" s="11">
        <v>101495.67</v>
      </c>
      <c r="C165" s="11">
        <v>1265.28</v>
      </c>
      <c r="D165" s="11">
        <v>2760.95</v>
      </c>
      <c r="E165" s="36">
        <v>47.19</v>
      </c>
      <c r="F165" s="36">
        <v>70.34</v>
      </c>
    </row>
    <row r="166" spans="1:6" x14ac:dyDescent="0.25">
      <c r="A166" s="5">
        <v>163</v>
      </c>
      <c r="B166" s="11">
        <v>102928.09</v>
      </c>
      <c r="C166" s="11">
        <v>598.13</v>
      </c>
      <c r="D166" s="11">
        <v>3526.22</v>
      </c>
      <c r="E166" s="36">
        <v>37.770000000000003</v>
      </c>
      <c r="F166" s="36">
        <v>59.48</v>
      </c>
    </row>
    <row r="167" spans="1:6" x14ac:dyDescent="0.25">
      <c r="A167" s="5">
        <v>164</v>
      </c>
      <c r="B167" s="11">
        <v>74957.259999999995</v>
      </c>
      <c r="C167" s="11">
        <v>10900.18</v>
      </c>
      <c r="D167" s="11">
        <v>-14142.56</v>
      </c>
      <c r="E167" s="36">
        <v>27.32</v>
      </c>
      <c r="F167" s="36">
        <v>52.77</v>
      </c>
    </row>
    <row r="168" spans="1:6" x14ac:dyDescent="0.25">
      <c r="A168" s="5">
        <v>165</v>
      </c>
      <c r="B168" s="11">
        <v>101306.57</v>
      </c>
      <c r="C168" s="11">
        <v>5524.15</v>
      </c>
      <c r="D168" s="11">
        <v>6830.72</v>
      </c>
      <c r="E168" s="36">
        <v>47.58</v>
      </c>
      <c r="F168" s="36">
        <v>59.86</v>
      </c>
    </row>
    <row r="169" spans="1:6" x14ac:dyDescent="0.25">
      <c r="A169" s="5">
        <v>166</v>
      </c>
      <c r="B169" s="11">
        <v>103803.76</v>
      </c>
      <c r="C169" s="11">
        <v>4607.0200000000004</v>
      </c>
      <c r="D169" s="11">
        <v>8410.7800000000007</v>
      </c>
      <c r="E169" s="36">
        <v>46.64</v>
      </c>
      <c r="F169" s="36">
        <v>57.43</v>
      </c>
    </row>
    <row r="170" spans="1:6" x14ac:dyDescent="0.25">
      <c r="A170" s="5">
        <v>167</v>
      </c>
      <c r="B170" s="11">
        <v>93851.62</v>
      </c>
      <c r="C170" s="11">
        <v>7663.9</v>
      </c>
      <c r="D170" s="11">
        <v>1515.52</v>
      </c>
      <c r="E170" s="36">
        <v>38.49</v>
      </c>
      <c r="F170" s="36">
        <v>51.99</v>
      </c>
    </row>
    <row r="171" spans="1:6" x14ac:dyDescent="0.25">
      <c r="A171" s="5">
        <v>168</v>
      </c>
      <c r="B171" s="11">
        <v>100617.3</v>
      </c>
      <c r="C171" s="11">
        <v>943.68</v>
      </c>
      <c r="D171" s="11">
        <v>1560.98</v>
      </c>
      <c r="E171" s="36">
        <v>47.74</v>
      </c>
      <c r="F171" s="36">
        <v>73.84</v>
      </c>
    </row>
    <row r="172" spans="1:6" x14ac:dyDescent="0.25">
      <c r="A172" s="5">
        <v>169</v>
      </c>
      <c r="B172" s="11">
        <v>101208.19</v>
      </c>
      <c r="C172" s="11">
        <v>63.06</v>
      </c>
      <c r="D172" s="11">
        <v>1271.25</v>
      </c>
      <c r="E172" s="36">
        <v>48.84</v>
      </c>
      <c r="F172" s="36">
        <v>78.92</v>
      </c>
    </row>
    <row r="173" spans="1:6" x14ac:dyDescent="0.25">
      <c r="A173" s="5">
        <v>170</v>
      </c>
      <c r="B173" s="11">
        <v>101976.63</v>
      </c>
      <c r="C173" s="11">
        <v>46.85</v>
      </c>
      <c r="D173" s="11">
        <v>2023.48</v>
      </c>
      <c r="E173" s="36">
        <v>42.95</v>
      </c>
      <c r="F173" s="36">
        <v>58.64</v>
      </c>
    </row>
    <row r="174" spans="1:6" x14ac:dyDescent="0.25">
      <c r="A174" s="5">
        <v>171</v>
      </c>
      <c r="B174" s="11">
        <v>102205.56</v>
      </c>
      <c r="C174" s="11">
        <v>3691.5</v>
      </c>
      <c r="D174" s="11">
        <v>5897.06</v>
      </c>
      <c r="E174" s="36">
        <v>45.88</v>
      </c>
      <c r="F174" s="36">
        <v>71.94</v>
      </c>
    </row>
    <row r="175" spans="1:6" x14ac:dyDescent="0.25">
      <c r="A175" s="5">
        <v>172</v>
      </c>
      <c r="B175" s="11">
        <v>101667.12</v>
      </c>
      <c r="C175" s="11">
        <v>270.04000000000002</v>
      </c>
      <c r="D175" s="11">
        <v>1937.16</v>
      </c>
      <c r="E175" s="36">
        <v>40.020000000000003</v>
      </c>
      <c r="F175" s="36">
        <v>72.8</v>
      </c>
    </row>
    <row r="176" spans="1:6" x14ac:dyDescent="0.25">
      <c r="A176" s="5">
        <v>173</v>
      </c>
      <c r="B176" s="11">
        <v>101701.71</v>
      </c>
      <c r="C176" s="11">
        <v>9828.7999999999993</v>
      </c>
      <c r="D176" s="11">
        <v>11530.51</v>
      </c>
      <c r="E176" s="36">
        <v>42.16</v>
      </c>
      <c r="F176" s="36">
        <v>69.150000000000006</v>
      </c>
    </row>
    <row r="177" spans="1:6" x14ac:dyDescent="0.25">
      <c r="A177" s="5">
        <v>174</v>
      </c>
      <c r="B177" s="11">
        <v>72612.41</v>
      </c>
      <c r="C177" s="11">
        <v>7268.69</v>
      </c>
      <c r="D177" s="11">
        <v>-20118.900000000001</v>
      </c>
      <c r="E177" s="36">
        <v>22.57</v>
      </c>
      <c r="F177" s="36">
        <v>50</v>
      </c>
    </row>
    <row r="178" spans="1:6" x14ac:dyDescent="0.25">
      <c r="A178" s="5">
        <v>175</v>
      </c>
      <c r="B178" s="11">
        <v>81342.98</v>
      </c>
      <c r="C178" s="11">
        <v>15932.35</v>
      </c>
      <c r="D178" s="11">
        <v>-2724.67</v>
      </c>
      <c r="E178" s="36">
        <v>41.39</v>
      </c>
      <c r="F178" s="36">
        <v>66.709999999999994</v>
      </c>
    </row>
    <row r="179" spans="1:6" x14ac:dyDescent="0.25">
      <c r="A179" s="5">
        <v>176</v>
      </c>
      <c r="B179" s="11">
        <v>104085.48</v>
      </c>
      <c r="C179" s="11">
        <v>1959.75</v>
      </c>
      <c r="D179" s="11">
        <v>6045.23</v>
      </c>
      <c r="E179" s="36">
        <v>39.840000000000003</v>
      </c>
      <c r="F179" s="36">
        <v>61.53</v>
      </c>
    </row>
    <row r="180" spans="1:6" x14ac:dyDescent="0.25">
      <c r="A180" s="5">
        <v>177</v>
      </c>
      <c r="B180" s="11">
        <v>86923.43</v>
      </c>
      <c r="C180" s="11">
        <v>10983.76</v>
      </c>
      <c r="D180" s="11">
        <v>-2092.81</v>
      </c>
      <c r="E180" s="36">
        <v>36.92</v>
      </c>
      <c r="F180" s="36">
        <v>55.92</v>
      </c>
    </row>
    <row r="181" spans="1:6" x14ac:dyDescent="0.25">
      <c r="A181" s="5">
        <v>178</v>
      </c>
      <c r="B181" s="11">
        <v>98787.57</v>
      </c>
      <c r="C181" s="11">
        <v>591.63</v>
      </c>
      <c r="D181" s="11">
        <v>-620.79999999999995</v>
      </c>
      <c r="E181" s="36">
        <v>33.36</v>
      </c>
      <c r="F181" s="36">
        <v>50.54</v>
      </c>
    </row>
    <row r="182" spans="1:6" x14ac:dyDescent="0.25">
      <c r="A182" s="5">
        <v>179</v>
      </c>
      <c r="B182" s="11">
        <v>17656.04</v>
      </c>
      <c r="C182" s="11">
        <v>61740.37</v>
      </c>
      <c r="D182" s="11">
        <v>-20603.59</v>
      </c>
      <c r="E182" s="36">
        <v>29.1</v>
      </c>
      <c r="F182" s="36">
        <v>51.25</v>
      </c>
    </row>
    <row r="183" spans="1:6" x14ac:dyDescent="0.25">
      <c r="A183" s="5">
        <v>180</v>
      </c>
      <c r="B183" s="11">
        <v>101756.2</v>
      </c>
      <c r="C183" s="11">
        <v>345.8</v>
      </c>
      <c r="D183" s="11">
        <v>2102</v>
      </c>
      <c r="E183" s="36">
        <v>45.53</v>
      </c>
      <c r="F183" s="36">
        <v>56.61</v>
      </c>
    </row>
    <row r="184" spans="1:6" x14ac:dyDescent="0.25">
      <c r="A184" s="5">
        <v>181</v>
      </c>
      <c r="B184" s="11">
        <v>102014.61</v>
      </c>
      <c r="C184" s="11">
        <v>233.44</v>
      </c>
      <c r="D184" s="11">
        <v>2248.0500000000002</v>
      </c>
      <c r="E184" s="36">
        <v>44.62</v>
      </c>
      <c r="F184" s="36">
        <v>65.33</v>
      </c>
    </row>
    <row r="185" spans="1:6" x14ac:dyDescent="0.25">
      <c r="A185" s="5">
        <v>182</v>
      </c>
      <c r="B185" s="11">
        <v>95349.64</v>
      </c>
      <c r="C185" s="11">
        <v>12054.35</v>
      </c>
      <c r="D185" s="11">
        <v>7403.99</v>
      </c>
      <c r="E185" s="36">
        <v>31.31</v>
      </c>
      <c r="F185" s="36">
        <v>53.16</v>
      </c>
    </row>
    <row r="186" spans="1:6" x14ac:dyDescent="0.25">
      <c r="A186" s="5">
        <v>183</v>
      </c>
      <c r="B186" s="11">
        <v>100636.9</v>
      </c>
      <c r="C186" s="11">
        <v>339.15</v>
      </c>
      <c r="D186" s="11">
        <v>976.05</v>
      </c>
      <c r="E186" s="36">
        <v>36.54</v>
      </c>
      <c r="F186" s="36">
        <v>57.44</v>
      </c>
    </row>
    <row r="187" spans="1:6" x14ac:dyDescent="0.25">
      <c r="A187" s="5">
        <v>184</v>
      </c>
      <c r="B187" s="11">
        <v>101740.45</v>
      </c>
      <c r="C187" s="11">
        <v>55.98</v>
      </c>
      <c r="D187" s="11">
        <v>1796.43</v>
      </c>
      <c r="E187" s="36">
        <v>40.15</v>
      </c>
      <c r="F187" s="36">
        <v>59.74</v>
      </c>
    </row>
    <row r="188" spans="1:6" x14ac:dyDescent="0.25">
      <c r="A188" s="5">
        <v>185</v>
      </c>
      <c r="B188" s="11">
        <v>97370.81</v>
      </c>
      <c r="C188" s="11">
        <v>1840.92</v>
      </c>
      <c r="D188" s="11">
        <v>-788.27</v>
      </c>
      <c r="E188" s="36">
        <v>26.05</v>
      </c>
      <c r="F188" s="36">
        <v>55.49</v>
      </c>
    </row>
    <row r="189" spans="1:6" x14ac:dyDescent="0.25">
      <c r="A189" s="5">
        <v>186</v>
      </c>
      <c r="B189" s="11">
        <v>55530.17</v>
      </c>
      <c r="C189" s="11">
        <v>43698.84</v>
      </c>
      <c r="D189" s="11">
        <v>-770.99</v>
      </c>
      <c r="E189" s="36">
        <v>38.119999999999997</v>
      </c>
      <c r="F189" s="36">
        <v>56.67</v>
      </c>
    </row>
    <row r="190" spans="1:6" x14ac:dyDescent="0.25">
      <c r="A190" s="5">
        <v>187</v>
      </c>
      <c r="B190" s="11">
        <v>96224.63</v>
      </c>
      <c r="C190" s="11">
        <v>9383.91</v>
      </c>
      <c r="D190" s="11">
        <v>5608.54</v>
      </c>
      <c r="E190" s="36">
        <v>49.85</v>
      </c>
      <c r="F190" s="36">
        <v>65.010000000000005</v>
      </c>
    </row>
    <row r="191" spans="1:6" x14ac:dyDescent="0.25">
      <c r="A191" s="5">
        <v>188</v>
      </c>
      <c r="B191" s="11">
        <v>109389.7</v>
      </c>
      <c r="C191" s="11">
        <v>85.41</v>
      </c>
      <c r="D191" s="11">
        <v>9475.11</v>
      </c>
      <c r="E191" s="36">
        <v>47.06</v>
      </c>
      <c r="F191" s="36">
        <v>96.35</v>
      </c>
    </row>
    <row r="192" spans="1:6" x14ac:dyDescent="0.25">
      <c r="A192" s="5">
        <v>189</v>
      </c>
      <c r="B192" s="11">
        <v>101499.91</v>
      </c>
      <c r="C192" s="11">
        <v>1593.2</v>
      </c>
      <c r="D192" s="11">
        <v>3093.11</v>
      </c>
      <c r="E192" s="36">
        <v>42.35</v>
      </c>
      <c r="F192" s="36">
        <v>62.7</v>
      </c>
    </row>
    <row r="193" spans="1:6" x14ac:dyDescent="0.25">
      <c r="A193" s="5">
        <v>190</v>
      </c>
      <c r="B193" s="11">
        <v>59332.71</v>
      </c>
      <c r="C193" s="11">
        <v>54537.120000000003</v>
      </c>
      <c r="D193" s="11">
        <v>13869.83</v>
      </c>
      <c r="E193" s="36">
        <v>36.82</v>
      </c>
      <c r="F193" s="36">
        <v>51.76</v>
      </c>
    </row>
    <row r="194" spans="1:6" x14ac:dyDescent="0.25">
      <c r="A194" s="5">
        <v>191</v>
      </c>
      <c r="B194" s="11">
        <v>102508.01</v>
      </c>
      <c r="C194" s="11">
        <v>65.84</v>
      </c>
      <c r="D194" s="11">
        <v>2573.85</v>
      </c>
      <c r="E194" s="36">
        <v>47.6</v>
      </c>
      <c r="F194" s="36">
        <v>87.27</v>
      </c>
    </row>
    <row r="195" spans="1:6" x14ac:dyDescent="0.25">
      <c r="A195" s="5">
        <v>192</v>
      </c>
      <c r="B195" s="11">
        <v>97998.67</v>
      </c>
      <c r="C195" s="11">
        <v>173.19</v>
      </c>
      <c r="D195" s="11">
        <v>-1828.14</v>
      </c>
      <c r="E195" s="36">
        <v>39.11</v>
      </c>
      <c r="F195" s="36">
        <v>66.8</v>
      </c>
    </row>
    <row r="196" spans="1:6" x14ac:dyDescent="0.25">
      <c r="A196" s="5">
        <v>193</v>
      </c>
      <c r="B196" s="11">
        <v>91908.11</v>
      </c>
      <c r="C196" s="11">
        <v>7799.13</v>
      </c>
      <c r="D196" s="11">
        <v>-292.76</v>
      </c>
      <c r="E196" s="36">
        <v>34.1</v>
      </c>
      <c r="F196" s="36">
        <v>54.18</v>
      </c>
    </row>
    <row r="197" spans="1:6" x14ac:dyDescent="0.25">
      <c r="A197" s="5">
        <v>194</v>
      </c>
      <c r="B197" s="11">
        <v>103258.63</v>
      </c>
      <c r="C197" s="11">
        <v>83.68</v>
      </c>
      <c r="D197" s="11">
        <v>3342.31</v>
      </c>
      <c r="E197" s="36">
        <v>47.74</v>
      </c>
      <c r="F197" s="36">
        <v>89.11</v>
      </c>
    </row>
    <row r="198" spans="1:6" x14ac:dyDescent="0.25">
      <c r="A198" s="5">
        <v>195</v>
      </c>
      <c r="B198" s="11">
        <v>16268.18</v>
      </c>
      <c r="C198" s="11">
        <v>78228</v>
      </c>
      <c r="D198" s="11">
        <v>-5503.82</v>
      </c>
      <c r="E198" s="36">
        <v>39.75</v>
      </c>
      <c r="F198" s="36">
        <v>55.97</v>
      </c>
    </row>
    <row r="199" spans="1:6" x14ac:dyDescent="0.25">
      <c r="A199" s="5">
        <v>196</v>
      </c>
      <c r="B199" s="11">
        <v>93876.479999999996</v>
      </c>
      <c r="C199" s="11">
        <v>4866.68</v>
      </c>
      <c r="D199" s="11">
        <v>-1256.8399999999999</v>
      </c>
      <c r="E199" s="36">
        <v>38.31</v>
      </c>
      <c r="F199" s="36">
        <v>57.55</v>
      </c>
    </row>
    <row r="200" spans="1:6" x14ac:dyDescent="0.25">
      <c r="A200" s="5">
        <v>197</v>
      </c>
      <c r="B200" s="11">
        <v>82559.88</v>
      </c>
      <c r="C200" s="11">
        <v>3594.02</v>
      </c>
      <c r="D200" s="11">
        <v>-13846.1</v>
      </c>
      <c r="E200" s="36">
        <v>24.5</v>
      </c>
      <c r="F200" s="36">
        <v>51.33</v>
      </c>
    </row>
    <row r="201" spans="1:6" x14ac:dyDescent="0.25">
      <c r="A201" s="5">
        <v>198</v>
      </c>
      <c r="B201" s="11">
        <v>101034.95</v>
      </c>
      <c r="C201" s="11">
        <v>59.26</v>
      </c>
      <c r="D201" s="11">
        <v>1094.21</v>
      </c>
      <c r="E201" s="36">
        <v>44.75</v>
      </c>
      <c r="F201" s="36">
        <v>78.86</v>
      </c>
    </row>
    <row r="202" spans="1:6" x14ac:dyDescent="0.25">
      <c r="A202" s="5">
        <v>199</v>
      </c>
      <c r="B202" s="11">
        <v>98594.880000000005</v>
      </c>
      <c r="C202" s="11">
        <v>404.7</v>
      </c>
      <c r="D202" s="11">
        <v>-1000.42</v>
      </c>
      <c r="E202" s="36">
        <v>33.53</v>
      </c>
      <c r="F202" s="36">
        <v>50</v>
      </c>
    </row>
    <row r="203" spans="1:6" x14ac:dyDescent="0.25">
      <c r="A203" s="5">
        <v>200</v>
      </c>
      <c r="B203" s="11">
        <v>71446.23</v>
      </c>
      <c r="C203" s="11">
        <v>37690.18</v>
      </c>
      <c r="D203" s="11">
        <v>9136.41</v>
      </c>
      <c r="E203" s="36">
        <v>48.07</v>
      </c>
      <c r="F203" s="36">
        <v>75.400000000000006</v>
      </c>
    </row>
    <row r="204" spans="1:6" x14ac:dyDescent="0.25">
      <c r="A204" s="5">
        <v>201</v>
      </c>
      <c r="B204" s="11">
        <v>101619.91</v>
      </c>
      <c r="C204" s="11">
        <v>431.64</v>
      </c>
      <c r="D204" s="11">
        <v>2051.5500000000002</v>
      </c>
      <c r="E204" s="36">
        <v>44.19</v>
      </c>
      <c r="F204" s="36">
        <v>58.67</v>
      </c>
    </row>
    <row r="205" spans="1:6" x14ac:dyDescent="0.25">
      <c r="A205" s="5">
        <v>202</v>
      </c>
      <c r="B205" s="11">
        <v>101824.94</v>
      </c>
      <c r="C205" s="11">
        <v>5785.51</v>
      </c>
      <c r="D205" s="11">
        <v>7610.45</v>
      </c>
      <c r="E205" s="36">
        <v>41.92</v>
      </c>
      <c r="F205" s="36">
        <v>74.48</v>
      </c>
    </row>
    <row r="206" spans="1:6" x14ac:dyDescent="0.25">
      <c r="A206" s="5">
        <v>203</v>
      </c>
      <c r="B206" s="11">
        <v>9038.93</v>
      </c>
      <c r="C206" s="11">
        <v>81184.479999999996</v>
      </c>
      <c r="D206" s="11">
        <v>-9776.59</v>
      </c>
      <c r="E206" s="36">
        <v>33.65</v>
      </c>
      <c r="F206" s="36">
        <v>50</v>
      </c>
    </row>
    <row r="207" spans="1:6" x14ac:dyDescent="0.25">
      <c r="A207" s="5">
        <v>204</v>
      </c>
      <c r="B207" s="11">
        <v>104176.24</v>
      </c>
      <c r="C207" s="11">
        <v>77.27</v>
      </c>
      <c r="D207" s="11">
        <v>4253.51</v>
      </c>
      <c r="E207" s="36">
        <v>43.45</v>
      </c>
      <c r="F207" s="36">
        <v>78.790000000000006</v>
      </c>
    </row>
    <row r="208" spans="1:6" x14ac:dyDescent="0.25">
      <c r="A208" s="5">
        <v>205</v>
      </c>
      <c r="B208" s="11">
        <v>81285.009999999995</v>
      </c>
      <c r="C208" s="11">
        <v>5150.01</v>
      </c>
      <c r="D208" s="11">
        <v>-13564.98</v>
      </c>
      <c r="E208" s="36">
        <v>24.83</v>
      </c>
      <c r="F208" s="36">
        <v>52.31</v>
      </c>
    </row>
    <row r="209" spans="1:6" x14ac:dyDescent="0.25">
      <c r="A209" s="5">
        <v>206</v>
      </c>
      <c r="B209" s="11">
        <v>101362.67</v>
      </c>
      <c r="C209" s="11">
        <v>58.19</v>
      </c>
      <c r="D209" s="11">
        <v>1420.86</v>
      </c>
      <c r="E209" s="36">
        <v>44.84</v>
      </c>
      <c r="F209" s="36">
        <v>61.85</v>
      </c>
    </row>
    <row r="210" spans="1:6" x14ac:dyDescent="0.25">
      <c r="A210" s="5">
        <v>207</v>
      </c>
      <c r="B210" s="11">
        <v>102258.21</v>
      </c>
      <c r="C210" s="11">
        <v>50.4</v>
      </c>
      <c r="D210" s="11">
        <v>2308.61</v>
      </c>
      <c r="E210" s="36">
        <v>46.38</v>
      </c>
      <c r="F210" s="36">
        <v>84.68</v>
      </c>
    </row>
    <row r="211" spans="1:6" x14ac:dyDescent="0.25">
      <c r="A211" s="5">
        <v>208</v>
      </c>
      <c r="B211" s="11">
        <v>99441.33</v>
      </c>
      <c r="C211" s="11">
        <v>1305.48</v>
      </c>
      <c r="D211" s="11">
        <v>746.81</v>
      </c>
      <c r="E211" s="36">
        <v>39.56</v>
      </c>
      <c r="F211" s="36">
        <v>55.38</v>
      </c>
    </row>
    <row r="212" spans="1:6" x14ac:dyDescent="0.25">
      <c r="A212" s="5">
        <v>209</v>
      </c>
      <c r="B212" s="11">
        <v>61545.42</v>
      </c>
      <c r="C212" s="11">
        <v>28971.74</v>
      </c>
      <c r="D212" s="11">
        <v>-9482.84</v>
      </c>
      <c r="E212" s="36">
        <v>29.91</v>
      </c>
      <c r="F212" s="36">
        <v>50.66</v>
      </c>
    </row>
    <row r="213" spans="1:6" x14ac:dyDescent="0.25">
      <c r="A213" s="5">
        <v>210</v>
      </c>
      <c r="B213" s="11">
        <v>99172.14</v>
      </c>
      <c r="C213" s="11">
        <v>4566.38</v>
      </c>
      <c r="D213" s="11">
        <v>3738.52</v>
      </c>
      <c r="E213" s="36">
        <v>42.88</v>
      </c>
      <c r="F213" s="36">
        <v>61.51</v>
      </c>
    </row>
    <row r="214" spans="1:6" x14ac:dyDescent="0.25">
      <c r="A214" s="5">
        <v>211</v>
      </c>
      <c r="B214" s="11">
        <v>105019.9</v>
      </c>
      <c r="C214" s="11">
        <v>931.56</v>
      </c>
      <c r="D214" s="11">
        <v>5951.46</v>
      </c>
      <c r="E214" s="36">
        <v>47.43</v>
      </c>
      <c r="F214" s="36">
        <v>68.510000000000005</v>
      </c>
    </row>
    <row r="215" spans="1:6" x14ac:dyDescent="0.25">
      <c r="A215" s="5">
        <v>212</v>
      </c>
      <c r="B215" s="11">
        <v>90563.49</v>
      </c>
      <c r="C215" s="11">
        <v>13156.4</v>
      </c>
      <c r="D215" s="11">
        <v>3719.89</v>
      </c>
      <c r="E215" s="36">
        <v>39.4</v>
      </c>
      <c r="F215" s="36">
        <v>54.46</v>
      </c>
    </row>
    <row r="216" spans="1:6" x14ac:dyDescent="0.25">
      <c r="A216" s="5">
        <v>213</v>
      </c>
      <c r="B216" s="11">
        <v>103275.39</v>
      </c>
      <c r="C216" s="11">
        <v>57.41</v>
      </c>
      <c r="D216" s="11">
        <v>3332.8</v>
      </c>
      <c r="E216" s="36">
        <v>43.94</v>
      </c>
      <c r="F216" s="36">
        <v>64.28</v>
      </c>
    </row>
    <row r="217" spans="1:6" x14ac:dyDescent="0.25">
      <c r="A217" s="5">
        <v>214</v>
      </c>
      <c r="B217" s="11">
        <v>15134.43</v>
      </c>
      <c r="C217" s="11">
        <v>76284.039999999994</v>
      </c>
      <c r="D217" s="11">
        <v>-8581.5300000000007</v>
      </c>
      <c r="E217" s="36">
        <v>31.64</v>
      </c>
      <c r="F217" s="36">
        <v>52.86</v>
      </c>
    </row>
    <row r="218" spans="1:6" x14ac:dyDescent="0.25">
      <c r="A218" s="5">
        <v>215</v>
      </c>
      <c r="B218" s="11">
        <v>103226.77</v>
      </c>
      <c r="C218" s="11">
        <v>56.86</v>
      </c>
      <c r="D218" s="11">
        <v>3283.63</v>
      </c>
      <c r="E218" s="36">
        <v>49.67</v>
      </c>
      <c r="F218" s="36">
        <v>73.08</v>
      </c>
    </row>
    <row r="219" spans="1:6" x14ac:dyDescent="0.25">
      <c r="A219" s="5">
        <v>216</v>
      </c>
      <c r="B219" s="11">
        <v>98650.2</v>
      </c>
      <c r="C219" s="11">
        <v>1809.57</v>
      </c>
      <c r="D219" s="11">
        <v>459.77</v>
      </c>
      <c r="E219" s="36">
        <v>31.79</v>
      </c>
      <c r="F219" s="36">
        <v>57.45</v>
      </c>
    </row>
    <row r="220" spans="1:6" x14ac:dyDescent="0.25">
      <c r="A220" s="5">
        <v>217</v>
      </c>
      <c r="B220" s="11">
        <v>72102.37</v>
      </c>
      <c r="C220" s="11">
        <v>36590.58</v>
      </c>
      <c r="D220" s="11">
        <v>8692.9500000000007</v>
      </c>
      <c r="E220" s="36">
        <v>43.76</v>
      </c>
      <c r="F220" s="36">
        <v>66.11</v>
      </c>
    </row>
    <row r="221" spans="1:6" x14ac:dyDescent="0.25">
      <c r="A221" s="5">
        <v>218</v>
      </c>
      <c r="B221" s="11">
        <v>100610.48</v>
      </c>
      <c r="C221" s="11">
        <v>46.25</v>
      </c>
      <c r="D221" s="11">
        <v>656.73</v>
      </c>
      <c r="E221" s="36">
        <v>36.49</v>
      </c>
      <c r="F221" s="36">
        <v>55.6</v>
      </c>
    </row>
    <row r="222" spans="1:6" x14ac:dyDescent="0.25">
      <c r="A222" s="5">
        <v>219</v>
      </c>
      <c r="B222" s="11">
        <v>87495.51</v>
      </c>
      <c r="C222" s="11">
        <v>416.2</v>
      </c>
      <c r="D222" s="11">
        <v>-12088.29</v>
      </c>
      <c r="E222" s="36">
        <v>28.08</v>
      </c>
      <c r="F222" s="36">
        <v>50</v>
      </c>
    </row>
    <row r="223" spans="1:6" x14ac:dyDescent="0.25">
      <c r="A223" s="5">
        <v>220</v>
      </c>
      <c r="B223" s="11">
        <v>104396.99</v>
      </c>
      <c r="C223" s="11">
        <v>437.31</v>
      </c>
      <c r="D223" s="11">
        <v>4834.3</v>
      </c>
      <c r="E223" s="36">
        <v>46.51</v>
      </c>
      <c r="F223" s="36">
        <v>61.41</v>
      </c>
    </row>
    <row r="224" spans="1:6" x14ac:dyDescent="0.25">
      <c r="A224" s="5">
        <v>221</v>
      </c>
      <c r="B224" s="11">
        <v>102141.65</v>
      </c>
      <c r="C224" s="11">
        <v>183.15</v>
      </c>
      <c r="D224" s="11">
        <v>2324.8000000000002</v>
      </c>
      <c r="E224" s="36">
        <v>50</v>
      </c>
      <c r="F224" s="36">
        <v>70.89</v>
      </c>
    </row>
    <row r="225" spans="1:6" x14ac:dyDescent="0.25">
      <c r="A225" s="5">
        <v>222</v>
      </c>
      <c r="B225" s="11">
        <v>95188.33</v>
      </c>
      <c r="C225" s="11">
        <v>766.92</v>
      </c>
      <c r="D225" s="11">
        <v>-4044.75</v>
      </c>
      <c r="E225" s="36">
        <v>27.15</v>
      </c>
      <c r="F225" s="36">
        <v>52.23</v>
      </c>
    </row>
    <row r="226" spans="1:6" x14ac:dyDescent="0.25">
      <c r="A226" s="5">
        <v>223</v>
      </c>
      <c r="B226" s="11">
        <v>45709.87</v>
      </c>
      <c r="C226" s="11">
        <v>29324.799999999999</v>
      </c>
      <c r="D226" s="11">
        <v>-24965.33</v>
      </c>
      <c r="E226" s="36">
        <v>24.9</v>
      </c>
      <c r="F226" s="36">
        <v>50.13</v>
      </c>
    </row>
    <row r="227" spans="1:6" x14ac:dyDescent="0.25">
      <c r="A227" s="5">
        <v>224</v>
      </c>
      <c r="B227" s="11">
        <v>66072.820000000007</v>
      </c>
      <c r="C227" s="11">
        <v>40446.36</v>
      </c>
      <c r="D227" s="11">
        <v>6519.18</v>
      </c>
      <c r="E227" s="36">
        <v>38.619999999999997</v>
      </c>
      <c r="F227" s="36">
        <v>56.09</v>
      </c>
    </row>
    <row r="228" spans="1:6" x14ac:dyDescent="0.25">
      <c r="A228" s="5">
        <v>225</v>
      </c>
      <c r="B228" s="11">
        <v>103108.78</v>
      </c>
      <c r="C228" s="11">
        <v>1046.4000000000001</v>
      </c>
      <c r="D228" s="11">
        <v>4155.18</v>
      </c>
      <c r="E228" s="36">
        <v>49.26</v>
      </c>
      <c r="F228" s="36">
        <v>87.34</v>
      </c>
    </row>
    <row r="229" spans="1:6" x14ac:dyDescent="0.25">
      <c r="A229" s="5">
        <v>226</v>
      </c>
      <c r="B229" s="11">
        <v>104281.66</v>
      </c>
      <c r="C229" s="11">
        <v>69.16</v>
      </c>
      <c r="D229" s="11">
        <v>4350.82</v>
      </c>
      <c r="E229" s="36">
        <v>49.23</v>
      </c>
      <c r="F229" s="36">
        <v>84.6</v>
      </c>
    </row>
    <row r="230" spans="1:6" x14ac:dyDescent="0.25">
      <c r="A230" s="5">
        <v>227</v>
      </c>
      <c r="B230" s="11">
        <v>84859.520000000004</v>
      </c>
      <c r="C230" s="11">
        <v>19701.240000000002</v>
      </c>
      <c r="D230" s="11">
        <v>4560.76</v>
      </c>
      <c r="E230" s="36">
        <v>42.16</v>
      </c>
      <c r="F230" s="36">
        <v>62.67</v>
      </c>
    </row>
    <row r="231" spans="1:6" x14ac:dyDescent="0.25">
      <c r="A231" s="5">
        <v>228</v>
      </c>
      <c r="B231" s="11">
        <v>87334.35</v>
      </c>
      <c r="C231" s="11">
        <v>15767.88</v>
      </c>
      <c r="D231" s="11">
        <v>3102.23</v>
      </c>
      <c r="E231" s="36">
        <v>36.36</v>
      </c>
      <c r="F231" s="36">
        <v>57.07</v>
      </c>
    </row>
    <row r="232" spans="1:6" x14ac:dyDescent="0.25">
      <c r="A232" s="5">
        <v>229</v>
      </c>
      <c r="B232" s="11">
        <v>105566.42</v>
      </c>
      <c r="C232" s="11">
        <v>63.75</v>
      </c>
      <c r="D232" s="11">
        <v>5630.17</v>
      </c>
      <c r="E232" s="36">
        <v>45.77</v>
      </c>
      <c r="F232" s="36">
        <v>76.540000000000006</v>
      </c>
    </row>
    <row r="233" spans="1:6" x14ac:dyDescent="0.25">
      <c r="A233" s="5">
        <v>230</v>
      </c>
      <c r="B233" s="11">
        <v>98915.39</v>
      </c>
      <c r="C233" s="11">
        <v>2288.0300000000002</v>
      </c>
      <c r="D233" s="11">
        <v>1203.42</v>
      </c>
      <c r="E233" s="36">
        <v>37.76</v>
      </c>
      <c r="F233" s="36">
        <v>56.23</v>
      </c>
    </row>
    <row r="234" spans="1:6" x14ac:dyDescent="0.25">
      <c r="A234" s="5">
        <v>231</v>
      </c>
      <c r="B234" s="11">
        <v>99622.66</v>
      </c>
      <c r="C234" s="11">
        <v>3701.83</v>
      </c>
      <c r="D234" s="11">
        <v>3324.49</v>
      </c>
      <c r="E234" s="36">
        <v>35.82</v>
      </c>
      <c r="F234" s="36">
        <v>55.77</v>
      </c>
    </row>
    <row r="235" spans="1:6" x14ac:dyDescent="0.25">
      <c r="A235" s="5">
        <v>232</v>
      </c>
      <c r="B235" s="11">
        <v>67635.899999999994</v>
      </c>
      <c r="C235" s="11">
        <v>10058.58</v>
      </c>
      <c r="D235" s="11">
        <v>-22305.52</v>
      </c>
      <c r="E235" s="36">
        <v>25.64</v>
      </c>
      <c r="F235" s="36">
        <v>50.5</v>
      </c>
    </row>
    <row r="236" spans="1:6" x14ac:dyDescent="0.25">
      <c r="A236" s="5">
        <v>233</v>
      </c>
      <c r="B236" s="11">
        <v>15783.21</v>
      </c>
      <c r="C236" s="11">
        <v>83827.92</v>
      </c>
      <c r="D236" s="11">
        <v>-388.87</v>
      </c>
      <c r="E236" s="36">
        <v>29.68</v>
      </c>
      <c r="F236" s="36">
        <v>54.7</v>
      </c>
    </row>
    <row r="237" spans="1:6" x14ac:dyDescent="0.25">
      <c r="A237" s="5">
        <v>234</v>
      </c>
      <c r="B237" s="11">
        <v>24102.27</v>
      </c>
      <c r="C237" s="11">
        <v>67750.100000000006</v>
      </c>
      <c r="D237" s="11">
        <v>-8147.63</v>
      </c>
      <c r="E237" s="36">
        <v>36.159999999999997</v>
      </c>
      <c r="F237" s="36">
        <v>50</v>
      </c>
    </row>
    <row r="238" spans="1:6" x14ac:dyDescent="0.25">
      <c r="A238" s="5">
        <v>235</v>
      </c>
      <c r="B238" s="11">
        <v>104535.82</v>
      </c>
      <c r="C238" s="11">
        <v>324.38</v>
      </c>
      <c r="D238" s="11">
        <v>4860.2</v>
      </c>
      <c r="E238" s="36">
        <v>44.22</v>
      </c>
      <c r="F238" s="36">
        <v>66.22</v>
      </c>
    </row>
    <row r="239" spans="1:6" x14ac:dyDescent="0.25">
      <c r="A239" s="5">
        <v>236</v>
      </c>
      <c r="B239" s="11">
        <v>90199.3</v>
      </c>
      <c r="C239" s="11">
        <v>11988.83</v>
      </c>
      <c r="D239" s="11">
        <v>2188.13</v>
      </c>
      <c r="E239" s="36">
        <v>35.76</v>
      </c>
      <c r="F239" s="36">
        <v>62.33</v>
      </c>
    </row>
    <row r="240" spans="1:6" x14ac:dyDescent="0.25">
      <c r="A240" s="5">
        <v>237</v>
      </c>
      <c r="B240" s="11">
        <v>103712.85</v>
      </c>
      <c r="C240" s="11">
        <v>86.7</v>
      </c>
      <c r="D240" s="11">
        <v>3799.55</v>
      </c>
      <c r="E240" s="36">
        <v>45.93</v>
      </c>
      <c r="F240" s="36">
        <v>88.22</v>
      </c>
    </row>
    <row r="241" spans="1:6" x14ac:dyDescent="0.25">
      <c r="A241" s="5">
        <v>238</v>
      </c>
      <c r="B241" s="11">
        <v>103228.99</v>
      </c>
      <c r="C241" s="11">
        <v>230.36</v>
      </c>
      <c r="D241" s="11">
        <v>3459.35</v>
      </c>
      <c r="E241" s="36">
        <v>38.130000000000003</v>
      </c>
      <c r="F241" s="36">
        <v>59.77</v>
      </c>
    </row>
    <row r="242" spans="1:6" x14ac:dyDescent="0.25">
      <c r="A242" s="5">
        <v>239</v>
      </c>
      <c r="B242" s="11">
        <v>103051.9</v>
      </c>
      <c r="C242" s="11">
        <v>46.81</v>
      </c>
      <c r="D242" s="11">
        <v>3098.71</v>
      </c>
      <c r="E242" s="36">
        <v>42.55</v>
      </c>
      <c r="F242" s="36">
        <v>60.06</v>
      </c>
    </row>
    <row r="243" spans="1:6" x14ac:dyDescent="0.25">
      <c r="A243" s="5">
        <v>240</v>
      </c>
      <c r="B243" s="11">
        <v>82544.41</v>
      </c>
      <c r="C243" s="11">
        <v>16850.400000000001</v>
      </c>
      <c r="D243" s="11">
        <v>-605.19000000000005</v>
      </c>
      <c r="E243" s="36">
        <v>38.93</v>
      </c>
      <c r="F243" s="36">
        <v>66.73</v>
      </c>
    </row>
    <row r="244" spans="1:6" x14ac:dyDescent="0.25">
      <c r="A244" s="5">
        <v>241</v>
      </c>
      <c r="B244" s="11">
        <v>102562.62</v>
      </c>
      <c r="C244" s="11">
        <v>43.12</v>
      </c>
      <c r="D244" s="11">
        <v>2605.7399999999998</v>
      </c>
      <c r="E244" s="36">
        <v>40.31</v>
      </c>
      <c r="F244" s="36">
        <v>65.55</v>
      </c>
    </row>
    <row r="245" spans="1:6" x14ac:dyDescent="0.25">
      <c r="A245" s="5">
        <v>242</v>
      </c>
      <c r="B245" s="11">
        <v>82363.06</v>
      </c>
      <c r="C245" s="11">
        <v>7299.3</v>
      </c>
      <c r="D245" s="11">
        <v>-10337.64</v>
      </c>
      <c r="E245" s="36">
        <v>30.37</v>
      </c>
      <c r="F245" s="36">
        <v>56.44</v>
      </c>
    </row>
    <row r="246" spans="1:6" x14ac:dyDescent="0.25">
      <c r="A246" s="5">
        <v>243</v>
      </c>
      <c r="B246" s="11">
        <v>104161.64</v>
      </c>
      <c r="C246" s="11">
        <v>2052.92</v>
      </c>
      <c r="D246" s="11">
        <v>6214.56</v>
      </c>
      <c r="E246" s="36">
        <v>50</v>
      </c>
      <c r="F246" s="36">
        <v>73.05</v>
      </c>
    </row>
    <row r="247" spans="1:6" x14ac:dyDescent="0.25">
      <c r="A247" s="5">
        <v>244</v>
      </c>
      <c r="B247" s="11">
        <v>101461.85</v>
      </c>
      <c r="C247" s="11">
        <v>258</v>
      </c>
      <c r="D247" s="11">
        <v>1719.85</v>
      </c>
      <c r="E247" s="36">
        <v>46.87</v>
      </c>
      <c r="F247" s="36">
        <v>70.75</v>
      </c>
    </row>
    <row r="248" spans="1:6" x14ac:dyDescent="0.25">
      <c r="A248" s="5">
        <v>245</v>
      </c>
      <c r="B248" s="11">
        <v>103164.13</v>
      </c>
      <c r="C248" s="11">
        <v>864.12</v>
      </c>
      <c r="D248" s="11">
        <v>4028.25</v>
      </c>
      <c r="E248" s="36">
        <v>39.369999999999997</v>
      </c>
      <c r="F248" s="36">
        <v>59.05</v>
      </c>
    </row>
    <row r="249" spans="1:6" x14ac:dyDescent="0.25">
      <c r="A249" s="5">
        <v>246</v>
      </c>
      <c r="B249" s="11">
        <v>94677.43</v>
      </c>
      <c r="C249" s="11">
        <v>6210.75</v>
      </c>
      <c r="D249" s="11">
        <v>888.18</v>
      </c>
      <c r="E249" s="36">
        <v>32.44</v>
      </c>
      <c r="F249" s="36">
        <v>56</v>
      </c>
    </row>
    <row r="250" spans="1:6" x14ac:dyDescent="0.25">
      <c r="A250" s="5">
        <v>247</v>
      </c>
      <c r="B250" s="11">
        <v>86727.54</v>
      </c>
      <c r="C250" s="11">
        <v>1867.88</v>
      </c>
      <c r="D250" s="11">
        <v>-11404.58</v>
      </c>
      <c r="E250" s="36">
        <v>31.21</v>
      </c>
      <c r="F250" s="36">
        <v>51.51</v>
      </c>
    </row>
    <row r="251" spans="1:6" x14ac:dyDescent="0.25">
      <c r="A251" s="5">
        <v>248</v>
      </c>
      <c r="B251" s="11">
        <v>69911.53</v>
      </c>
      <c r="C251" s="11">
        <v>30750.16</v>
      </c>
      <c r="D251" s="11">
        <v>661.69</v>
      </c>
      <c r="E251" s="36">
        <v>25.12</v>
      </c>
      <c r="F251" s="36">
        <v>58.03</v>
      </c>
    </row>
    <row r="252" spans="1:6" x14ac:dyDescent="0.25">
      <c r="A252" s="5">
        <v>249</v>
      </c>
      <c r="B252" s="11">
        <v>101991.5</v>
      </c>
      <c r="C252" s="11">
        <v>61.97</v>
      </c>
      <c r="D252" s="11">
        <v>2053.4699999999998</v>
      </c>
      <c r="E252" s="36">
        <v>42.32</v>
      </c>
      <c r="F252" s="36">
        <v>62.3</v>
      </c>
    </row>
    <row r="253" spans="1:6" x14ac:dyDescent="0.25">
      <c r="A253" s="5">
        <v>250</v>
      </c>
      <c r="B253" s="11">
        <v>102066.05</v>
      </c>
      <c r="C253" s="11">
        <v>1381.5</v>
      </c>
      <c r="D253" s="11">
        <v>3447.55</v>
      </c>
      <c r="E253" s="36">
        <v>37.53</v>
      </c>
      <c r="F253" s="36">
        <v>58.17</v>
      </c>
    </row>
    <row r="254" spans="1:6" x14ac:dyDescent="0.25">
      <c r="A254" s="5">
        <v>251</v>
      </c>
      <c r="B254" s="11">
        <v>104129.73</v>
      </c>
      <c r="C254" s="11">
        <v>707.85</v>
      </c>
      <c r="D254" s="11">
        <v>4837.58</v>
      </c>
      <c r="E254" s="36">
        <v>40.98</v>
      </c>
      <c r="F254" s="36">
        <v>55.23</v>
      </c>
    </row>
    <row r="255" spans="1:6" x14ac:dyDescent="0.25">
      <c r="A255" s="5">
        <v>252</v>
      </c>
      <c r="B255" s="11">
        <v>96688.47</v>
      </c>
      <c r="C255" s="11">
        <v>3137.12</v>
      </c>
      <c r="D255" s="11">
        <v>-174.41</v>
      </c>
      <c r="E255" s="36">
        <v>25.33</v>
      </c>
      <c r="F255" s="36">
        <v>57.2</v>
      </c>
    </row>
    <row r="256" spans="1:6" x14ac:dyDescent="0.25">
      <c r="A256" s="5">
        <v>253</v>
      </c>
      <c r="B256" s="11">
        <v>100688.6</v>
      </c>
      <c r="C256" s="11">
        <v>51.12</v>
      </c>
      <c r="D256" s="11">
        <v>739.72</v>
      </c>
      <c r="E256" s="36">
        <v>39.92</v>
      </c>
      <c r="F256" s="36">
        <v>55.63</v>
      </c>
    </row>
    <row r="257" spans="1:6" x14ac:dyDescent="0.25">
      <c r="A257" s="5">
        <v>254</v>
      </c>
      <c r="B257" s="11">
        <v>102534.38</v>
      </c>
      <c r="C257" s="11">
        <v>1188.96</v>
      </c>
      <c r="D257" s="11">
        <v>3723.34</v>
      </c>
      <c r="E257" s="36">
        <v>41.3</v>
      </c>
      <c r="F257" s="36">
        <v>58.98</v>
      </c>
    </row>
    <row r="258" spans="1:6" x14ac:dyDescent="0.25">
      <c r="A258" s="5">
        <v>255</v>
      </c>
      <c r="B258" s="11">
        <v>114015.65</v>
      </c>
      <c r="C258" s="11">
        <v>2478.4499999999998</v>
      </c>
      <c r="D258" s="11">
        <v>16494.099999999999</v>
      </c>
      <c r="E258" s="36">
        <v>39.11</v>
      </c>
      <c r="F258" s="36">
        <v>63.42</v>
      </c>
    </row>
    <row r="259" spans="1:6" x14ac:dyDescent="0.25">
      <c r="A259" s="5">
        <v>256</v>
      </c>
      <c r="B259" s="11">
        <v>108284.84</v>
      </c>
      <c r="C259" s="11">
        <v>1111.1199999999999</v>
      </c>
      <c r="D259" s="11">
        <v>9395.9599999999991</v>
      </c>
      <c r="E259" s="36">
        <v>37.630000000000003</v>
      </c>
      <c r="F259" s="36">
        <v>68.400000000000006</v>
      </c>
    </row>
    <row r="260" spans="1:6" x14ac:dyDescent="0.25">
      <c r="A260" s="5">
        <v>257</v>
      </c>
      <c r="B260" s="11">
        <v>107708.21</v>
      </c>
      <c r="C260" s="11">
        <v>87.84</v>
      </c>
      <c r="D260" s="11">
        <v>7796.05</v>
      </c>
      <c r="E260" s="36">
        <v>45.74</v>
      </c>
      <c r="F260" s="36">
        <v>87.84</v>
      </c>
    </row>
    <row r="261" spans="1:6" x14ac:dyDescent="0.25">
      <c r="A261" s="5">
        <v>258</v>
      </c>
      <c r="B261" s="11">
        <v>86180.05</v>
      </c>
      <c r="C261" s="11">
        <v>8852.67</v>
      </c>
      <c r="D261" s="11">
        <v>-4967.28</v>
      </c>
      <c r="E261" s="36">
        <v>25.75</v>
      </c>
      <c r="F261" s="36">
        <v>50</v>
      </c>
    </row>
    <row r="262" spans="1:6" x14ac:dyDescent="0.25">
      <c r="A262" s="5">
        <v>259</v>
      </c>
      <c r="B262" s="11">
        <v>80641.83</v>
      </c>
      <c r="C262" s="11">
        <v>3661.2</v>
      </c>
      <c r="D262" s="11">
        <v>-15696.97</v>
      </c>
      <c r="E262" s="36">
        <v>29.89</v>
      </c>
      <c r="F262" s="36">
        <v>50.4</v>
      </c>
    </row>
    <row r="263" spans="1:6" x14ac:dyDescent="0.25">
      <c r="A263" s="5">
        <v>260</v>
      </c>
      <c r="B263" s="11">
        <v>98605.89</v>
      </c>
      <c r="C263" s="11">
        <v>7902.48</v>
      </c>
      <c r="D263" s="11">
        <v>6508.37</v>
      </c>
      <c r="E263" s="36">
        <v>41.09</v>
      </c>
      <c r="F263" s="36">
        <v>56.68</v>
      </c>
    </row>
    <row r="264" spans="1:6" x14ac:dyDescent="0.25">
      <c r="A264" s="5">
        <v>261</v>
      </c>
      <c r="B264" s="11">
        <v>102801.27</v>
      </c>
      <c r="C264" s="11">
        <v>1035.5</v>
      </c>
      <c r="D264" s="11">
        <v>3836.77</v>
      </c>
      <c r="E264" s="36">
        <v>48.19</v>
      </c>
      <c r="F264" s="36">
        <v>64.540000000000006</v>
      </c>
    </row>
    <row r="265" spans="1:6" x14ac:dyDescent="0.25">
      <c r="A265" s="5">
        <v>262</v>
      </c>
      <c r="B265" s="11">
        <v>105871.24</v>
      </c>
      <c r="C265" s="11">
        <v>96.85</v>
      </c>
      <c r="D265" s="11">
        <v>5968.09</v>
      </c>
      <c r="E265" s="36">
        <v>47.76</v>
      </c>
      <c r="F265" s="36">
        <v>97.02</v>
      </c>
    </row>
    <row r="266" spans="1:6" x14ac:dyDescent="0.25">
      <c r="A266" s="5">
        <v>263</v>
      </c>
      <c r="B266" s="11">
        <v>95309.58</v>
      </c>
      <c r="C266" s="11">
        <v>19889.04</v>
      </c>
      <c r="D266" s="11">
        <v>15198.62</v>
      </c>
      <c r="E266" s="36">
        <v>39.94</v>
      </c>
      <c r="F266" s="36">
        <v>69.72</v>
      </c>
    </row>
    <row r="267" spans="1:6" x14ac:dyDescent="0.25">
      <c r="A267" s="5">
        <v>264</v>
      </c>
      <c r="B267" s="11">
        <v>97033.47</v>
      </c>
      <c r="C267" s="11">
        <v>4338.75</v>
      </c>
      <c r="D267" s="11">
        <v>1372.22</v>
      </c>
      <c r="E267" s="36">
        <v>33.51</v>
      </c>
      <c r="F267" s="36">
        <v>55.84</v>
      </c>
    </row>
    <row r="268" spans="1:6" x14ac:dyDescent="0.25">
      <c r="A268" s="5">
        <v>265</v>
      </c>
      <c r="B268" s="11">
        <v>100345.8</v>
      </c>
      <c r="C268" s="11">
        <v>621.29999999999995</v>
      </c>
      <c r="D268" s="11">
        <v>967.1</v>
      </c>
      <c r="E268" s="36">
        <v>42.65</v>
      </c>
      <c r="F268" s="36">
        <v>72.17</v>
      </c>
    </row>
    <row r="269" spans="1:6" x14ac:dyDescent="0.25">
      <c r="A269" s="5">
        <v>266</v>
      </c>
      <c r="B269" s="11">
        <v>79416.44</v>
      </c>
      <c r="C269" s="11">
        <v>23594.26</v>
      </c>
      <c r="D269" s="11">
        <v>3010.7</v>
      </c>
      <c r="E269" s="36">
        <v>25.94</v>
      </c>
      <c r="F269" s="36">
        <v>53.04</v>
      </c>
    </row>
    <row r="270" spans="1:6" x14ac:dyDescent="0.25">
      <c r="A270" s="5">
        <v>267</v>
      </c>
      <c r="B270" s="11">
        <v>101754.08</v>
      </c>
      <c r="C270" s="11">
        <v>78.08</v>
      </c>
      <c r="D270" s="11">
        <v>1832.16</v>
      </c>
      <c r="E270" s="36">
        <v>48.17</v>
      </c>
      <c r="F270" s="36">
        <v>88.44</v>
      </c>
    </row>
    <row r="271" spans="1:6" x14ac:dyDescent="0.25">
      <c r="A271" s="5">
        <v>268</v>
      </c>
      <c r="B271" s="11">
        <v>100234.98</v>
      </c>
      <c r="C271" s="11">
        <v>950.38</v>
      </c>
      <c r="D271" s="11">
        <v>1185.3599999999999</v>
      </c>
      <c r="E271" s="36">
        <v>44.2</v>
      </c>
      <c r="F271" s="36">
        <v>58.03</v>
      </c>
    </row>
    <row r="272" spans="1:6" x14ac:dyDescent="0.25">
      <c r="A272" s="5">
        <v>269</v>
      </c>
      <c r="B272" s="11">
        <v>83121.53</v>
      </c>
      <c r="C272" s="11">
        <v>18225.900000000001</v>
      </c>
      <c r="D272" s="11">
        <v>1347.43</v>
      </c>
      <c r="E272" s="36">
        <v>32.54</v>
      </c>
      <c r="F272" s="36">
        <v>58.16</v>
      </c>
    </row>
    <row r="273" spans="1:6" x14ac:dyDescent="0.25">
      <c r="A273" s="5">
        <v>270</v>
      </c>
      <c r="B273" s="11">
        <v>43029.13</v>
      </c>
      <c r="C273" s="11">
        <v>10842.66</v>
      </c>
      <c r="D273" s="11">
        <v>-46128.21</v>
      </c>
      <c r="E273" s="36">
        <v>20.57</v>
      </c>
      <c r="F273" s="36">
        <v>50</v>
      </c>
    </row>
    <row r="274" spans="1:6" x14ac:dyDescent="0.25">
      <c r="A274" s="5">
        <v>271</v>
      </c>
      <c r="B274" s="11">
        <v>96986.31</v>
      </c>
      <c r="C274" s="11">
        <v>7768.66</v>
      </c>
      <c r="D274" s="11">
        <v>4754.97</v>
      </c>
      <c r="E274" s="36">
        <v>46.97</v>
      </c>
      <c r="F274" s="36">
        <v>60.37</v>
      </c>
    </row>
    <row r="275" spans="1:6" x14ac:dyDescent="0.25">
      <c r="A275" s="5">
        <v>272</v>
      </c>
      <c r="B275" s="11">
        <v>96340.47</v>
      </c>
      <c r="C275" s="11">
        <v>7576.92</v>
      </c>
      <c r="D275" s="11">
        <v>3917.39</v>
      </c>
      <c r="E275" s="36">
        <v>42.72</v>
      </c>
      <c r="F275" s="36">
        <v>56.49</v>
      </c>
    </row>
    <row r="276" spans="1:6" x14ac:dyDescent="0.25">
      <c r="A276" s="5">
        <v>273</v>
      </c>
      <c r="B276" s="11">
        <v>107231.79</v>
      </c>
      <c r="C276" s="11">
        <v>294.72000000000003</v>
      </c>
      <c r="D276" s="11">
        <v>7526.51</v>
      </c>
      <c r="E276" s="36">
        <v>48.67</v>
      </c>
      <c r="F276" s="36">
        <v>76.760000000000005</v>
      </c>
    </row>
    <row r="277" spans="1:6" x14ac:dyDescent="0.25">
      <c r="A277" s="5">
        <v>274</v>
      </c>
      <c r="B277" s="11">
        <v>100111.69</v>
      </c>
      <c r="C277" s="11">
        <v>53.5</v>
      </c>
      <c r="D277" s="11">
        <v>165.19</v>
      </c>
      <c r="E277" s="36">
        <v>43.72</v>
      </c>
      <c r="F277" s="36">
        <v>58.28</v>
      </c>
    </row>
    <row r="278" spans="1:6" x14ac:dyDescent="0.25">
      <c r="A278" s="5">
        <v>275</v>
      </c>
      <c r="B278" s="11">
        <v>111415.32</v>
      </c>
      <c r="C278" s="11">
        <v>63.3</v>
      </c>
      <c r="D278" s="11">
        <v>11478.62</v>
      </c>
      <c r="E278" s="36">
        <v>43.1</v>
      </c>
      <c r="F278" s="36">
        <v>68.87</v>
      </c>
    </row>
    <row r="279" spans="1:6" x14ac:dyDescent="0.25">
      <c r="A279" s="5">
        <v>276</v>
      </c>
      <c r="B279" s="11">
        <v>102999.67</v>
      </c>
      <c r="C279" s="11">
        <v>3187.25</v>
      </c>
      <c r="D279" s="11">
        <v>6186.92</v>
      </c>
      <c r="E279" s="36">
        <v>45.91</v>
      </c>
      <c r="F279" s="36">
        <v>57.51</v>
      </c>
    </row>
    <row r="280" spans="1:6" x14ac:dyDescent="0.25">
      <c r="A280" s="5">
        <v>277</v>
      </c>
      <c r="B280" s="11">
        <v>101952.42</v>
      </c>
      <c r="C280" s="11">
        <v>61.39</v>
      </c>
      <c r="D280" s="11">
        <v>2013.81</v>
      </c>
      <c r="E280" s="36">
        <v>40.270000000000003</v>
      </c>
      <c r="F280" s="36">
        <v>61.62</v>
      </c>
    </row>
    <row r="281" spans="1:6" x14ac:dyDescent="0.25">
      <c r="A281" s="5">
        <v>278</v>
      </c>
      <c r="B281" s="11">
        <v>96292.13</v>
      </c>
      <c r="C281" s="11">
        <v>8241.9</v>
      </c>
      <c r="D281" s="11">
        <v>4534.03</v>
      </c>
      <c r="E281" s="36">
        <v>40.21</v>
      </c>
      <c r="F281" s="36">
        <v>53.17</v>
      </c>
    </row>
    <row r="282" spans="1:6" x14ac:dyDescent="0.25">
      <c r="A282" s="5">
        <v>279</v>
      </c>
      <c r="B282" s="11">
        <v>103415.22</v>
      </c>
      <c r="C282" s="11">
        <v>2915.02</v>
      </c>
      <c r="D282" s="11">
        <v>6330.24</v>
      </c>
      <c r="E282" s="36">
        <v>47.21</v>
      </c>
      <c r="F282" s="36">
        <v>88.61</v>
      </c>
    </row>
    <row r="283" spans="1:6" x14ac:dyDescent="0.25">
      <c r="A283" s="5">
        <v>280</v>
      </c>
      <c r="B283" s="11">
        <v>102777.31</v>
      </c>
      <c r="C283" s="11">
        <v>37.799999999999997</v>
      </c>
      <c r="D283" s="11">
        <v>2815.11</v>
      </c>
      <c r="E283" s="36">
        <v>33.21</v>
      </c>
      <c r="F283" s="36">
        <v>75.62</v>
      </c>
    </row>
    <row r="284" spans="1:6" x14ac:dyDescent="0.25">
      <c r="A284" s="5">
        <v>281</v>
      </c>
      <c r="B284" s="11">
        <v>98791.76</v>
      </c>
      <c r="C284" s="11">
        <v>6776.88</v>
      </c>
      <c r="D284" s="11">
        <v>5568.64</v>
      </c>
      <c r="E284" s="36">
        <v>45.6</v>
      </c>
      <c r="F284" s="36">
        <v>66.44</v>
      </c>
    </row>
    <row r="285" spans="1:6" x14ac:dyDescent="0.25">
      <c r="A285" s="5">
        <v>282</v>
      </c>
      <c r="B285" s="11">
        <v>57349.120000000003</v>
      </c>
      <c r="C285" s="11">
        <v>46611.5</v>
      </c>
      <c r="D285" s="11">
        <v>3960.62</v>
      </c>
      <c r="E285" s="36">
        <v>42.31</v>
      </c>
      <c r="F285" s="36">
        <v>60.02</v>
      </c>
    </row>
    <row r="286" spans="1:6" x14ac:dyDescent="0.25">
      <c r="A286" s="5">
        <v>283</v>
      </c>
      <c r="B286" s="11">
        <v>74919.14</v>
      </c>
      <c r="C286" s="11">
        <v>18716.400000000001</v>
      </c>
      <c r="D286" s="11">
        <v>-6364.46</v>
      </c>
      <c r="E286" s="36">
        <v>31.32</v>
      </c>
      <c r="F286" s="36">
        <v>62.24</v>
      </c>
    </row>
    <row r="287" spans="1:6" x14ac:dyDescent="0.25">
      <c r="A287" s="5">
        <v>284</v>
      </c>
      <c r="B287" s="11">
        <v>84162.35</v>
      </c>
      <c r="C287" s="11">
        <v>1297.96</v>
      </c>
      <c r="D287" s="11">
        <v>-14539.69</v>
      </c>
      <c r="E287" s="36">
        <v>28.29</v>
      </c>
      <c r="F287" s="36">
        <v>50</v>
      </c>
    </row>
    <row r="288" spans="1:6" x14ac:dyDescent="0.25">
      <c r="A288" s="5">
        <v>285</v>
      </c>
      <c r="B288" s="11">
        <v>98423.76</v>
      </c>
      <c r="C288" s="11">
        <v>6916.11</v>
      </c>
      <c r="D288" s="11">
        <v>5339.87</v>
      </c>
      <c r="E288" s="36">
        <v>33.61</v>
      </c>
      <c r="F288" s="36">
        <v>51.21</v>
      </c>
    </row>
    <row r="289" spans="1:6" x14ac:dyDescent="0.25">
      <c r="A289" s="5">
        <v>286</v>
      </c>
      <c r="B289" s="11">
        <v>104664.44</v>
      </c>
      <c r="C289" s="11">
        <v>90.17</v>
      </c>
      <c r="D289" s="11">
        <v>4754.6099999999997</v>
      </c>
      <c r="E289" s="36">
        <v>45.32</v>
      </c>
      <c r="F289" s="36">
        <v>94.55</v>
      </c>
    </row>
    <row r="290" spans="1:6" x14ac:dyDescent="0.25">
      <c r="A290" s="5">
        <v>287</v>
      </c>
      <c r="B290" s="11">
        <v>113494.28</v>
      </c>
      <c r="C290" s="11">
        <v>97.32</v>
      </c>
      <c r="D290" s="11">
        <v>13591.6</v>
      </c>
      <c r="E290" s="36">
        <v>45.97</v>
      </c>
      <c r="F290" s="36">
        <v>103.06</v>
      </c>
    </row>
    <row r="291" spans="1:6" x14ac:dyDescent="0.25">
      <c r="A291" s="5">
        <v>288</v>
      </c>
      <c r="B291" s="11">
        <v>97648.9</v>
      </c>
      <c r="C291" s="11">
        <v>65.91</v>
      </c>
      <c r="D291" s="11">
        <v>-2285.19</v>
      </c>
      <c r="E291" s="36">
        <v>41.19</v>
      </c>
      <c r="F291" s="36">
        <v>68.5</v>
      </c>
    </row>
    <row r="292" spans="1:6" x14ac:dyDescent="0.25">
      <c r="A292" s="5">
        <v>289</v>
      </c>
      <c r="B292" s="11">
        <v>101731.25</v>
      </c>
      <c r="C292" s="11">
        <v>84.74</v>
      </c>
      <c r="D292" s="11">
        <v>1815.99</v>
      </c>
      <c r="E292" s="36">
        <v>46.99</v>
      </c>
      <c r="F292" s="36">
        <v>100.19</v>
      </c>
    </row>
    <row r="293" spans="1:6" x14ac:dyDescent="0.25">
      <c r="A293" s="5">
        <v>290</v>
      </c>
      <c r="B293" s="11">
        <v>100599.21</v>
      </c>
      <c r="C293" s="11">
        <v>2124.3200000000002</v>
      </c>
      <c r="D293" s="11">
        <v>2723.53</v>
      </c>
      <c r="E293" s="36">
        <v>44.73</v>
      </c>
      <c r="F293" s="36">
        <v>60.8</v>
      </c>
    </row>
    <row r="294" spans="1:6" x14ac:dyDescent="0.25">
      <c r="A294" s="5">
        <v>291</v>
      </c>
      <c r="B294" s="11">
        <v>100299.31</v>
      </c>
      <c r="C294" s="11">
        <v>69.37</v>
      </c>
      <c r="D294" s="11">
        <v>368.68</v>
      </c>
      <c r="E294" s="36">
        <v>46.05</v>
      </c>
      <c r="F294" s="36">
        <v>87.23</v>
      </c>
    </row>
    <row r="295" spans="1:6" x14ac:dyDescent="0.25">
      <c r="A295" s="5">
        <v>292</v>
      </c>
      <c r="B295" s="11">
        <v>101898.14</v>
      </c>
      <c r="C295" s="11">
        <v>643.39</v>
      </c>
      <c r="D295" s="11">
        <v>2541.5300000000002</v>
      </c>
      <c r="E295" s="36">
        <v>44.92</v>
      </c>
      <c r="F295" s="36">
        <v>60.54</v>
      </c>
    </row>
    <row r="296" spans="1:6" x14ac:dyDescent="0.25">
      <c r="A296" s="5">
        <v>293</v>
      </c>
      <c r="B296" s="11">
        <v>103152.21</v>
      </c>
      <c r="C296" s="11">
        <v>90.06</v>
      </c>
      <c r="D296" s="11">
        <v>3242.27</v>
      </c>
      <c r="E296" s="36">
        <v>48.96</v>
      </c>
      <c r="F296" s="36">
        <v>92.23</v>
      </c>
    </row>
    <row r="297" spans="1:6" x14ac:dyDescent="0.25">
      <c r="A297" s="5">
        <v>294</v>
      </c>
      <c r="B297" s="11">
        <v>98000.93</v>
      </c>
      <c r="C297" s="11">
        <v>3360.84</v>
      </c>
      <c r="D297" s="11">
        <v>1361.77</v>
      </c>
      <c r="E297" s="36">
        <v>40.01</v>
      </c>
      <c r="F297" s="36">
        <v>59.13</v>
      </c>
    </row>
    <row r="298" spans="1:6" x14ac:dyDescent="0.25">
      <c r="A298" s="5">
        <v>295</v>
      </c>
      <c r="B298" s="11">
        <v>114822.98</v>
      </c>
      <c r="C298" s="11">
        <v>1136</v>
      </c>
      <c r="D298" s="11">
        <v>15958.98</v>
      </c>
      <c r="E298" s="36">
        <v>47.18</v>
      </c>
      <c r="F298" s="36">
        <v>65.849999999999994</v>
      </c>
    </row>
    <row r="299" spans="1:6" x14ac:dyDescent="0.25">
      <c r="A299" s="5">
        <v>296</v>
      </c>
      <c r="B299" s="11">
        <v>101818.32</v>
      </c>
      <c r="C299" s="11">
        <v>556.32000000000005</v>
      </c>
      <c r="D299" s="11">
        <v>2374.64</v>
      </c>
      <c r="E299" s="36">
        <v>41.76</v>
      </c>
      <c r="F299" s="36">
        <v>59.75</v>
      </c>
    </row>
    <row r="300" spans="1:6" x14ac:dyDescent="0.25">
      <c r="A300" s="5">
        <v>297</v>
      </c>
      <c r="B300" s="11">
        <v>102493.44</v>
      </c>
      <c r="C300" s="11">
        <v>46.4</v>
      </c>
      <c r="D300" s="11">
        <v>2539.84</v>
      </c>
      <c r="E300" s="36">
        <v>44.43</v>
      </c>
      <c r="F300" s="36">
        <v>64.45</v>
      </c>
    </row>
    <row r="301" spans="1:6" x14ac:dyDescent="0.25">
      <c r="A301" s="5">
        <v>298</v>
      </c>
      <c r="B301" s="11">
        <v>102296.03</v>
      </c>
      <c r="C301" s="11">
        <v>50.7</v>
      </c>
      <c r="D301" s="11">
        <v>2346.73</v>
      </c>
      <c r="E301" s="36">
        <v>50</v>
      </c>
      <c r="F301" s="36">
        <v>66.09</v>
      </c>
    </row>
    <row r="302" spans="1:6" x14ac:dyDescent="0.25">
      <c r="A302" s="5">
        <v>299</v>
      </c>
      <c r="B302" s="11">
        <v>35757.67</v>
      </c>
      <c r="C302" s="11">
        <v>68472.600000000006</v>
      </c>
      <c r="D302" s="11">
        <v>4230.2700000000004</v>
      </c>
      <c r="E302" s="36">
        <v>39.67</v>
      </c>
      <c r="F302" s="36">
        <v>62.51</v>
      </c>
    </row>
    <row r="303" spans="1:6" x14ac:dyDescent="0.25">
      <c r="A303" s="5">
        <v>300</v>
      </c>
      <c r="B303" s="11">
        <v>102762.44</v>
      </c>
      <c r="C303" s="11">
        <v>5774.72</v>
      </c>
      <c r="D303" s="11">
        <v>8537.16</v>
      </c>
      <c r="E303" s="36">
        <v>44.37</v>
      </c>
      <c r="F303" s="36">
        <v>72.2</v>
      </c>
    </row>
    <row r="304" spans="1:6" x14ac:dyDescent="0.25">
      <c r="A304" s="5">
        <v>301</v>
      </c>
      <c r="B304" s="11">
        <v>112018.78</v>
      </c>
      <c r="C304" s="11">
        <v>6772.32</v>
      </c>
      <c r="D304" s="11">
        <v>18791.099999999999</v>
      </c>
      <c r="E304" s="36">
        <v>34.24</v>
      </c>
      <c r="F304" s="36">
        <v>57.65</v>
      </c>
    </row>
    <row r="305" spans="1:6" x14ac:dyDescent="0.25">
      <c r="A305" s="5">
        <v>302</v>
      </c>
      <c r="B305" s="11">
        <v>109962.11</v>
      </c>
      <c r="C305" s="11">
        <v>71.86</v>
      </c>
      <c r="D305" s="11">
        <v>10033.969999999999</v>
      </c>
      <c r="E305" s="36">
        <v>44.57</v>
      </c>
      <c r="F305" s="36">
        <v>89.9</v>
      </c>
    </row>
    <row r="306" spans="1:6" x14ac:dyDescent="0.25">
      <c r="A306" s="5">
        <v>303</v>
      </c>
      <c r="B306" s="11">
        <v>95503.92</v>
      </c>
      <c r="C306" s="11">
        <v>7437.6</v>
      </c>
      <c r="D306" s="11">
        <v>2941.52</v>
      </c>
      <c r="E306" s="36">
        <v>36.950000000000003</v>
      </c>
      <c r="F306" s="36">
        <v>57.88</v>
      </c>
    </row>
    <row r="307" spans="1:6" x14ac:dyDescent="0.25">
      <c r="A307" s="5">
        <v>304</v>
      </c>
      <c r="B307" s="11">
        <v>86136.18</v>
      </c>
      <c r="C307" s="11">
        <v>15065.78</v>
      </c>
      <c r="D307" s="11">
        <v>1201.96</v>
      </c>
      <c r="E307" s="36">
        <v>32.33</v>
      </c>
      <c r="F307" s="36">
        <v>60.49</v>
      </c>
    </row>
    <row r="308" spans="1:6" x14ac:dyDescent="0.25">
      <c r="A308" s="5">
        <v>305</v>
      </c>
      <c r="B308" s="11">
        <v>105267.48</v>
      </c>
      <c r="C308" s="11">
        <v>924.14</v>
      </c>
      <c r="D308" s="11">
        <v>6191.62</v>
      </c>
      <c r="E308" s="36">
        <v>49.9</v>
      </c>
      <c r="F308" s="36">
        <v>76.349999999999994</v>
      </c>
    </row>
    <row r="309" spans="1:6" x14ac:dyDescent="0.25">
      <c r="A309" s="5">
        <v>306</v>
      </c>
      <c r="B309" s="11">
        <v>102335.82</v>
      </c>
      <c r="C309" s="11">
        <v>52.86</v>
      </c>
      <c r="D309" s="11">
        <v>2388.6799999999998</v>
      </c>
      <c r="E309" s="36">
        <v>46.38</v>
      </c>
      <c r="F309" s="36">
        <v>75.760000000000005</v>
      </c>
    </row>
    <row r="310" spans="1:6" x14ac:dyDescent="0.25">
      <c r="A310" s="5">
        <v>307</v>
      </c>
      <c r="B310" s="11">
        <v>103331.68</v>
      </c>
      <c r="C310" s="11">
        <v>84.18</v>
      </c>
      <c r="D310" s="11">
        <v>3415.86</v>
      </c>
      <c r="E310" s="36">
        <v>44.7</v>
      </c>
      <c r="F310" s="36">
        <v>90.73</v>
      </c>
    </row>
    <row r="311" spans="1:6" x14ac:dyDescent="0.25">
      <c r="A311" s="5">
        <v>308</v>
      </c>
      <c r="B311" s="11">
        <v>103937.26</v>
      </c>
      <c r="C311" s="11">
        <v>2441.79</v>
      </c>
      <c r="D311" s="11">
        <v>6379.05</v>
      </c>
      <c r="E311" s="36">
        <v>45.86</v>
      </c>
      <c r="F311" s="36">
        <v>65.62</v>
      </c>
    </row>
    <row r="312" spans="1:6" x14ac:dyDescent="0.25">
      <c r="A312" s="5">
        <v>309</v>
      </c>
      <c r="B312" s="11">
        <v>101102.95</v>
      </c>
      <c r="C312" s="11">
        <v>2540.4</v>
      </c>
      <c r="D312" s="11">
        <v>3643.35</v>
      </c>
      <c r="E312" s="36">
        <v>46.84</v>
      </c>
      <c r="F312" s="36">
        <v>63.51</v>
      </c>
    </row>
    <row r="313" spans="1:6" x14ac:dyDescent="0.25">
      <c r="A313" s="5">
        <v>310</v>
      </c>
      <c r="B313" s="11">
        <v>98034.02</v>
      </c>
      <c r="C313" s="11">
        <v>2868.94</v>
      </c>
      <c r="D313" s="11">
        <v>902.96</v>
      </c>
      <c r="E313" s="36">
        <v>40.380000000000003</v>
      </c>
      <c r="F313" s="36">
        <v>54.01</v>
      </c>
    </row>
    <row r="314" spans="1:6" x14ac:dyDescent="0.25">
      <c r="A314" s="5">
        <v>311</v>
      </c>
      <c r="B314" s="11">
        <v>92636.95</v>
      </c>
      <c r="C314" s="11">
        <v>6219.45</v>
      </c>
      <c r="D314" s="11">
        <v>-1143.5999999999999</v>
      </c>
      <c r="E314" s="36">
        <v>34.58</v>
      </c>
      <c r="F314" s="36">
        <v>54.74</v>
      </c>
    </row>
    <row r="315" spans="1:6" x14ac:dyDescent="0.25">
      <c r="A315" s="5">
        <v>312</v>
      </c>
      <c r="B315" s="11">
        <v>96560.11</v>
      </c>
      <c r="C315" s="11">
        <v>4280.6400000000003</v>
      </c>
      <c r="D315" s="11">
        <v>840.75</v>
      </c>
      <c r="E315" s="36">
        <v>41.51</v>
      </c>
      <c r="F315" s="36">
        <v>60.12</v>
      </c>
    </row>
    <row r="316" spans="1:6" x14ac:dyDescent="0.25">
      <c r="A316" s="5">
        <v>313</v>
      </c>
      <c r="B316" s="11">
        <v>71987.38</v>
      </c>
      <c r="C316" s="11">
        <v>29367.9</v>
      </c>
      <c r="D316" s="11">
        <v>1355.28</v>
      </c>
      <c r="E316" s="36">
        <v>40.130000000000003</v>
      </c>
      <c r="F316" s="36">
        <v>61.04</v>
      </c>
    </row>
    <row r="317" spans="1:6" x14ac:dyDescent="0.25">
      <c r="A317" s="5">
        <v>314</v>
      </c>
      <c r="B317" s="11">
        <v>101120.32000000001</v>
      </c>
      <c r="C317" s="11">
        <v>218.95</v>
      </c>
      <c r="D317" s="11">
        <v>1339.27</v>
      </c>
      <c r="E317" s="36">
        <v>38.19</v>
      </c>
      <c r="F317" s="36">
        <v>52.04</v>
      </c>
    </row>
    <row r="318" spans="1:6" x14ac:dyDescent="0.25">
      <c r="A318" s="5">
        <v>315</v>
      </c>
      <c r="B318" s="11">
        <v>103921.72</v>
      </c>
      <c r="C318" s="11">
        <v>60.01</v>
      </c>
      <c r="D318" s="11">
        <v>3981.73</v>
      </c>
      <c r="E318" s="36">
        <v>44.98</v>
      </c>
      <c r="F318" s="36">
        <v>65.02</v>
      </c>
    </row>
    <row r="319" spans="1:6" x14ac:dyDescent="0.25">
      <c r="A319" s="5">
        <v>316</v>
      </c>
      <c r="B319" s="11">
        <v>102305.54</v>
      </c>
      <c r="C319" s="11">
        <v>65.39</v>
      </c>
      <c r="D319" s="11">
        <v>2370.9299999999998</v>
      </c>
      <c r="E319" s="36">
        <v>47.56</v>
      </c>
      <c r="F319" s="36">
        <v>71.33</v>
      </c>
    </row>
    <row r="320" spans="1:6" x14ac:dyDescent="0.25">
      <c r="A320" s="5">
        <v>317</v>
      </c>
      <c r="B320" s="11">
        <v>101554.92</v>
      </c>
      <c r="C320" s="11">
        <v>2080.7600000000002</v>
      </c>
      <c r="D320" s="11">
        <v>3635.68</v>
      </c>
      <c r="E320" s="36">
        <v>36.61</v>
      </c>
      <c r="F320" s="36">
        <v>53.2</v>
      </c>
    </row>
    <row r="321" spans="1:6" x14ac:dyDescent="0.25">
      <c r="A321" s="5">
        <v>318</v>
      </c>
      <c r="B321" s="11">
        <v>92491.36</v>
      </c>
      <c r="C321" s="11">
        <v>9512.06</v>
      </c>
      <c r="D321" s="11">
        <v>2003.42</v>
      </c>
      <c r="E321" s="36">
        <v>46.66</v>
      </c>
      <c r="F321" s="36">
        <v>64.040000000000006</v>
      </c>
    </row>
    <row r="322" spans="1:6" x14ac:dyDescent="0.25">
      <c r="A322" s="5">
        <v>319</v>
      </c>
      <c r="B322" s="11">
        <v>117319</v>
      </c>
      <c r="C322" s="11">
        <v>207.48</v>
      </c>
      <c r="D322" s="11">
        <v>17526.48</v>
      </c>
      <c r="E322" s="36">
        <v>41.02</v>
      </c>
      <c r="F322" s="36">
        <v>69.16</v>
      </c>
    </row>
    <row r="323" spans="1:6" x14ac:dyDescent="0.25">
      <c r="A323" s="5">
        <v>320</v>
      </c>
      <c r="B323" s="11">
        <v>102074.41</v>
      </c>
      <c r="C323" s="11">
        <v>2890.02</v>
      </c>
      <c r="D323" s="11">
        <v>4964.43</v>
      </c>
      <c r="E323" s="36">
        <v>42.22</v>
      </c>
      <c r="F323" s="36">
        <v>63.12</v>
      </c>
    </row>
    <row r="324" spans="1:6" x14ac:dyDescent="0.25">
      <c r="A324" s="5">
        <v>321</v>
      </c>
      <c r="B324" s="11">
        <v>103500.64</v>
      </c>
      <c r="C324" s="11">
        <v>228.3</v>
      </c>
      <c r="D324" s="11">
        <v>3728.94</v>
      </c>
      <c r="E324" s="36">
        <v>41.86</v>
      </c>
      <c r="F324" s="36">
        <v>78.87</v>
      </c>
    </row>
    <row r="325" spans="1:6" x14ac:dyDescent="0.25">
      <c r="A325" s="5">
        <v>322</v>
      </c>
      <c r="B325" s="11">
        <v>104489.61</v>
      </c>
      <c r="C325" s="11">
        <v>54.11</v>
      </c>
      <c r="D325" s="11">
        <v>4543.72</v>
      </c>
      <c r="E325" s="36">
        <v>50</v>
      </c>
      <c r="F325" s="36">
        <v>66.040000000000006</v>
      </c>
    </row>
    <row r="326" spans="1:6" x14ac:dyDescent="0.25">
      <c r="A326" s="5">
        <v>323</v>
      </c>
      <c r="B326" s="11">
        <v>101336.98</v>
      </c>
      <c r="C326" s="11">
        <v>58.43</v>
      </c>
      <c r="D326" s="11">
        <v>1395.41</v>
      </c>
      <c r="E326" s="36">
        <v>45.47</v>
      </c>
      <c r="F326" s="36">
        <v>70.91</v>
      </c>
    </row>
    <row r="327" spans="1:6" x14ac:dyDescent="0.25">
      <c r="A327" s="5">
        <v>324</v>
      </c>
      <c r="B327" s="11">
        <v>103105.02</v>
      </c>
      <c r="C327" s="11">
        <v>3972.32</v>
      </c>
      <c r="D327" s="11">
        <v>7077.34</v>
      </c>
      <c r="E327" s="36">
        <v>47.09</v>
      </c>
      <c r="F327" s="36">
        <v>68.239999999999995</v>
      </c>
    </row>
    <row r="328" spans="1:6" x14ac:dyDescent="0.25">
      <c r="A328" s="5">
        <v>325</v>
      </c>
      <c r="B328" s="11">
        <v>99517.41</v>
      </c>
      <c r="C328" s="11">
        <v>1252.25</v>
      </c>
      <c r="D328" s="11">
        <v>769.66</v>
      </c>
      <c r="E328" s="36">
        <v>34.15</v>
      </c>
      <c r="F328" s="36">
        <v>54.17</v>
      </c>
    </row>
    <row r="329" spans="1:6" x14ac:dyDescent="0.25">
      <c r="A329" s="5">
        <v>326</v>
      </c>
      <c r="B329" s="11">
        <v>101083.75</v>
      </c>
      <c r="C329" s="11">
        <v>5345.65</v>
      </c>
      <c r="D329" s="11">
        <v>6429.4</v>
      </c>
      <c r="E329" s="36">
        <v>42.61</v>
      </c>
      <c r="F329" s="36">
        <v>64.150000000000006</v>
      </c>
    </row>
    <row r="330" spans="1:6" x14ac:dyDescent="0.25">
      <c r="A330" s="5">
        <v>327</v>
      </c>
      <c r="B330" s="11">
        <v>102449.73</v>
      </c>
      <c r="C330" s="11">
        <v>76.52</v>
      </c>
      <c r="D330" s="11">
        <v>2526.25</v>
      </c>
      <c r="E330" s="36">
        <v>50</v>
      </c>
      <c r="F330" s="36">
        <v>95.63</v>
      </c>
    </row>
    <row r="331" spans="1:6" x14ac:dyDescent="0.25">
      <c r="A331" s="5">
        <v>328</v>
      </c>
      <c r="B331" s="11">
        <v>95079.46</v>
      </c>
      <c r="C331" s="11">
        <v>1505.58</v>
      </c>
      <c r="D331" s="11">
        <v>-3414.96</v>
      </c>
      <c r="E331" s="36">
        <v>27.23</v>
      </c>
      <c r="F331" s="36">
        <v>52.9</v>
      </c>
    </row>
    <row r="332" spans="1:6" x14ac:dyDescent="0.25">
      <c r="A332" s="5">
        <v>329</v>
      </c>
      <c r="B332" s="11">
        <v>102761.98</v>
      </c>
      <c r="C332" s="11">
        <v>48.67</v>
      </c>
      <c r="D332" s="11">
        <v>2810.65</v>
      </c>
      <c r="E332" s="36">
        <v>37.39</v>
      </c>
      <c r="F332" s="36">
        <v>57.6</v>
      </c>
    </row>
    <row r="333" spans="1:6" x14ac:dyDescent="0.25">
      <c r="A333" s="5">
        <v>330</v>
      </c>
      <c r="B333" s="11">
        <v>103951.43</v>
      </c>
      <c r="C333" s="11">
        <v>65.59</v>
      </c>
      <c r="D333" s="11">
        <v>4017.02</v>
      </c>
      <c r="E333" s="36">
        <v>44.56</v>
      </c>
      <c r="F333" s="36">
        <v>68.39</v>
      </c>
    </row>
    <row r="334" spans="1:6" x14ac:dyDescent="0.25">
      <c r="A334" s="5">
        <v>331</v>
      </c>
      <c r="B334" s="11">
        <v>101906.22</v>
      </c>
      <c r="C334" s="11">
        <v>8646.2999999999993</v>
      </c>
      <c r="D334" s="11">
        <v>10552.52</v>
      </c>
      <c r="E334" s="36">
        <v>33.47</v>
      </c>
      <c r="F334" s="36">
        <v>54.24</v>
      </c>
    </row>
    <row r="335" spans="1:6" x14ac:dyDescent="0.25">
      <c r="A335" s="5">
        <v>332</v>
      </c>
      <c r="B335" s="11">
        <v>67858.53</v>
      </c>
      <c r="C335" s="11">
        <v>29594.560000000001</v>
      </c>
      <c r="D335" s="11">
        <v>-2546.91</v>
      </c>
      <c r="E335" s="36">
        <v>39.53</v>
      </c>
      <c r="F335" s="36">
        <v>58.66</v>
      </c>
    </row>
    <row r="336" spans="1:6" x14ac:dyDescent="0.25">
      <c r="A336" s="5">
        <v>333</v>
      </c>
      <c r="B336" s="11">
        <v>101719.75</v>
      </c>
      <c r="C336" s="11">
        <v>2458.5300000000002</v>
      </c>
      <c r="D336" s="11">
        <v>4178.28</v>
      </c>
      <c r="E336" s="36">
        <v>36.9</v>
      </c>
      <c r="F336" s="36">
        <v>60.15</v>
      </c>
    </row>
    <row r="337" spans="1:6" x14ac:dyDescent="0.25">
      <c r="A337" s="5">
        <v>334</v>
      </c>
      <c r="B337" s="11">
        <v>101272.98</v>
      </c>
      <c r="C337" s="11">
        <v>911.24</v>
      </c>
      <c r="D337" s="11">
        <v>2184.2199999999998</v>
      </c>
      <c r="E337" s="36">
        <v>44.86</v>
      </c>
      <c r="F337" s="36">
        <v>74.16</v>
      </c>
    </row>
    <row r="338" spans="1:6" x14ac:dyDescent="0.25">
      <c r="A338" s="5">
        <v>335</v>
      </c>
      <c r="B338" s="11">
        <v>104942.52</v>
      </c>
      <c r="C338" s="11">
        <v>8067.8</v>
      </c>
      <c r="D338" s="11">
        <v>13010.32</v>
      </c>
      <c r="E338" s="36">
        <v>48.4</v>
      </c>
      <c r="F338" s="36">
        <v>69.63</v>
      </c>
    </row>
    <row r="339" spans="1:6" x14ac:dyDescent="0.25">
      <c r="A339" s="5">
        <v>336</v>
      </c>
      <c r="B339" s="11">
        <v>98345.32</v>
      </c>
      <c r="C339" s="11">
        <v>71.64</v>
      </c>
      <c r="D339" s="11">
        <v>-1583.04</v>
      </c>
      <c r="E339" s="36">
        <v>41.81</v>
      </c>
      <c r="F339" s="36">
        <v>77.09</v>
      </c>
    </row>
    <row r="340" spans="1:6" x14ac:dyDescent="0.25">
      <c r="A340" s="5">
        <v>337</v>
      </c>
      <c r="B340" s="11">
        <v>101703.25</v>
      </c>
      <c r="C340" s="11">
        <v>65.87</v>
      </c>
      <c r="D340" s="11">
        <v>1769.12</v>
      </c>
      <c r="E340" s="36">
        <v>43.31</v>
      </c>
      <c r="F340" s="36">
        <v>67.849999999999994</v>
      </c>
    </row>
    <row r="341" spans="1:6" x14ac:dyDescent="0.25">
      <c r="A341" s="5">
        <v>338</v>
      </c>
      <c r="B341" s="11">
        <v>101741.04</v>
      </c>
      <c r="C341" s="11">
        <v>43.39</v>
      </c>
      <c r="D341" s="11">
        <v>1784.43</v>
      </c>
      <c r="E341" s="36">
        <v>43.39</v>
      </c>
      <c r="F341" s="36">
        <v>55.29</v>
      </c>
    </row>
    <row r="342" spans="1:6" x14ac:dyDescent="0.25">
      <c r="A342" s="5">
        <v>339</v>
      </c>
      <c r="B342" s="11">
        <v>60091.49</v>
      </c>
      <c r="C342" s="11">
        <v>26047.439999999999</v>
      </c>
      <c r="D342" s="11">
        <v>-13861.07</v>
      </c>
      <c r="E342" s="36">
        <v>25.57</v>
      </c>
      <c r="F342" s="36">
        <v>50</v>
      </c>
    </row>
    <row r="343" spans="1:6" x14ac:dyDescent="0.25">
      <c r="A343" s="5">
        <v>340</v>
      </c>
      <c r="B343" s="11">
        <v>102806.35</v>
      </c>
      <c r="C343" s="11">
        <v>363.05</v>
      </c>
      <c r="D343" s="11">
        <v>3169.4</v>
      </c>
      <c r="E343" s="36">
        <v>46.34</v>
      </c>
      <c r="F343" s="36">
        <v>74.209999999999994</v>
      </c>
    </row>
    <row r="344" spans="1:6" x14ac:dyDescent="0.25">
      <c r="A344" s="5">
        <v>341</v>
      </c>
      <c r="B344" s="11">
        <v>99686.02</v>
      </c>
      <c r="C344" s="11">
        <v>2415.6</v>
      </c>
      <c r="D344" s="11">
        <v>2101.62</v>
      </c>
      <c r="E344" s="36">
        <v>43.48</v>
      </c>
      <c r="F344" s="36">
        <v>68</v>
      </c>
    </row>
    <row r="345" spans="1:6" x14ac:dyDescent="0.25">
      <c r="A345" s="5">
        <v>342</v>
      </c>
      <c r="B345" s="11">
        <v>58571.34</v>
      </c>
      <c r="C345" s="11">
        <v>24905.4</v>
      </c>
      <c r="D345" s="11">
        <v>-16523.259999999998</v>
      </c>
      <c r="E345" s="36">
        <v>26.78</v>
      </c>
      <c r="F345" s="36">
        <v>50</v>
      </c>
    </row>
    <row r="346" spans="1:6" x14ac:dyDescent="0.25">
      <c r="A346" s="5">
        <v>343</v>
      </c>
      <c r="B346" s="11">
        <v>105374.1</v>
      </c>
      <c r="C346" s="11">
        <v>84.18</v>
      </c>
      <c r="D346" s="11">
        <v>5458.28</v>
      </c>
      <c r="E346" s="36">
        <v>48.71</v>
      </c>
      <c r="F346" s="36">
        <v>87.67</v>
      </c>
    </row>
    <row r="347" spans="1:6" x14ac:dyDescent="0.25">
      <c r="A347" s="5">
        <v>344</v>
      </c>
      <c r="B347" s="11">
        <v>86852.85</v>
      </c>
      <c r="C347" s="11">
        <v>13596.9</v>
      </c>
      <c r="D347" s="11">
        <v>449.75</v>
      </c>
      <c r="E347" s="36">
        <v>36.18</v>
      </c>
      <c r="F347" s="36">
        <v>53.8</v>
      </c>
    </row>
    <row r="348" spans="1:6" x14ac:dyDescent="0.25">
      <c r="A348" s="5">
        <v>345</v>
      </c>
      <c r="B348" s="11">
        <v>104031.87</v>
      </c>
      <c r="C348" s="11">
        <v>4067.01</v>
      </c>
      <c r="D348" s="11">
        <v>8098.88</v>
      </c>
      <c r="E348" s="36">
        <v>47.14</v>
      </c>
      <c r="F348" s="36">
        <v>62.01</v>
      </c>
    </row>
    <row r="349" spans="1:6" x14ac:dyDescent="0.25">
      <c r="A349" s="5">
        <v>346</v>
      </c>
      <c r="B349" s="11">
        <v>102539.98</v>
      </c>
      <c r="C349" s="11">
        <v>688.2</v>
      </c>
      <c r="D349" s="11">
        <v>3228.18</v>
      </c>
      <c r="E349" s="36">
        <v>46.35</v>
      </c>
      <c r="F349" s="36">
        <v>78.849999999999994</v>
      </c>
    </row>
    <row r="350" spans="1:6" x14ac:dyDescent="0.25">
      <c r="A350" s="5">
        <v>347</v>
      </c>
      <c r="B350" s="11">
        <v>105789.31</v>
      </c>
      <c r="C350" s="11">
        <v>50.18</v>
      </c>
      <c r="D350" s="11">
        <v>5839.49</v>
      </c>
      <c r="E350" s="36">
        <v>42.9</v>
      </c>
      <c r="F350" s="36">
        <v>65.900000000000006</v>
      </c>
    </row>
    <row r="351" spans="1:6" x14ac:dyDescent="0.25">
      <c r="A351" s="5">
        <v>348</v>
      </c>
      <c r="B351" s="11">
        <v>111793.60000000001</v>
      </c>
      <c r="C351" s="11">
        <v>923.3</v>
      </c>
      <c r="D351" s="11">
        <v>12716.9</v>
      </c>
      <c r="E351" s="36">
        <v>49.07</v>
      </c>
      <c r="F351" s="36">
        <v>73.62</v>
      </c>
    </row>
    <row r="352" spans="1:6" x14ac:dyDescent="0.25">
      <c r="A352" s="5">
        <v>349</v>
      </c>
      <c r="B352" s="11">
        <v>106515.43</v>
      </c>
      <c r="C352" s="11">
        <v>64.77</v>
      </c>
      <c r="D352" s="11">
        <v>6580.2</v>
      </c>
      <c r="E352" s="36">
        <v>46.64</v>
      </c>
      <c r="F352" s="36">
        <v>73.33</v>
      </c>
    </row>
    <row r="353" spans="1:6" x14ac:dyDescent="0.25">
      <c r="A353" s="5">
        <v>350</v>
      </c>
      <c r="B353" s="11">
        <v>97394.97</v>
      </c>
      <c r="C353" s="11">
        <v>10543.26</v>
      </c>
      <c r="D353" s="11">
        <v>7938.23</v>
      </c>
      <c r="E353" s="36">
        <v>46.37</v>
      </c>
      <c r="F353" s="36">
        <v>92.33</v>
      </c>
    </row>
    <row r="354" spans="1:6" x14ac:dyDescent="0.25">
      <c r="A354" s="5">
        <v>351</v>
      </c>
      <c r="B354" s="11">
        <v>93862.05</v>
      </c>
      <c r="C354" s="11">
        <v>52.5</v>
      </c>
      <c r="D354" s="11">
        <v>-6085.45</v>
      </c>
      <c r="E354" s="36">
        <v>38.229999999999997</v>
      </c>
      <c r="F354" s="36">
        <v>57.21</v>
      </c>
    </row>
    <row r="355" spans="1:6" x14ac:dyDescent="0.25">
      <c r="A355" s="5">
        <v>352</v>
      </c>
      <c r="B355" s="11">
        <v>101265.49</v>
      </c>
      <c r="C355" s="11">
        <v>726.72</v>
      </c>
      <c r="D355" s="11">
        <v>1992.21</v>
      </c>
      <c r="E355" s="36">
        <v>41.42</v>
      </c>
      <c r="F355" s="36">
        <v>67.67</v>
      </c>
    </row>
    <row r="356" spans="1:6" x14ac:dyDescent="0.25">
      <c r="A356" s="5">
        <v>353</v>
      </c>
      <c r="B356" s="11">
        <v>100701.77</v>
      </c>
      <c r="C356" s="11">
        <v>85.63</v>
      </c>
      <c r="D356" s="11">
        <v>787.4</v>
      </c>
      <c r="E356" s="36">
        <v>43.4</v>
      </c>
      <c r="F356" s="36">
        <v>87.06</v>
      </c>
    </row>
    <row r="357" spans="1:6" x14ac:dyDescent="0.25">
      <c r="A357" s="5">
        <v>354</v>
      </c>
      <c r="B357" s="11">
        <v>95416.22</v>
      </c>
      <c r="C357" s="11">
        <v>4809.75</v>
      </c>
      <c r="D357" s="11">
        <v>225.97</v>
      </c>
      <c r="E357" s="36">
        <v>28.11</v>
      </c>
      <c r="F357" s="36">
        <v>54.95</v>
      </c>
    </row>
    <row r="358" spans="1:6" x14ac:dyDescent="0.25">
      <c r="A358" s="5">
        <v>355</v>
      </c>
      <c r="B358" s="11">
        <v>103611.97</v>
      </c>
      <c r="C358" s="11">
        <v>56.62</v>
      </c>
      <c r="D358" s="11">
        <v>3668.59</v>
      </c>
      <c r="E358" s="36">
        <v>38.29</v>
      </c>
      <c r="F358" s="36">
        <v>60.44</v>
      </c>
    </row>
    <row r="359" spans="1:6" x14ac:dyDescent="0.25">
      <c r="A359" s="5">
        <v>356</v>
      </c>
      <c r="B359" s="11">
        <v>101105.21</v>
      </c>
      <c r="C359" s="11">
        <v>2591.19</v>
      </c>
      <c r="D359" s="11">
        <v>3696.4</v>
      </c>
      <c r="E359" s="36">
        <v>41.13</v>
      </c>
      <c r="F359" s="36">
        <v>65.52</v>
      </c>
    </row>
    <row r="360" spans="1:6" x14ac:dyDescent="0.25">
      <c r="A360" s="5">
        <v>357</v>
      </c>
      <c r="B360" s="11">
        <v>100807.73</v>
      </c>
      <c r="C360" s="11">
        <v>1785.29</v>
      </c>
      <c r="D360" s="11">
        <v>2593.02</v>
      </c>
      <c r="E360" s="36">
        <v>39.42</v>
      </c>
      <c r="F360" s="36">
        <v>57.59</v>
      </c>
    </row>
    <row r="361" spans="1:6" x14ac:dyDescent="0.25">
      <c r="A361" s="5">
        <v>358</v>
      </c>
      <c r="B361" s="11">
        <v>100484.35</v>
      </c>
      <c r="C361" s="11">
        <v>741.78</v>
      </c>
      <c r="D361" s="11">
        <v>1226.1300000000001</v>
      </c>
      <c r="E361" s="36">
        <v>40.159999999999997</v>
      </c>
      <c r="F361" s="36">
        <v>60.3</v>
      </c>
    </row>
    <row r="362" spans="1:6" x14ac:dyDescent="0.25">
      <c r="A362" s="5">
        <v>359</v>
      </c>
      <c r="B362" s="11">
        <v>51650.77</v>
      </c>
      <c r="C362" s="11">
        <v>42148.2</v>
      </c>
      <c r="D362" s="11">
        <v>-6201.03</v>
      </c>
      <c r="E362" s="36">
        <v>39.42</v>
      </c>
      <c r="F362" s="36">
        <v>60.82</v>
      </c>
    </row>
    <row r="363" spans="1:6" x14ac:dyDescent="0.25">
      <c r="A363" s="5">
        <v>360</v>
      </c>
      <c r="B363" s="11">
        <v>90063.23</v>
      </c>
      <c r="C363" s="11">
        <v>3455.88</v>
      </c>
      <c r="D363" s="11">
        <v>-6480.89</v>
      </c>
      <c r="E363" s="36">
        <v>31.55</v>
      </c>
      <c r="F363" s="36">
        <v>52.31</v>
      </c>
    </row>
    <row r="364" spans="1:6" x14ac:dyDescent="0.25">
      <c r="A364" s="5">
        <v>361</v>
      </c>
      <c r="B364" s="11">
        <v>47609.11</v>
      </c>
      <c r="C364" s="11">
        <v>49746.79</v>
      </c>
      <c r="D364" s="11">
        <v>-2644.1</v>
      </c>
      <c r="E364" s="36">
        <v>32.340000000000003</v>
      </c>
      <c r="F364" s="36">
        <v>58.91</v>
      </c>
    </row>
    <row r="365" spans="1:6" x14ac:dyDescent="0.25">
      <c r="A365" s="5">
        <v>362</v>
      </c>
      <c r="B365" s="11">
        <v>96277.62</v>
      </c>
      <c r="C365" s="11">
        <v>1763.02</v>
      </c>
      <c r="D365" s="11">
        <v>-1959.36</v>
      </c>
      <c r="E365" s="36">
        <v>35.11</v>
      </c>
      <c r="F365" s="36">
        <v>60.68</v>
      </c>
    </row>
    <row r="366" spans="1:6" x14ac:dyDescent="0.25">
      <c r="A366" s="5">
        <v>363</v>
      </c>
      <c r="B366" s="11">
        <v>104924.05</v>
      </c>
      <c r="C366" s="11">
        <v>248.72</v>
      </c>
      <c r="D366" s="11">
        <v>5172.7700000000004</v>
      </c>
      <c r="E366" s="36">
        <v>42.91</v>
      </c>
      <c r="F366" s="36">
        <v>63.43</v>
      </c>
    </row>
    <row r="367" spans="1:6" x14ac:dyDescent="0.25">
      <c r="A367" s="5">
        <v>364</v>
      </c>
      <c r="B367" s="11">
        <v>59111.98</v>
      </c>
      <c r="C367" s="11">
        <v>42163.1</v>
      </c>
      <c r="D367" s="11">
        <v>1275.08</v>
      </c>
      <c r="E367" s="36">
        <v>43.22</v>
      </c>
      <c r="F367" s="36">
        <v>60.91</v>
      </c>
    </row>
    <row r="368" spans="1:6" x14ac:dyDescent="0.25">
      <c r="A368" s="5">
        <v>365</v>
      </c>
      <c r="B368" s="11">
        <v>102767</v>
      </c>
      <c r="C368" s="11">
        <v>73.319999999999993</v>
      </c>
      <c r="D368" s="11">
        <v>2840.32</v>
      </c>
      <c r="E368" s="36">
        <v>45.43</v>
      </c>
      <c r="F368" s="36">
        <v>81.349999999999994</v>
      </c>
    </row>
    <row r="369" spans="1:6" x14ac:dyDescent="0.25">
      <c r="A369" s="5">
        <v>366</v>
      </c>
      <c r="B369" s="11">
        <v>93169.94</v>
      </c>
      <c r="C369" s="11">
        <v>12239.04</v>
      </c>
      <c r="D369" s="11">
        <v>5408.98</v>
      </c>
      <c r="E369" s="36">
        <v>35.83</v>
      </c>
      <c r="F369" s="36">
        <v>62.69</v>
      </c>
    </row>
    <row r="370" spans="1:6" x14ac:dyDescent="0.25">
      <c r="A370" s="5">
        <v>367</v>
      </c>
      <c r="B370" s="11">
        <v>86767.01</v>
      </c>
      <c r="C370" s="11">
        <v>11868</v>
      </c>
      <c r="D370" s="11">
        <v>-1364.99</v>
      </c>
      <c r="E370" s="36">
        <v>33.65</v>
      </c>
      <c r="F370" s="36">
        <v>50.73</v>
      </c>
    </row>
    <row r="371" spans="1:6" x14ac:dyDescent="0.25">
      <c r="A371" s="5">
        <v>368</v>
      </c>
      <c r="B371" s="11">
        <v>102188.56</v>
      </c>
      <c r="C371" s="11">
        <v>50.58</v>
      </c>
      <c r="D371" s="11">
        <v>2239.14</v>
      </c>
      <c r="E371" s="36">
        <v>49.54</v>
      </c>
      <c r="F371" s="36">
        <v>88.31</v>
      </c>
    </row>
    <row r="372" spans="1:6" x14ac:dyDescent="0.25">
      <c r="A372" s="5">
        <v>369</v>
      </c>
      <c r="B372" s="11">
        <v>103439.75</v>
      </c>
      <c r="C372" s="11">
        <v>609.39</v>
      </c>
      <c r="D372" s="11">
        <v>4049.14</v>
      </c>
      <c r="E372" s="36">
        <v>48.12</v>
      </c>
      <c r="F372" s="36">
        <v>72.16</v>
      </c>
    </row>
    <row r="373" spans="1:6" x14ac:dyDescent="0.25">
      <c r="A373" s="5">
        <v>370</v>
      </c>
      <c r="B373" s="11">
        <v>101776.47</v>
      </c>
      <c r="C373" s="11">
        <v>366.42</v>
      </c>
      <c r="D373" s="11">
        <v>2142.89</v>
      </c>
      <c r="E373" s="36">
        <v>36.659999999999997</v>
      </c>
      <c r="F373" s="36">
        <v>64.11</v>
      </c>
    </row>
    <row r="374" spans="1:6" x14ac:dyDescent="0.25">
      <c r="A374" s="5">
        <v>371</v>
      </c>
      <c r="B374" s="11">
        <v>76917.52</v>
      </c>
      <c r="C374" s="11">
        <v>22357.3</v>
      </c>
      <c r="D374" s="11">
        <v>-725.18</v>
      </c>
      <c r="E374" s="36">
        <v>37.57</v>
      </c>
      <c r="F374" s="36">
        <v>73.650000000000006</v>
      </c>
    </row>
    <row r="375" spans="1:6" x14ac:dyDescent="0.25">
      <c r="A375" s="5">
        <v>372</v>
      </c>
      <c r="B375" s="11">
        <v>101230.25</v>
      </c>
      <c r="C375" s="11">
        <v>51.54</v>
      </c>
      <c r="D375" s="11">
        <v>1281.79</v>
      </c>
      <c r="E375" s="36">
        <v>47.2</v>
      </c>
      <c r="F375" s="36">
        <v>71.25</v>
      </c>
    </row>
    <row r="376" spans="1:6" x14ac:dyDescent="0.25">
      <c r="A376" s="5">
        <v>373</v>
      </c>
      <c r="B376" s="11">
        <v>102836.95</v>
      </c>
      <c r="C376" s="11">
        <v>65.14</v>
      </c>
      <c r="D376" s="11">
        <v>2902.09</v>
      </c>
      <c r="E376" s="36">
        <v>44.93</v>
      </c>
      <c r="F376" s="36">
        <v>75.56</v>
      </c>
    </row>
    <row r="377" spans="1:6" x14ac:dyDescent="0.25">
      <c r="A377" s="5">
        <v>374</v>
      </c>
      <c r="B377" s="11">
        <v>92254.14</v>
      </c>
      <c r="C377" s="11">
        <v>3138.14</v>
      </c>
      <c r="D377" s="11">
        <v>-4607.72</v>
      </c>
      <c r="E377" s="36">
        <v>33.4</v>
      </c>
      <c r="F377" s="36">
        <v>50</v>
      </c>
    </row>
    <row r="378" spans="1:6" x14ac:dyDescent="0.25">
      <c r="A378" s="5">
        <v>375</v>
      </c>
      <c r="B378" s="11">
        <v>106457.01</v>
      </c>
      <c r="C378" s="11">
        <v>7369.71</v>
      </c>
      <c r="D378" s="11">
        <v>13826.72</v>
      </c>
      <c r="E378" s="36">
        <v>40.700000000000003</v>
      </c>
      <c r="F378" s="36">
        <v>59.87</v>
      </c>
    </row>
    <row r="379" spans="1:6" x14ac:dyDescent="0.25">
      <c r="A379" s="5">
        <v>376</v>
      </c>
      <c r="B379" s="11">
        <v>73017.429999999993</v>
      </c>
      <c r="C379" s="11">
        <v>10639.11</v>
      </c>
      <c r="D379" s="11">
        <v>-16343.46</v>
      </c>
      <c r="E379" s="36">
        <v>26.31</v>
      </c>
      <c r="F379" s="36">
        <v>52.14</v>
      </c>
    </row>
    <row r="380" spans="1:6" x14ac:dyDescent="0.25">
      <c r="A380" s="5">
        <v>377</v>
      </c>
      <c r="B380" s="11">
        <v>28963.38</v>
      </c>
      <c r="C380" s="11">
        <v>60204</v>
      </c>
      <c r="D380" s="11">
        <v>-10832.62</v>
      </c>
      <c r="E380" s="36">
        <v>32.71</v>
      </c>
      <c r="F380" s="36">
        <v>61.28</v>
      </c>
    </row>
    <row r="381" spans="1:6" x14ac:dyDescent="0.25">
      <c r="A381" s="5">
        <v>378</v>
      </c>
      <c r="B381" s="11">
        <v>104818.95</v>
      </c>
      <c r="C381" s="11">
        <v>417.06</v>
      </c>
      <c r="D381" s="11">
        <v>5236.01</v>
      </c>
      <c r="E381" s="36">
        <v>49.85</v>
      </c>
      <c r="F381" s="36">
        <v>81.48</v>
      </c>
    </row>
    <row r="382" spans="1:6" x14ac:dyDescent="0.25">
      <c r="A382" s="5">
        <v>379</v>
      </c>
      <c r="B382" s="11">
        <v>97665.7</v>
      </c>
      <c r="C382" s="11">
        <v>1668.8</v>
      </c>
      <c r="D382" s="11">
        <v>-665.5</v>
      </c>
      <c r="E382" s="36">
        <v>40.770000000000003</v>
      </c>
      <c r="F382" s="36">
        <v>68.959999999999994</v>
      </c>
    </row>
    <row r="383" spans="1:6" x14ac:dyDescent="0.25">
      <c r="A383" s="5">
        <v>380</v>
      </c>
      <c r="B383" s="11">
        <v>98732.02</v>
      </c>
      <c r="C383" s="11">
        <v>4004.44</v>
      </c>
      <c r="D383" s="11">
        <v>2736.46</v>
      </c>
      <c r="E383" s="36">
        <v>45.14</v>
      </c>
      <c r="F383" s="36">
        <v>66.760000000000005</v>
      </c>
    </row>
    <row r="384" spans="1:6" x14ac:dyDescent="0.25">
      <c r="A384" s="5">
        <v>381</v>
      </c>
      <c r="B384" s="11">
        <v>77202.91</v>
      </c>
      <c r="C384" s="11">
        <v>13436.56</v>
      </c>
      <c r="D384" s="11">
        <v>-9360.5300000000007</v>
      </c>
      <c r="E384" s="36">
        <v>28.65</v>
      </c>
      <c r="F384" s="36">
        <v>53.41</v>
      </c>
    </row>
    <row r="385" spans="1:6" x14ac:dyDescent="0.25">
      <c r="A385" s="5">
        <v>382</v>
      </c>
      <c r="B385" s="11">
        <v>100608.59</v>
      </c>
      <c r="C385" s="11">
        <v>1401.28</v>
      </c>
      <c r="D385" s="11">
        <v>2009.87</v>
      </c>
      <c r="E385" s="36">
        <v>36.74</v>
      </c>
      <c r="F385" s="36">
        <v>56.04</v>
      </c>
    </row>
    <row r="386" spans="1:6" x14ac:dyDescent="0.25">
      <c r="A386" s="5">
        <v>383</v>
      </c>
      <c r="B386" s="11">
        <v>101150.27</v>
      </c>
      <c r="C386" s="11">
        <v>1911.69</v>
      </c>
      <c r="D386" s="11">
        <v>3061.96</v>
      </c>
      <c r="E386" s="36">
        <v>43.81</v>
      </c>
      <c r="F386" s="36">
        <v>65.569999999999993</v>
      </c>
    </row>
    <row r="387" spans="1:6" x14ac:dyDescent="0.25">
      <c r="A387" s="5">
        <v>384</v>
      </c>
      <c r="B387" s="11">
        <v>103923.3</v>
      </c>
      <c r="C387" s="11">
        <v>58.73</v>
      </c>
      <c r="D387" s="11">
        <v>3982.03</v>
      </c>
      <c r="E387" s="36">
        <v>45.24</v>
      </c>
      <c r="F387" s="36">
        <v>72.59</v>
      </c>
    </row>
    <row r="388" spans="1:6" x14ac:dyDescent="0.25">
      <c r="A388" s="5">
        <v>385</v>
      </c>
      <c r="B388" s="11">
        <v>18.329999999999998</v>
      </c>
      <c r="C388" s="11">
        <v>60708.66</v>
      </c>
      <c r="D388" s="11">
        <v>-39273.01</v>
      </c>
      <c r="E388" s="36">
        <v>20.420000000000002</v>
      </c>
      <c r="F388" s="36">
        <v>53.6</v>
      </c>
    </row>
    <row r="389" spans="1:6" x14ac:dyDescent="0.25">
      <c r="A389" s="5">
        <v>386</v>
      </c>
      <c r="B389" s="11">
        <v>91786.31</v>
      </c>
      <c r="C389" s="11">
        <v>9352.2800000000007</v>
      </c>
      <c r="D389" s="11">
        <v>1138.5899999999999</v>
      </c>
      <c r="E389" s="36">
        <v>35.47</v>
      </c>
      <c r="F389" s="36">
        <v>58.94</v>
      </c>
    </row>
    <row r="390" spans="1:6" x14ac:dyDescent="0.25">
      <c r="A390" s="5">
        <v>387</v>
      </c>
      <c r="B390" s="11">
        <v>102071.66</v>
      </c>
      <c r="C390" s="11">
        <v>2131.5100000000002</v>
      </c>
      <c r="D390" s="11">
        <v>4203.17</v>
      </c>
      <c r="E390" s="36">
        <v>47.13</v>
      </c>
      <c r="F390" s="36">
        <v>63.02</v>
      </c>
    </row>
    <row r="391" spans="1:6" x14ac:dyDescent="0.25">
      <c r="A391" s="5">
        <v>388</v>
      </c>
      <c r="B391" s="11">
        <v>104520.41</v>
      </c>
      <c r="C391" s="11">
        <v>1478.25</v>
      </c>
      <c r="D391" s="11">
        <v>5998.66</v>
      </c>
      <c r="E391" s="36">
        <v>47.81</v>
      </c>
      <c r="F391" s="36">
        <v>68.61</v>
      </c>
    </row>
    <row r="392" spans="1:6" x14ac:dyDescent="0.25">
      <c r="A392" s="5">
        <v>389</v>
      </c>
      <c r="B392" s="11">
        <v>93766.48</v>
      </c>
      <c r="C392" s="11">
        <v>12081.16</v>
      </c>
      <c r="D392" s="11">
        <v>5847.64</v>
      </c>
      <c r="E392" s="36">
        <v>26.08</v>
      </c>
      <c r="F392" s="36">
        <v>52.69</v>
      </c>
    </row>
    <row r="393" spans="1:6" x14ac:dyDescent="0.25">
      <c r="A393" s="5">
        <v>390</v>
      </c>
      <c r="B393" s="11">
        <v>97955.53</v>
      </c>
      <c r="C393" s="11">
        <v>57.87</v>
      </c>
      <c r="D393" s="11">
        <v>-1986.6</v>
      </c>
      <c r="E393" s="36">
        <v>36.86</v>
      </c>
      <c r="F393" s="36">
        <v>58.21</v>
      </c>
    </row>
    <row r="394" spans="1:6" x14ac:dyDescent="0.25">
      <c r="A394" s="5">
        <v>391</v>
      </c>
      <c r="B394" s="11">
        <v>79922.820000000007</v>
      </c>
      <c r="C394" s="11">
        <v>19943.55</v>
      </c>
      <c r="D394" s="11">
        <v>-133.63</v>
      </c>
      <c r="E394" s="36">
        <v>36.01</v>
      </c>
      <c r="F394" s="36">
        <v>60.3</v>
      </c>
    </row>
    <row r="395" spans="1:6" x14ac:dyDescent="0.25">
      <c r="A395" s="5">
        <v>392</v>
      </c>
      <c r="B395" s="11">
        <v>127365.13</v>
      </c>
      <c r="C395" s="11">
        <v>4420.0200000000004</v>
      </c>
      <c r="D395" s="11">
        <v>31785.15</v>
      </c>
      <c r="E395" s="36">
        <v>50</v>
      </c>
      <c r="F395" s="36">
        <v>75.599999999999994</v>
      </c>
    </row>
    <row r="396" spans="1:6" x14ac:dyDescent="0.25">
      <c r="A396" s="5">
        <v>393</v>
      </c>
      <c r="B396" s="11">
        <v>96945.84</v>
      </c>
      <c r="C396" s="11">
        <v>66.62</v>
      </c>
      <c r="D396" s="11">
        <v>-2987.54</v>
      </c>
      <c r="E396" s="36">
        <v>35.25</v>
      </c>
      <c r="F396" s="36">
        <v>66.63</v>
      </c>
    </row>
    <row r="397" spans="1:6" x14ac:dyDescent="0.25">
      <c r="A397" s="5">
        <v>394</v>
      </c>
      <c r="B397" s="11">
        <v>103377.19</v>
      </c>
      <c r="C397" s="11">
        <v>799.5</v>
      </c>
      <c r="D397" s="11">
        <v>4176.6899999999996</v>
      </c>
      <c r="E397" s="36">
        <v>48.74</v>
      </c>
      <c r="F397" s="36">
        <v>70.91</v>
      </c>
    </row>
    <row r="398" spans="1:6" x14ac:dyDescent="0.25">
      <c r="A398" s="5">
        <v>395</v>
      </c>
      <c r="B398" s="11">
        <v>56419.33</v>
      </c>
      <c r="C398" s="11">
        <v>50965.599999999999</v>
      </c>
      <c r="D398" s="11">
        <v>7384.93</v>
      </c>
      <c r="E398" s="36">
        <v>34.46</v>
      </c>
      <c r="F398" s="36">
        <v>54.51</v>
      </c>
    </row>
    <row r="399" spans="1:6" x14ac:dyDescent="0.25">
      <c r="A399" s="5">
        <v>396</v>
      </c>
      <c r="B399" s="11">
        <v>566.99</v>
      </c>
      <c r="C399" s="11">
        <v>71696.800000000003</v>
      </c>
      <c r="D399" s="11">
        <v>-27736.21</v>
      </c>
      <c r="E399" s="36">
        <v>28.51</v>
      </c>
      <c r="F399" s="36">
        <v>56.07</v>
      </c>
    </row>
    <row r="400" spans="1:6" x14ac:dyDescent="0.25">
      <c r="A400" s="5">
        <v>397</v>
      </c>
      <c r="B400" s="11">
        <v>101787.84</v>
      </c>
      <c r="C400" s="11">
        <v>145.24</v>
      </c>
      <c r="D400" s="11">
        <v>1933.08</v>
      </c>
      <c r="E400" s="36">
        <v>33.479999999999997</v>
      </c>
      <c r="F400" s="36">
        <v>56.47</v>
      </c>
    </row>
    <row r="401" spans="1:6" x14ac:dyDescent="0.25">
      <c r="A401" s="5">
        <v>398</v>
      </c>
      <c r="B401" s="11">
        <v>103292.09</v>
      </c>
      <c r="C401" s="11">
        <v>58.28</v>
      </c>
      <c r="D401" s="11">
        <v>3350.37</v>
      </c>
      <c r="E401" s="36">
        <v>35.630000000000003</v>
      </c>
      <c r="F401" s="36">
        <v>64.5</v>
      </c>
    </row>
    <row r="402" spans="1:6" x14ac:dyDescent="0.25">
      <c r="A402" s="5">
        <v>399</v>
      </c>
      <c r="B402" s="11">
        <v>104986.17</v>
      </c>
      <c r="C402" s="11">
        <v>65.95</v>
      </c>
      <c r="D402" s="11">
        <v>5052.12</v>
      </c>
      <c r="E402" s="36">
        <v>50</v>
      </c>
      <c r="F402" s="36">
        <v>69.7</v>
      </c>
    </row>
    <row r="403" spans="1:6" x14ac:dyDescent="0.25">
      <c r="A403" s="5">
        <v>400</v>
      </c>
      <c r="B403" s="11">
        <v>98503.28</v>
      </c>
      <c r="C403" s="11">
        <v>1752.66</v>
      </c>
      <c r="D403" s="11">
        <v>255.94</v>
      </c>
      <c r="E403" s="36">
        <v>37.43</v>
      </c>
      <c r="F403" s="36">
        <v>50.12</v>
      </c>
    </row>
    <row r="404" spans="1:6" x14ac:dyDescent="0.25">
      <c r="A404" s="5">
        <v>401</v>
      </c>
      <c r="B404" s="11">
        <v>49920.14</v>
      </c>
      <c r="C404" s="11">
        <v>53281.96</v>
      </c>
      <c r="D404" s="11">
        <v>3202.1</v>
      </c>
      <c r="E404" s="36">
        <v>41.54</v>
      </c>
      <c r="F404" s="36">
        <v>64.48</v>
      </c>
    </row>
    <row r="405" spans="1:6" x14ac:dyDescent="0.25">
      <c r="A405" s="5">
        <v>402</v>
      </c>
      <c r="B405" s="11">
        <v>99242.6</v>
      </c>
      <c r="C405" s="11">
        <v>1942.08</v>
      </c>
      <c r="D405" s="11">
        <v>1184.68</v>
      </c>
      <c r="E405" s="36">
        <v>34.19</v>
      </c>
      <c r="F405" s="36">
        <v>56.46</v>
      </c>
    </row>
    <row r="406" spans="1:6" x14ac:dyDescent="0.25">
      <c r="A406" s="5">
        <v>403</v>
      </c>
      <c r="B406" s="11">
        <v>104671.96</v>
      </c>
      <c r="C406" s="11">
        <v>69.53</v>
      </c>
      <c r="D406" s="11">
        <v>4741.49</v>
      </c>
      <c r="E406" s="36">
        <v>47.36</v>
      </c>
      <c r="F406" s="36">
        <v>81.239999999999995</v>
      </c>
    </row>
    <row r="407" spans="1:6" x14ac:dyDescent="0.25">
      <c r="A407" s="5">
        <v>404</v>
      </c>
      <c r="B407" s="11">
        <v>102928.82</v>
      </c>
      <c r="C407" s="11">
        <v>155</v>
      </c>
      <c r="D407" s="11">
        <v>3083.82</v>
      </c>
      <c r="E407" s="36">
        <v>44.83</v>
      </c>
      <c r="F407" s="36">
        <v>77.5</v>
      </c>
    </row>
    <row r="408" spans="1:6" x14ac:dyDescent="0.25">
      <c r="A408" s="5">
        <v>405</v>
      </c>
      <c r="B408" s="11">
        <v>101831.7</v>
      </c>
      <c r="C408" s="11">
        <v>49.3</v>
      </c>
      <c r="D408" s="11">
        <v>1881</v>
      </c>
      <c r="E408" s="36">
        <v>45.91</v>
      </c>
      <c r="F408" s="36">
        <v>57.43</v>
      </c>
    </row>
    <row r="409" spans="1:6" x14ac:dyDescent="0.25">
      <c r="A409" s="5">
        <v>406</v>
      </c>
      <c r="B409" s="11">
        <v>72197.02</v>
      </c>
      <c r="C409" s="11">
        <v>748.8</v>
      </c>
      <c r="D409" s="11">
        <v>-27054.18</v>
      </c>
      <c r="E409" s="36">
        <v>26.52</v>
      </c>
      <c r="F409" s="36">
        <v>50.21</v>
      </c>
    </row>
    <row r="410" spans="1:6" x14ac:dyDescent="0.25">
      <c r="A410" s="5">
        <v>407</v>
      </c>
      <c r="B410" s="11">
        <v>75233.31</v>
      </c>
      <c r="C410" s="11">
        <v>30567.68</v>
      </c>
      <c r="D410" s="11">
        <v>5800.99</v>
      </c>
      <c r="E410" s="36">
        <v>33.6</v>
      </c>
      <c r="F410" s="36">
        <v>54.98</v>
      </c>
    </row>
    <row r="411" spans="1:6" x14ac:dyDescent="0.25">
      <c r="A411" s="5">
        <v>408</v>
      </c>
      <c r="B411" s="11">
        <v>97351.42</v>
      </c>
      <c r="C411" s="11">
        <v>5631.6</v>
      </c>
      <c r="D411" s="11">
        <v>2983.02</v>
      </c>
      <c r="E411" s="36">
        <v>47.26</v>
      </c>
      <c r="F411" s="36">
        <v>66.92</v>
      </c>
    </row>
    <row r="412" spans="1:6" x14ac:dyDescent="0.25">
      <c r="A412" s="5">
        <v>409</v>
      </c>
      <c r="B412" s="11">
        <v>102978.64</v>
      </c>
      <c r="C412" s="11">
        <v>66.95</v>
      </c>
      <c r="D412" s="11">
        <v>3045.59</v>
      </c>
      <c r="E412" s="36">
        <v>49.14</v>
      </c>
      <c r="F412" s="36">
        <v>95.1</v>
      </c>
    </row>
    <row r="413" spans="1:6" x14ac:dyDescent="0.25">
      <c r="A413" s="5">
        <v>410</v>
      </c>
      <c r="B413" s="11">
        <v>100942.52</v>
      </c>
      <c r="C413" s="11">
        <v>1879.36</v>
      </c>
      <c r="D413" s="11">
        <v>2821.88</v>
      </c>
      <c r="E413" s="36">
        <v>41.35</v>
      </c>
      <c r="F413" s="36">
        <v>65</v>
      </c>
    </row>
    <row r="414" spans="1:6" x14ac:dyDescent="0.25">
      <c r="A414" s="5">
        <v>411</v>
      </c>
      <c r="B414" s="11">
        <v>94253.71</v>
      </c>
      <c r="C414" s="11">
        <v>9505.6</v>
      </c>
      <c r="D414" s="11">
        <v>3759.31</v>
      </c>
      <c r="E414" s="36">
        <v>41.84</v>
      </c>
      <c r="F414" s="36">
        <v>63.96</v>
      </c>
    </row>
    <row r="415" spans="1:6" x14ac:dyDescent="0.25">
      <c r="A415" s="5">
        <v>412</v>
      </c>
      <c r="B415" s="11">
        <v>89735.46</v>
      </c>
      <c r="C415" s="11">
        <v>15697.3</v>
      </c>
      <c r="D415" s="11">
        <v>5432.76</v>
      </c>
      <c r="E415" s="36">
        <v>39.19</v>
      </c>
      <c r="F415" s="36">
        <v>51.42</v>
      </c>
    </row>
    <row r="416" spans="1:6" x14ac:dyDescent="0.25">
      <c r="A416" s="5">
        <v>413</v>
      </c>
      <c r="B416" s="11">
        <v>100474.86</v>
      </c>
      <c r="C416" s="11">
        <v>47.56</v>
      </c>
      <c r="D416" s="11">
        <v>522.41999999999996</v>
      </c>
      <c r="E416" s="36">
        <v>38.58</v>
      </c>
      <c r="F416" s="36">
        <v>57.55</v>
      </c>
    </row>
    <row r="417" spans="1:6" x14ac:dyDescent="0.25">
      <c r="A417" s="5">
        <v>414</v>
      </c>
      <c r="B417" s="11">
        <v>108770.82</v>
      </c>
      <c r="C417" s="11">
        <v>1391.58</v>
      </c>
      <c r="D417" s="11">
        <v>10162.4</v>
      </c>
      <c r="E417" s="36">
        <v>44.62</v>
      </c>
      <c r="F417" s="36">
        <v>77.31</v>
      </c>
    </row>
    <row r="418" spans="1:6" x14ac:dyDescent="0.25">
      <c r="A418" s="5">
        <v>415</v>
      </c>
      <c r="B418" s="11">
        <v>102993.61</v>
      </c>
      <c r="C418" s="11">
        <v>575.20000000000005</v>
      </c>
      <c r="D418" s="11">
        <v>3568.81</v>
      </c>
      <c r="E418" s="36">
        <v>50</v>
      </c>
      <c r="F418" s="36">
        <v>75.400000000000006</v>
      </c>
    </row>
    <row r="419" spans="1:6" x14ac:dyDescent="0.25">
      <c r="A419" s="5">
        <v>416</v>
      </c>
      <c r="B419" s="11">
        <v>113646.25</v>
      </c>
      <c r="C419" s="11">
        <v>1698.2</v>
      </c>
      <c r="D419" s="11">
        <v>15344.45</v>
      </c>
      <c r="E419" s="36">
        <v>43.15</v>
      </c>
      <c r="F419" s="36">
        <v>65.239999999999995</v>
      </c>
    </row>
    <row r="420" spans="1:6" x14ac:dyDescent="0.25">
      <c r="A420" s="5">
        <v>417</v>
      </c>
      <c r="B420" s="11">
        <v>108153.05</v>
      </c>
      <c r="C420" s="11">
        <v>1645.19</v>
      </c>
      <c r="D420" s="11">
        <v>9798.24</v>
      </c>
      <c r="E420" s="36">
        <v>41.06</v>
      </c>
      <c r="F420" s="36">
        <v>80.25</v>
      </c>
    </row>
    <row r="421" spans="1:6" x14ac:dyDescent="0.25">
      <c r="A421" s="5">
        <v>418</v>
      </c>
      <c r="B421" s="11">
        <v>102226.16</v>
      </c>
      <c r="C421" s="11">
        <v>41.51</v>
      </c>
      <c r="D421" s="11">
        <v>2267.67</v>
      </c>
      <c r="E421" s="36">
        <v>38.51</v>
      </c>
      <c r="F421" s="36">
        <v>62.51</v>
      </c>
    </row>
    <row r="422" spans="1:6" x14ac:dyDescent="0.25">
      <c r="A422" s="5">
        <v>419</v>
      </c>
      <c r="B422" s="11">
        <v>101000.22</v>
      </c>
      <c r="C422" s="11">
        <v>3360.72</v>
      </c>
      <c r="D422" s="11">
        <v>4360.9399999999996</v>
      </c>
      <c r="E422" s="36">
        <v>34.42</v>
      </c>
      <c r="F422" s="36">
        <v>50</v>
      </c>
    </row>
    <row r="423" spans="1:6" x14ac:dyDescent="0.25">
      <c r="A423" s="5">
        <v>420</v>
      </c>
      <c r="B423" s="11">
        <v>103300.57</v>
      </c>
      <c r="C423" s="11">
        <v>102.13</v>
      </c>
      <c r="D423" s="11">
        <v>3402.7</v>
      </c>
      <c r="E423" s="36">
        <v>50</v>
      </c>
      <c r="F423" s="36">
        <v>119.47</v>
      </c>
    </row>
    <row r="424" spans="1:6" x14ac:dyDescent="0.25">
      <c r="A424" s="5">
        <v>421</v>
      </c>
      <c r="B424" s="11">
        <v>98495.59</v>
      </c>
      <c r="C424" s="11">
        <v>9871.83</v>
      </c>
      <c r="D424" s="11">
        <v>8367.42</v>
      </c>
      <c r="E424" s="36">
        <v>31.94</v>
      </c>
      <c r="F424" s="36">
        <v>53.63</v>
      </c>
    </row>
    <row r="425" spans="1:6" x14ac:dyDescent="0.25">
      <c r="A425" s="5">
        <v>422</v>
      </c>
      <c r="B425" s="11">
        <v>99128.58</v>
      </c>
      <c r="C425" s="11">
        <v>7751.78</v>
      </c>
      <c r="D425" s="11">
        <v>6880.36</v>
      </c>
      <c r="E425" s="36">
        <v>42.29</v>
      </c>
      <c r="F425" s="36">
        <v>61.99</v>
      </c>
    </row>
    <row r="426" spans="1:6" x14ac:dyDescent="0.25">
      <c r="A426" s="5">
        <v>423</v>
      </c>
      <c r="B426" s="11">
        <v>104090.78</v>
      </c>
      <c r="C426" s="11">
        <v>203.82</v>
      </c>
      <c r="D426" s="11">
        <v>4294.6000000000004</v>
      </c>
      <c r="E426" s="36">
        <v>48.17</v>
      </c>
      <c r="F426" s="36">
        <v>70.78</v>
      </c>
    </row>
    <row r="427" spans="1:6" x14ac:dyDescent="0.25">
      <c r="A427" s="5">
        <v>424</v>
      </c>
      <c r="B427" s="11">
        <v>83529.179999999993</v>
      </c>
      <c r="C427" s="11">
        <v>17495.84</v>
      </c>
      <c r="D427" s="11">
        <v>1025.02</v>
      </c>
      <c r="E427" s="36">
        <v>43.84</v>
      </c>
      <c r="F427" s="36">
        <v>57.78</v>
      </c>
    </row>
    <row r="428" spans="1:6" x14ac:dyDescent="0.25">
      <c r="A428" s="5">
        <v>425</v>
      </c>
      <c r="B428" s="11">
        <v>101205.41</v>
      </c>
      <c r="C428" s="11">
        <v>68.55</v>
      </c>
      <c r="D428" s="11">
        <v>1273.96</v>
      </c>
      <c r="E428" s="36">
        <v>48.51</v>
      </c>
      <c r="F428" s="36">
        <v>70.489999999999995</v>
      </c>
    </row>
    <row r="429" spans="1:6" x14ac:dyDescent="0.25">
      <c r="A429" s="5">
        <v>426</v>
      </c>
      <c r="B429" s="11">
        <v>59184.42</v>
      </c>
      <c r="C429" s="11">
        <v>51163.64</v>
      </c>
      <c r="D429" s="11">
        <v>10348.06</v>
      </c>
      <c r="E429" s="36">
        <v>46.5</v>
      </c>
      <c r="F429" s="36">
        <v>62.84</v>
      </c>
    </row>
    <row r="430" spans="1:6" x14ac:dyDescent="0.25">
      <c r="A430" s="5">
        <v>427</v>
      </c>
      <c r="B430" s="11">
        <v>88906.91</v>
      </c>
      <c r="C430" s="11">
        <v>11938.08</v>
      </c>
      <c r="D430" s="11">
        <v>844.99</v>
      </c>
      <c r="E430" s="36">
        <v>42.37</v>
      </c>
      <c r="F430" s="36">
        <v>74.91</v>
      </c>
    </row>
    <row r="431" spans="1:6" x14ac:dyDescent="0.25">
      <c r="A431" s="5">
        <v>428</v>
      </c>
      <c r="B431" s="11">
        <v>103273.92</v>
      </c>
      <c r="C431" s="11">
        <v>2599.98</v>
      </c>
      <c r="D431" s="11">
        <v>5873.9</v>
      </c>
      <c r="E431" s="36">
        <v>47.58</v>
      </c>
      <c r="F431" s="36">
        <v>73.22</v>
      </c>
    </row>
    <row r="432" spans="1:6" x14ac:dyDescent="0.25">
      <c r="A432" s="5">
        <v>429</v>
      </c>
      <c r="B432" s="11">
        <v>67883.5</v>
      </c>
      <c r="C432" s="11">
        <v>46789.14</v>
      </c>
      <c r="D432" s="11">
        <v>14672.64</v>
      </c>
      <c r="E432" s="36">
        <v>44.19</v>
      </c>
      <c r="F432" s="36">
        <v>71.22</v>
      </c>
    </row>
    <row r="433" spans="1:6" x14ac:dyDescent="0.25">
      <c r="A433" s="5">
        <v>430</v>
      </c>
      <c r="B433" s="11">
        <v>102444.65</v>
      </c>
      <c r="C433" s="11">
        <v>55.51</v>
      </c>
      <c r="D433" s="11">
        <v>2500.16</v>
      </c>
      <c r="E433" s="36">
        <v>50</v>
      </c>
      <c r="F433" s="36">
        <v>65.44</v>
      </c>
    </row>
    <row r="434" spans="1:6" x14ac:dyDescent="0.25">
      <c r="A434" s="5">
        <v>431</v>
      </c>
      <c r="B434" s="11">
        <v>105017.03</v>
      </c>
      <c r="C434" s="11">
        <v>762.36</v>
      </c>
      <c r="D434" s="11">
        <v>5779.39</v>
      </c>
      <c r="E434" s="36">
        <v>39.28</v>
      </c>
      <c r="F434" s="36">
        <v>67.33</v>
      </c>
    </row>
    <row r="435" spans="1:6" x14ac:dyDescent="0.25">
      <c r="A435" s="5">
        <v>432</v>
      </c>
      <c r="B435" s="11">
        <v>64068.38</v>
      </c>
      <c r="C435" s="11">
        <v>12278.58</v>
      </c>
      <c r="D435" s="11">
        <v>-23653.040000000001</v>
      </c>
      <c r="E435" s="36">
        <v>30.38</v>
      </c>
      <c r="F435" s="36">
        <v>57.82</v>
      </c>
    </row>
    <row r="436" spans="1:6" x14ac:dyDescent="0.25">
      <c r="A436" s="5">
        <v>433</v>
      </c>
      <c r="B436" s="11">
        <v>101977.47</v>
      </c>
      <c r="C436" s="11">
        <v>1303.68</v>
      </c>
      <c r="D436" s="11">
        <v>3281.15</v>
      </c>
      <c r="E436" s="36">
        <v>39.78</v>
      </c>
      <c r="F436" s="36">
        <v>63.95</v>
      </c>
    </row>
    <row r="437" spans="1:6" x14ac:dyDescent="0.25">
      <c r="A437" s="5">
        <v>434</v>
      </c>
      <c r="B437" s="11">
        <v>12.04</v>
      </c>
      <c r="C437" s="11">
        <v>70884.66</v>
      </c>
      <c r="D437" s="11">
        <v>-29103.3</v>
      </c>
      <c r="E437" s="36">
        <v>24.33</v>
      </c>
      <c r="F437" s="36">
        <v>51.12</v>
      </c>
    </row>
    <row r="438" spans="1:6" x14ac:dyDescent="0.25">
      <c r="A438" s="5">
        <v>435</v>
      </c>
      <c r="B438" s="11">
        <v>106012.51</v>
      </c>
      <c r="C438" s="11">
        <v>1956.9</v>
      </c>
      <c r="D438" s="11">
        <v>7969.41</v>
      </c>
      <c r="E438" s="36">
        <v>43.88</v>
      </c>
      <c r="F438" s="36">
        <v>67.86</v>
      </c>
    </row>
    <row r="439" spans="1:6" x14ac:dyDescent="0.25">
      <c r="A439" s="5">
        <v>436</v>
      </c>
      <c r="B439" s="11">
        <v>98831.02</v>
      </c>
      <c r="C439" s="11">
        <v>33.520000000000003</v>
      </c>
      <c r="D439" s="11">
        <v>-1135.46</v>
      </c>
      <c r="E439" s="36">
        <v>29.62</v>
      </c>
      <c r="F439" s="36">
        <v>53.34</v>
      </c>
    </row>
    <row r="440" spans="1:6" x14ac:dyDescent="0.25">
      <c r="A440" s="5">
        <v>437</v>
      </c>
      <c r="B440" s="11">
        <v>103523.86</v>
      </c>
      <c r="C440" s="11">
        <v>56.51</v>
      </c>
      <c r="D440" s="11">
        <v>3580.37</v>
      </c>
      <c r="E440" s="36">
        <v>38.29</v>
      </c>
      <c r="F440" s="36">
        <v>68.8</v>
      </c>
    </row>
    <row r="441" spans="1:6" x14ac:dyDescent="0.25">
      <c r="A441" s="5">
        <v>438</v>
      </c>
      <c r="B441" s="11">
        <v>78530.149999999994</v>
      </c>
      <c r="C441" s="11">
        <v>51.85</v>
      </c>
      <c r="D441" s="11">
        <v>-21418</v>
      </c>
      <c r="E441" s="36">
        <v>28.94</v>
      </c>
      <c r="F441" s="36">
        <v>51.85</v>
      </c>
    </row>
    <row r="442" spans="1:6" x14ac:dyDescent="0.25">
      <c r="A442" s="5">
        <v>439</v>
      </c>
      <c r="B442" s="11">
        <v>91773.69</v>
      </c>
      <c r="C442" s="11">
        <v>1211.4000000000001</v>
      </c>
      <c r="D442" s="11">
        <v>-7014.91</v>
      </c>
      <c r="E442" s="36">
        <v>36.15</v>
      </c>
      <c r="F442" s="36">
        <v>60.57</v>
      </c>
    </row>
    <row r="443" spans="1:6" x14ac:dyDescent="0.25">
      <c r="A443" s="5">
        <v>440</v>
      </c>
      <c r="B443" s="11">
        <v>101218.68</v>
      </c>
      <c r="C443" s="11">
        <v>265.26</v>
      </c>
      <c r="D443" s="11">
        <v>1483.94</v>
      </c>
      <c r="E443" s="36">
        <v>40.67</v>
      </c>
      <c r="F443" s="36">
        <v>55.86</v>
      </c>
    </row>
    <row r="444" spans="1:6" x14ac:dyDescent="0.25">
      <c r="A444" s="5">
        <v>441</v>
      </c>
      <c r="B444" s="11">
        <v>89246.83</v>
      </c>
      <c r="C444" s="11">
        <v>5586</v>
      </c>
      <c r="D444" s="11">
        <v>-5167.17</v>
      </c>
      <c r="E444" s="36">
        <v>33.409999999999997</v>
      </c>
      <c r="F444" s="36">
        <v>50</v>
      </c>
    </row>
    <row r="445" spans="1:6" x14ac:dyDescent="0.25">
      <c r="A445" s="5">
        <v>442</v>
      </c>
      <c r="B445" s="11">
        <v>91183.98</v>
      </c>
      <c r="C445" s="11">
        <v>11025.56</v>
      </c>
      <c r="D445" s="11">
        <v>2209.54</v>
      </c>
      <c r="E445" s="36">
        <v>49.79</v>
      </c>
      <c r="F445" s="36">
        <v>84.84</v>
      </c>
    </row>
    <row r="446" spans="1:6" x14ac:dyDescent="0.25">
      <c r="A446" s="5">
        <v>443</v>
      </c>
      <c r="B446" s="11">
        <v>65302.9</v>
      </c>
      <c r="C446" s="11">
        <v>44744.639999999999</v>
      </c>
      <c r="D446" s="11">
        <v>10047.540000000001</v>
      </c>
      <c r="E446" s="36">
        <v>46.11</v>
      </c>
      <c r="F446" s="36">
        <v>79.75</v>
      </c>
    </row>
    <row r="447" spans="1:6" x14ac:dyDescent="0.25">
      <c r="A447" s="5">
        <v>444</v>
      </c>
      <c r="B447" s="11">
        <v>88980.44</v>
      </c>
      <c r="C447" s="11">
        <v>13271.4</v>
      </c>
      <c r="D447" s="11">
        <v>2251.84</v>
      </c>
      <c r="E447" s="36">
        <v>31.45</v>
      </c>
      <c r="F447" s="36">
        <v>58.76</v>
      </c>
    </row>
    <row r="448" spans="1:6" x14ac:dyDescent="0.25">
      <c r="A448" s="5">
        <v>445</v>
      </c>
      <c r="B448" s="11">
        <v>95745.17</v>
      </c>
      <c r="C448" s="11">
        <v>5506.8</v>
      </c>
      <c r="D448" s="11">
        <v>1251.97</v>
      </c>
      <c r="E448" s="36">
        <v>37.479999999999997</v>
      </c>
      <c r="F448" s="36">
        <v>50.67</v>
      </c>
    </row>
    <row r="449" spans="1:6" x14ac:dyDescent="0.25">
      <c r="A449" s="5">
        <v>446</v>
      </c>
      <c r="B449" s="11">
        <v>48779.93</v>
      </c>
      <c r="C449" s="11">
        <v>48639.68</v>
      </c>
      <c r="D449" s="11">
        <v>-2580.39</v>
      </c>
      <c r="E449" s="36">
        <v>30.19</v>
      </c>
      <c r="F449" s="36">
        <v>54.09</v>
      </c>
    </row>
    <row r="450" spans="1:6" x14ac:dyDescent="0.25">
      <c r="A450" s="5">
        <v>447</v>
      </c>
      <c r="B450" s="11">
        <v>16755.03</v>
      </c>
      <c r="C450" s="11">
        <v>67817.11</v>
      </c>
      <c r="D450" s="11">
        <v>-15427.86</v>
      </c>
      <c r="E450" s="36">
        <v>30.14</v>
      </c>
      <c r="F450" s="36">
        <v>54.79</v>
      </c>
    </row>
    <row r="451" spans="1:6" x14ac:dyDescent="0.25">
      <c r="A451" s="5">
        <v>448</v>
      </c>
      <c r="B451" s="11">
        <v>75477.14</v>
      </c>
      <c r="C451" s="11">
        <v>38559.839999999997</v>
      </c>
      <c r="D451" s="11">
        <v>14036.98</v>
      </c>
      <c r="E451" s="36">
        <v>40.25</v>
      </c>
      <c r="F451" s="36">
        <v>54.57</v>
      </c>
    </row>
    <row r="452" spans="1:6" x14ac:dyDescent="0.25">
      <c r="A452" s="5">
        <v>449</v>
      </c>
      <c r="B452" s="11">
        <v>84316.51</v>
      </c>
      <c r="C452" s="11">
        <v>18565.900000000001</v>
      </c>
      <c r="D452" s="11">
        <v>2882.41</v>
      </c>
      <c r="E452" s="36">
        <v>42.93</v>
      </c>
      <c r="F452" s="36">
        <v>76.069999999999993</v>
      </c>
    </row>
    <row r="453" spans="1:6" x14ac:dyDescent="0.25">
      <c r="A453" s="5">
        <v>450</v>
      </c>
      <c r="B453" s="11">
        <v>109716.97</v>
      </c>
      <c r="C453" s="11">
        <v>3559.08</v>
      </c>
      <c r="D453" s="11">
        <v>13276.05</v>
      </c>
      <c r="E453" s="36">
        <v>35.5</v>
      </c>
      <c r="F453" s="36">
        <v>51.93</v>
      </c>
    </row>
    <row r="454" spans="1:6" x14ac:dyDescent="0.25">
      <c r="A454" s="5">
        <v>451</v>
      </c>
      <c r="B454" s="11">
        <v>106913.23</v>
      </c>
      <c r="C454" s="11">
        <v>68.87</v>
      </c>
      <c r="D454" s="11">
        <v>6982.1</v>
      </c>
      <c r="E454" s="36">
        <v>45.32</v>
      </c>
      <c r="F454" s="36">
        <v>78.97</v>
      </c>
    </row>
    <row r="455" spans="1:6" x14ac:dyDescent="0.25">
      <c r="A455" s="5">
        <v>452</v>
      </c>
      <c r="B455" s="11">
        <v>98219.1</v>
      </c>
      <c r="C455" s="11">
        <v>2763.52</v>
      </c>
      <c r="D455" s="11">
        <v>982.62</v>
      </c>
      <c r="E455" s="36">
        <v>40.04</v>
      </c>
      <c r="F455" s="36">
        <v>68.63</v>
      </c>
    </row>
    <row r="456" spans="1:6" x14ac:dyDescent="0.25">
      <c r="A456" s="5">
        <v>453</v>
      </c>
      <c r="B456" s="11">
        <v>100384.28</v>
      </c>
      <c r="C456" s="11">
        <v>65.209999999999994</v>
      </c>
      <c r="D456" s="11">
        <v>449.49</v>
      </c>
      <c r="E456" s="36">
        <v>46.95</v>
      </c>
      <c r="F456" s="36">
        <v>77.069999999999993</v>
      </c>
    </row>
    <row r="457" spans="1:6" x14ac:dyDescent="0.25">
      <c r="A457" s="5">
        <v>454</v>
      </c>
      <c r="B457" s="11">
        <v>103197.25</v>
      </c>
      <c r="C457" s="11">
        <v>65.239999999999995</v>
      </c>
      <c r="D457" s="11">
        <v>3262.49</v>
      </c>
      <c r="E457" s="36">
        <v>41.88</v>
      </c>
      <c r="F457" s="36">
        <v>72.739999999999995</v>
      </c>
    </row>
    <row r="458" spans="1:6" x14ac:dyDescent="0.25">
      <c r="A458" s="5">
        <v>455</v>
      </c>
      <c r="B458" s="11">
        <v>101439.66</v>
      </c>
      <c r="C458" s="11">
        <v>55.84</v>
      </c>
      <c r="D458" s="11">
        <v>1495.5</v>
      </c>
      <c r="E458" s="36">
        <v>50</v>
      </c>
      <c r="F458" s="36">
        <v>70.989999999999995</v>
      </c>
    </row>
    <row r="459" spans="1:6" x14ac:dyDescent="0.25">
      <c r="A459" s="5">
        <v>456</v>
      </c>
      <c r="B459" s="11">
        <v>101973.73</v>
      </c>
      <c r="C459" s="11">
        <v>59.58</v>
      </c>
      <c r="D459" s="11">
        <v>2033.31</v>
      </c>
      <c r="E459" s="36">
        <v>47.67</v>
      </c>
      <c r="F459" s="36">
        <v>80.08</v>
      </c>
    </row>
    <row r="460" spans="1:6" x14ac:dyDescent="0.25">
      <c r="A460" s="5">
        <v>457</v>
      </c>
      <c r="B460" s="11">
        <v>106686.98</v>
      </c>
      <c r="C460" s="11">
        <v>62.93</v>
      </c>
      <c r="D460" s="11">
        <v>6749.91</v>
      </c>
      <c r="E460" s="36">
        <v>46.41</v>
      </c>
      <c r="F460" s="36">
        <v>71.040000000000006</v>
      </c>
    </row>
    <row r="461" spans="1:6" x14ac:dyDescent="0.25">
      <c r="A461" s="5">
        <v>458</v>
      </c>
      <c r="B461" s="11">
        <v>87419.520000000004</v>
      </c>
      <c r="C461" s="11">
        <v>16909.45</v>
      </c>
      <c r="D461" s="11">
        <v>4328.97</v>
      </c>
      <c r="E461" s="36">
        <v>40.81</v>
      </c>
      <c r="F461" s="36">
        <v>57.76</v>
      </c>
    </row>
    <row r="462" spans="1:6" x14ac:dyDescent="0.25">
      <c r="A462" s="5">
        <v>459</v>
      </c>
      <c r="B462" s="11">
        <v>28.03</v>
      </c>
      <c r="C462" s="11">
        <v>85274.75</v>
      </c>
      <c r="D462" s="11">
        <v>-14697.22</v>
      </c>
      <c r="E462" s="36">
        <v>28.19</v>
      </c>
      <c r="F462" s="36">
        <v>52.13</v>
      </c>
    </row>
    <row r="463" spans="1:6" x14ac:dyDescent="0.25">
      <c r="A463" s="5">
        <v>460</v>
      </c>
      <c r="B463" s="11">
        <v>103745.99</v>
      </c>
      <c r="C463" s="11">
        <v>140.96</v>
      </c>
      <c r="D463" s="11">
        <v>3886.95</v>
      </c>
      <c r="E463" s="36">
        <v>47.73</v>
      </c>
      <c r="F463" s="36">
        <v>74.91</v>
      </c>
    </row>
    <row r="464" spans="1:6" x14ac:dyDescent="0.25">
      <c r="A464" s="5">
        <v>461</v>
      </c>
      <c r="B464" s="11">
        <v>64360.79</v>
      </c>
      <c r="C464" s="11">
        <v>36381.620000000003</v>
      </c>
      <c r="D464" s="11">
        <v>742.41</v>
      </c>
      <c r="E464" s="36">
        <v>24.18</v>
      </c>
      <c r="F464" s="36">
        <v>54.13</v>
      </c>
    </row>
    <row r="465" spans="1:6" x14ac:dyDescent="0.25">
      <c r="A465" s="5">
        <v>462</v>
      </c>
      <c r="B465" s="11">
        <v>101367.92</v>
      </c>
      <c r="C465" s="11">
        <v>64.92</v>
      </c>
      <c r="D465" s="11">
        <v>1432.84</v>
      </c>
      <c r="E465" s="36">
        <v>41.57</v>
      </c>
      <c r="F465" s="36">
        <v>64.92</v>
      </c>
    </row>
    <row r="466" spans="1:6" x14ac:dyDescent="0.25">
      <c r="A466" s="5">
        <v>463</v>
      </c>
      <c r="B466" s="11">
        <v>92312.21</v>
      </c>
      <c r="C466" s="11">
        <v>1371.96</v>
      </c>
      <c r="D466" s="11">
        <v>-6315.83</v>
      </c>
      <c r="E466" s="36">
        <v>32.76</v>
      </c>
      <c r="F466" s="36">
        <v>51.26</v>
      </c>
    </row>
    <row r="467" spans="1:6" x14ac:dyDescent="0.25">
      <c r="A467" s="5">
        <v>464</v>
      </c>
      <c r="B467" s="11">
        <v>90947.48</v>
      </c>
      <c r="C467" s="11">
        <v>2513.4</v>
      </c>
      <c r="D467" s="11">
        <v>-6539.12</v>
      </c>
      <c r="E467" s="36">
        <v>36.840000000000003</v>
      </c>
      <c r="F467" s="36">
        <v>57.39</v>
      </c>
    </row>
    <row r="468" spans="1:6" x14ac:dyDescent="0.25">
      <c r="A468" s="5">
        <v>465</v>
      </c>
      <c r="B468" s="11">
        <v>104707.26</v>
      </c>
      <c r="C468" s="11">
        <v>518.49</v>
      </c>
      <c r="D468" s="11">
        <v>5225.75</v>
      </c>
      <c r="E468" s="36">
        <v>44.09</v>
      </c>
      <c r="F468" s="36">
        <v>63.46</v>
      </c>
    </row>
    <row r="469" spans="1:6" x14ac:dyDescent="0.25">
      <c r="A469" s="5">
        <v>466</v>
      </c>
      <c r="B469" s="11">
        <v>25888.47</v>
      </c>
      <c r="C469" s="11">
        <v>71089.73</v>
      </c>
      <c r="D469" s="11">
        <v>-3021.8</v>
      </c>
      <c r="E469" s="36">
        <v>31.03</v>
      </c>
      <c r="F469" s="36">
        <v>57.98</v>
      </c>
    </row>
    <row r="470" spans="1:6" x14ac:dyDescent="0.25">
      <c r="A470" s="5">
        <v>467</v>
      </c>
      <c r="B470" s="11">
        <v>37935.21</v>
      </c>
      <c r="C470" s="11">
        <v>41168</v>
      </c>
      <c r="D470" s="11">
        <v>-20896.79</v>
      </c>
      <c r="E470" s="36">
        <v>21.62</v>
      </c>
      <c r="F470" s="36">
        <v>50.93</v>
      </c>
    </row>
    <row r="471" spans="1:6" x14ac:dyDescent="0.25">
      <c r="A471" s="5">
        <v>468</v>
      </c>
      <c r="B471" s="11">
        <v>89063.63</v>
      </c>
      <c r="C471" s="11">
        <v>973.75</v>
      </c>
      <c r="D471" s="11">
        <v>-9962.6200000000008</v>
      </c>
      <c r="E471" s="36">
        <v>34.799999999999997</v>
      </c>
      <c r="F471" s="36">
        <v>56.73</v>
      </c>
    </row>
    <row r="472" spans="1:6" x14ac:dyDescent="0.25">
      <c r="A472" s="5">
        <v>469</v>
      </c>
      <c r="B472" s="11">
        <v>110134.97</v>
      </c>
      <c r="C472" s="11">
        <v>181.38</v>
      </c>
      <c r="D472" s="11">
        <v>10316.35</v>
      </c>
      <c r="E472" s="36">
        <v>41.22</v>
      </c>
      <c r="F472" s="36">
        <v>62.9</v>
      </c>
    </row>
    <row r="473" spans="1:6" x14ac:dyDescent="0.25">
      <c r="A473" s="5">
        <v>470</v>
      </c>
      <c r="B473" s="11">
        <v>103385.95</v>
      </c>
      <c r="C473" s="11">
        <v>99.81</v>
      </c>
      <c r="D473" s="11">
        <v>3485.76</v>
      </c>
      <c r="E473" s="36">
        <v>46.62</v>
      </c>
      <c r="F473" s="36">
        <v>100.82</v>
      </c>
    </row>
    <row r="474" spans="1:6" x14ac:dyDescent="0.25">
      <c r="A474" s="5">
        <v>471</v>
      </c>
      <c r="B474" s="11">
        <v>100067.28</v>
      </c>
      <c r="C474" s="11">
        <v>2605.44</v>
      </c>
      <c r="D474" s="11">
        <v>2672.72</v>
      </c>
      <c r="E474" s="36">
        <v>46.29</v>
      </c>
      <c r="F474" s="36">
        <v>64.09</v>
      </c>
    </row>
    <row r="475" spans="1:6" x14ac:dyDescent="0.25">
      <c r="A475" s="5">
        <v>472</v>
      </c>
      <c r="B475" s="11">
        <v>94222.89</v>
      </c>
      <c r="C475" s="11">
        <v>1216.25</v>
      </c>
      <c r="D475" s="11">
        <v>-4560.8599999999997</v>
      </c>
      <c r="E475" s="36">
        <v>32.11</v>
      </c>
      <c r="F475" s="36">
        <v>53</v>
      </c>
    </row>
    <row r="476" spans="1:6" x14ac:dyDescent="0.25">
      <c r="A476" s="5">
        <v>473</v>
      </c>
      <c r="B476" s="11">
        <v>102940.12</v>
      </c>
      <c r="C476" s="11">
        <v>251.96</v>
      </c>
      <c r="D476" s="11">
        <v>3192.08</v>
      </c>
      <c r="E476" s="36">
        <v>42.74</v>
      </c>
      <c r="F476" s="36">
        <v>63.72</v>
      </c>
    </row>
    <row r="477" spans="1:6" x14ac:dyDescent="0.25">
      <c r="A477" s="5">
        <v>474</v>
      </c>
      <c r="B477" s="11">
        <v>94269.54</v>
      </c>
      <c r="C477" s="11">
        <v>17885.38</v>
      </c>
      <c r="D477" s="11">
        <v>12154.92</v>
      </c>
      <c r="E477" s="36">
        <v>40.479999999999997</v>
      </c>
      <c r="F477" s="36">
        <v>55.73</v>
      </c>
    </row>
    <row r="478" spans="1:6" x14ac:dyDescent="0.25">
      <c r="A478" s="5">
        <v>475</v>
      </c>
      <c r="B478" s="11">
        <v>95184.3</v>
      </c>
      <c r="C478" s="11">
        <v>7612.08</v>
      </c>
      <c r="D478" s="11">
        <v>2796.38</v>
      </c>
      <c r="E478" s="36">
        <v>40.93</v>
      </c>
      <c r="F478" s="36">
        <v>69.260000000000005</v>
      </c>
    </row>
    <row r="479" spans="1:6" x14ac:dyDescent="0.25">
      <c r="A479" s="5">
        <v>476</v>
      </c>
      <c r="B479" s="11">
        <v>105692.33</v>
      </c>
      <c r="C479" s="11">
        <v>3113.55</v>
      </c>
      <c r="D479" s="11">
        <v>8805.8799999999992</v>
      </c>
      <c r="E479" s="36">
        <v>45.07</v>
      </c>
      <c r="F479" s="36">
        <v>71.09</v>
      </c>
    </row>
    <row r="480" spans="1:6" x14ac:dyDescent="0.25">
      <c r="A480" s="5">
        <v>477</v>
      </c>
      <c r="B480" s="11">
        <v>98230.66</v>
      </c>
      <c r="C480" s="11">
        <v>53.79</v>
      </c>
      <c r="D480" s="11">
        <v>-1715.55</v>
      </c>
      <c r="E480" s="36">
        <v>39.880000000000003</v>
      </c>
      <c r="F480" s="36">
        <v>64.22</v>
      </c>
    </row>
    <row r="481" spans="1:6" x14ac:dyDescent="0.25">
      <c r="A481" s="5">
        <v>478</v>
      </c>
      <c r="B481" s="11">
        <v>99016.36</v>
      </c>
      <c r="C481" s="11">
        <v>2681.56</v>
      </c>
      <c r="D481" s="11">
        <v>1697.92</v>
      </c>
      <c r="E481" s="36">
        <v>40.86</v>
      </c>
      <c r="F481" s="36">
        <v>55.54</v>
      </c>
    </row>
    <row r="482" spans="1:6" x14ac:dyDescent="0.25">
      <c r="A482" s="5">
        <v>479</v>
      </c>
      <c r="B482" s="11">
        <v>103222.3</v>
      </c>
      <c r="C482" s="11">
        <v>63.16</v>
      </c>
      <c r="D482" s="11">
        <v>3285.46</v>
      </c>
      <c r="E482" s="36">
        <v>49.45</v>
      </c>
      <c r="F482" s="36">
        <v>81.25</v>
      </c>
    </row>
    <row r="483" spans="1:6" x14ac:dyDescent="0.25">
      <c r="A483" s="5">
        <v>480</v>
      </c>
      <c r="B483" s="11">
        <v>68099.19</v>
      </c>
      <c r="C483" s="11">
        <v>20065.8</v>
      </c>
      <c r="D483" s="11">
        <v>-11835.01</v>
      </c>
      <c r="E483" s="36">
        <v>28.8</v>
      </c>
      <c r="F483" s="36">
        <v>50</v>
      </c>
    </row>
    <row r="484" spans="1:6" x14ac:dyDescent="0.25">
      <c r="A484" s="5">
        <v>481</v>
      </c>
      <c r="B484" s="11">
        <v>63400.72</v>
      </c>
      <c r="C484" s="11">
        <v>31414.6</v>
      </c>
      <c r="D484" s="11">
        <v>-5184.68</v>
      </c>
      <c r="E484" s="36">
        <v>25.12</v>
      </c>
      <c r="F484" s="36">
        <v>51.8</v>
      </c>
    </row>
    <row r="485" spans="1:6" x14ac:dyDescent="0.25">
      <c r="A485" s="5">
        <v>482</v>
      </c>
      <c r="B485" s="11">
        <v>93876.89</v>
      </c>
      <c r="C485" s="11">
        <v>7309.68</v>
      </c>
      <c r="D485" s="11">
        <v>1186.57</v>
      </c>
      <c r="E485" s="36">
        <v>42.41</v>
      </c>
      <c r="F485" s="36">
        <v>62.36</v>
      </c>
    </row>
    <row r="486" spans="1:6" x14ac:dyDescent="0.25">
      <c r="A486" s="5">
        <v>483</v>
      </c>
      <c r="B486" s="11">
        <v>91378.36</v>
      </c>
      <c r="C486" s="11">
        <v>11509.68</v>
      </c>
      <c r="D486" s="11">
        <v>2888.04</v>
      </c>
      <c r="E486" s="36">
        <v>38.01</v>
      </c>
      <c r="F486" s="36">
        <v>60.38</v>
      </c>
    </row>
    <row r="487" spans="1:6" x14ac:dyDescent="0.25">
      <c r="A487" s="5">
        <v>484</v>
      </c>
      <c r="B487" s="11">
        <v>74030.320000000007</v>
      </c>
      <c r="C487" s="11">
        <v>9803.64</v>
      </c>
      <c r="D487" s="11">
        <v>-16166.04</v>
      </c>
      <c r="E487" s="36">
        <v>29.75</v>
      </c>
      <c r="F487" s="36">
        <v>50</v>
      </c>
    </row>
    <row r="488" spans="1:6" x14ac:dyDescent="0.25">
      <c r="A488" s="5">
        <v>485</v>
      </c>
      <c r="B488" s="11">
        <v>100727.34</v>
      </c>
      <c r="C488" s="11">
        <v>156.96</v>
      </c>
      <c r="D488" s="11">
        <v>884.3</v>
      </c>
      <c r="E488" s="36">
        <v>34.64</v>
      </c>
      <c r="F488" s="36">
        <v>56.9</v>
      </c>
    </row>
    <row r="489" spans="1:6" x14ac:dyDescent="0.25">
      <c r="A489" s="5">
        <v>486</v>
      </c>
      <c r="B489" s="11">
        <v>98962.37</v>
      </c>
      <c r="C489" s="11">
        <v>3792.69</v>
      </c>
      <c r="D489" s="11">
        <v>2755.06</v>
      </c>
      <c r="E489" s="36">
        <v>38.18</v>
      </c>
      <c r="F489" s="36">
        <v>60.32</v>
      </c>
    </row>
    <row r="490" spans="1:6" x14ac:dyDescent="0.25">
      <c r="A490" s="5">
        <v>487</v>
      </c>
      <c r="B490" s="11">
        <v>104723.84</v>
      </c>
      <c r="C490" s="11">
        <v>526.77</v>
      </c>
      <c r="D490" s="11">
        <v>5250.61</v>
      </c>
      <c r="E490" s="36">
        <v>36.44</v>
      </c>
      <c r="F490" s="36">
        <v>73.58</v>
      </c>
    </row>
    <row r="491" spans="1:6" x14ac:dyDescent="0.25">
      <c r="A491" s="5">
        <v>488</v>
      </c>
      <c r="B491" s="11">
        <v>96819.65</v>
      </c>
      <c r="C491" s="11">
        <v>3546.4</v>
      </c>
      <c r="D491" s="11">
        <v>366.05</v>
      </c>
      <c r="E491" s="36">
        <v>25.27</v>
      </c>
      <c r="F491" s="36">
        <v>54.38</v>
      </c>
    </row>
    <row r="492" spans="1:6" x14ac:dyDescent="0.25">
      <c r="A492" s="5">
        <v>489</v>
      </c>
      <c r="B492" s="11">
        <v>81151.22</v>
      </c>
      <c r="C492" s="11">
        <v>8498.16</v>
      </c>
      <c r="D492" s="11">
        <v>-10350.620000000001</v>
      </c>
      <c r="E492" s="36">
        <v>27.94</v>
      </c>
      <c r="F492" s="36">
        <v>50.66</v>
      </c>
    </row>
    <row r="493" spans="1:6" x14ac:dyDescent="0.25">
      <c r="A493" s="5">
        <v>490</v>
      </c>
      <c r="B493" s="11">
        <v>101816.54</v>
      </c>
      <c r="C493" s="11">
        <v>216.28</v>
      </c>
      <c r="D493" s="11">
        <v>2032.82</v>
      </c>
      <c r="E493" s="36">
        <v>42.15</v>
      </c>
      <c r="F493" s="36">
        <v>64.459999999999994</v>
      </c>
    </row>
    <row r="494" spans="1:6" x14ac:dyDescent="0.25">
      <c r="A494" s="5">
        <v>491</v>
      </c>
      <c r="B494" s="11">
        <v>83657.5</v>
      </c>
      <c r="C494" s="11">
        <v>14357.2</v>
      </c>
      <c r="D494" s="11">
        <v>-1985.3</v>
      </c>
      <c r="E494" s="36">
        <v>30.27</v>
      </c>
      <c r="F494" s="36">
        <v>52.73</v>
      </c>
    </row>
    <row r="495" spans="1:6" x14ac:dyDescent="0.25">
      <c r="A495" s="5">
        <v>492</v>
      </c>
      <c r="B495" s="11">
        <v>107582.92</v>
      </c>
      <c r="C495" s="11">
        <v>7031.71</v>
      </c>
      <c r="D495" s="11">
        <v>14614.63</v>
      </c>
      <c r="E495" s="36">
        <v>49.44</v>
      </c>
      <c r="F495" s="36">
        <v>77.06</v>
      </c>
    </row>
    <row r="496" spans="1:6" x14ac:dyDescent="0.25">
      <c r="A496" s="5">
        <v>493</v>
      </c>
      <c r="B496" s="11">
        <v>84467.58</v>
      </c>
      <c r="C496" s="11">
        <v>5964.68</v>
      </c>
      <c r="D496" s="11">
        <v>-9567.74</v>
      </c>
      <c r="E496" s="36">
        <v>29.6</v>
      </c>
      <c r="F496" s="36">
        <v>51.07</v>
      </c>
    </row>
    <row r="497" spans="1:6" x14ac:dyDescent="0.25">
      <c r="A497" s="5">
        <v>494</v>
      </c>
      <c r="B497" s="11">
        <v>102120.04</v>
      </c>
      <c r="C497" s="11">
        <v>1697.22</v>
      </c>
      <c r="D497" s="11">
        <v>3817.26</v>
      </c>
      <c r="E497" s="36">
        <v>40.409999999999997</v>
      </c>
      <c r="F497" s="36">
        <v>70.05</v>
      </c>
    </row>
    <row r="498" spans="1:6" x14ac:dyDescent="0.25">
      <c r="A498" s="5">
        <v>495</v>
      </c>
      <c r="B498" s="11">
        <v>101195.19</v>
      </c>
      <c r="C498" s="11">
        <v>43.53</v>
      </c>
      <c r="D498" s="11">
        <v>1238.72</v>
      </c>
      <c r="E498" s="36">
        <v>43.22</v>
      </c>
      <c r="F498" s="36">
        <v>60.79</v>
      </c>
    </row>
    <row r="499" spans="1:6" x14ac:dyDescent="0.25">
      <c r="A499" s="5">
        <v>496</v>
      </c>
      <c r="B499" s="11">
        <v>68739.87</v>
      </c>
      <c r="C499" s="11">
        <v>105.42</v>
      </c>
      <c r="D499" s="11">
        <v>-31154.71</v>
      </c>
      <c r="E499" s="36">
        <v>26.09</v>
      </c>
      <c r="F499" s="36">
        <v>50.92</v>
      </c>
    </row>
    <row r="500" spans="1:6" x14ac:dyDescent="0.25">
      <c r="A500" s="5">
        <v>497</v>
      </c>
      <c r="B500" s="11">
        <v>100703.52</v>
      </c>
      <c r="C500" s="11">
        <v>52.81</v>
      </c>
      <c r="D500" s="11">
        <v>756.33</v>
      </c>
      <c r="E500" s="36">
        <v>36.950000000000003</v>
      </c>
      <c r="F500" s="36">
        <v>59.36</v>
      </c>
    </row>
    <row r="501" spans="1:6" x14ac:dyDescent="0.25">
      <c r="A501" s="5">
        <v>498</v>
      </c>
      <c r="B501" s="11">
        <v>90724.49</v>
      </c>
      <c r="C501" s="11">
        <v>8372.8799999999992</v>
      </c>
      <c r="D501" s="11">
        <v>-902.63</v>
      </c>
      <c r="E501" s="36">
        <v>41.75</v>
      </c>
      <c r="F501" s="36">
        <v>56.69</v>
      </c>
    </row>
    <row r="502" spans="1:6" x14ac:dyDescent="0.25">
      <c r="A502" s="5">
        <v>499</v>
      </c>
      <c r="B502" s="11">
        <v>89636.52</v>
      </c>
      <c r="C502" s="11">
        <v>92.28</v>
      </c>
      <c r="D502" s="11">
        <v>-10271.200000000001</v>
      </c>
      <c r="E502" s="36">
        <v>31.85</v>
      </c>
      <c r="F502" s="36">
        <v>52.84</v>
      </c>
    </row>
    <row r="503" spans="1:6" x14ac:dyDescent="0.25">
      <c r="A503" s="5">
        <v>500</v>
      </c>
      <c r="B503" s="11">
        <v>89088.21</v>
      </c>
      <c r="C503" s="11">
        <v>15647.82</v>
      </c>
      <c r="D503" s="11">
        <v>4736.03</v>
      </c>
      <c r="E503" s="36">
        <v>36.26</v>
      </c>
      <c r="F503" s="36">
        <v>52.63</v>
      </c>
    </row>
    <row r="504" spans="1:6" x14ac:dyDescent="0.25">
      <c r="E504" s="36"/>
      <c r="F504" s="36"/>
    </row>
    <row r="505" spans="1:6" x14ac:dyDescent="0.25">
      <c r="E505" s="36"/>
      <c r="F505" s="36"/>
    </row>
    <row r="506" spans="1:6" x14ac:dyDescent="0.25">
      <c r="E506" s="36"/>
      <c r="F506" s="36"/>
    </row>
    <row r="507" spans="1:6" x14ac:dyDescent="0.25">
      <c r="E507" s="36"/>
      <c r="F507" s="36"/>
    </row>
    <row r="508" spans="1:6" x14ac:dyDescent="0.25">
      <c r="E508" s="36"/>
      <c r="F508" s="36"/>
    </row>
    <row r="509" spans="1:6" x14ac:dyDescent="0.25">
      <c r="E509" s="36"/>
      <c r="F509" s="36"/>
    </row>
    <row r="510" spans="1:6" x14ac:dyDescent="0.25">
      <c r="E510" s="36"/>
      <c r="F510" s="36"/>
    </row>
    <row r="511" spans="1:6" x14ac:dyDescent="0.25">
      <c r="E511" s="36"/>
      <c r="F511" s="36"/>
    </row>
    <row r="512" spans="1:6" x14ac:dyDescent="0.25">
      <c r="E512" s="36"/>
      <c r="F512" s="36"/>
    </row>
    <row r="513" spans="5:6" x14ac:dyDescent="0.25">
      <c r="E513" s="36"/>
      <c r="F513" s="36"/>
    </row>
    <row r="514" spans="5:6" x14ac:dyDescent="0.25">
      <c r="E514" s="36"/>
      <c r="F514" s="36"/>
    </row>
    <row r="515" spans="5:6" x14ac:dyDescent="0.25">
      <c r="E515" s="36"/>
      <c r="F515" s="36"/>
    </row>
    <row r="516" spans="5:6" x14ac:dyDescent="0.25">
      <c r="E516" s="36"/>
      <c r="F516" s="36"/>
    </row>
    <row r="517" spans="5:6" x14ac:dyDescent="0.25">
      <c r="E517" s="36"/>
      <c r="F517" s="36"/>
    </row>
    <row r="518" spans="5:6" x14ac:dyDescent="0.25">
      <c r="E518" s="36"/>
      <c r="F518" s="36"/>
    </row>
    <row r="519" spans="5:6" x14ac:dyDescent="0.25">
      <c r="E519" s="36"/>
      <c r="F519" s="36"/>
    </row>
    <row r="520" spans="5:6" x14ac:dyDescent="0.25">
      <c r="E520" s="36"/>
      <c r="F520" s="36"/>
    </row>
    <row r="521" spans="5:6" x14ac:dyDescent="0.25">
      <c r="E521" s="36"/>
      <c r="F521" s="36"/>
    </row>
    <row r="522" spans="5:6" x14ac:dyDescent="0.25">
      <c r="E522" s="36"/>
      <c r="F522" s="36"/>
    </row>
    <row r="523" spans="5:6" x14ac:dyDescent="0.25">
      <c r="E523" s="36"/>
      <c r="F523" s="36"/>
    </row>
    <row r="524" spans="5:6" x14ac:dyDescent="0.25">
      <c r="E524" s="36"/>
      <c r="F524" s="36"/>
    </row>
    <row r="525" spans="5:6" x14ac:dyDescent="0.25">
      <c r="E525" s="36"/>
      <c r="F525" s="36"/>
    </row>
    <row r="526" spans="5:6" x14ac:dyDescent="0.25">
      <c r="E526" s="36"/>
      <c r="F526" s="36"/>
    </row>
    <row r="527" spans="5:6" x14ac:dyDescent="0.25">
      <c r="E527" s="36"/>
      <c r="F527" s="36"/>
    </row>
    <row r="528" spans="5:6" x14ac:dyDescent="0.25">
      <c r="E528" s="36"/>
      <c r="F528" s="36"/>
    </row>
    <row r="529" spans="5:6" x14ac:dyDescent="0.25">
      <c r="E529" s="36"/>
      <c r="F529" s="36"/>
    </row>
    <row r="530" spans="5:6" x14ac:dyDescent="0.25">
      <c r="E530" s="36"/>
      <c r="F530" s="36"/>
    </row>
    <row r="531" spans="5:6" x14ac:dyDescent="0.25">
      <c r="E531" s="36"/>
      <c r="F531" s="36"/>
    </row>
    <row r="532" spans="5:6" x14ac:dyDescent="0.25">
      <c r="E532" s="36"/>
      <c r="F532" s="36"/>
    </row>
    <row r="533" spans="5:6" x14ac:dyDescent="0.25">
      <c r="E533" s="36"/>
      <c r="F533" s="36"/>
    </row>
    <row r="534" spans="5:6" x14ac:dyDescent="0.25">
      <c r="E534" s="36"/>
      <c r="F534" s="36"/>
    </row>
    <row r="535" spans="5:6" x14ac:dyDescent="0.25">
      <c r="E535" s="36"/>
      <c r="F535" s="36"/>
    </row>
    <row r="536" spans="5:6" x14ac:dyDescent="0.25">
      <c r="E536" s="36"/>
      <c r="F536" s="36"/>
    </row>
    <row r="537" spans="5:6" x14ac:dyDescent="0.25">
      <c r="E537" s="36"/>
      <c r="F537" s="36"/>
    </row>
    <row r="538" spans="5:6" x14ac:dyDescent="0.25">
      <c r="E538" s="36"/>
      <c r="F538" s="36"/>
    </row>
    <row r="539" spans="5:6" x14ac:dyDescent="0.25">
      <c r="E539" s="36"/>
      <c r="F539" s="36"/>
    </row>
    <row r="540" spans="5:6" x14ac:dyDescent="0.25">
      <c r="E540" s="36"/>
      <c r="F540" s="36"/>
    </row>
    <row r="541" spans="5:6" x14ac:dyDescent="0.25">
      <c r="E541" s="36"/>
      <c r="F541" s="36"/>
    </row>
    <row r="542" spans="5:6" x14ac:dyDescent="0.25">
      <c r="E542" s="36"/>
      <c r="F542" s="36"/>
    </row>
    <row r="543" spans="5:6" x14ac:dyDescent="0.25">
      <c r="E543" s="36"/>
      <c r="F543" s="36"/>
    </row>
    <row r="544" spans="5:6" x14ac:dyDescent="0.25">
      <c r="E544" s="36"/>
      <c r="F544" s="36"/>
    </row>
    <row r="545" spans="5:6" x14ac:dyDescent="0.25">
      <c r="E545" s="36"/>
      <c r="F545" s="36"/>
    </row>
    <row r="546" spans="5:6" x14ac:dyDescent="0.25">
      <c r="E546" s="36"/>
      <c r="F546" s="36"/>
    </row>
    <row r="547" spans="5:6" x14ac:dyDescent="0.25">
      <c r="E547" s="36"/>
      <c r="F547" s="36"/>
    </row>
    <row r="548" spans="5:6" x14ac:dyDescent="0.25">
      <c r="E548" s="36"/>
      <c r="F548" s="36"/>
    </row>
    <row r="549" spans="5:6" x14ac:dyDescent="0.25">
      <c r="E549" s="36"/>
      <c r="F549" s="36"/>
    </row>
    <row r="550" spans="5:6" x14ac:dyDescent="0.25">
      <c r="E550" s="36"/>
      <c r="F550" s="36"/>
    </row>
    <row r="551" spans="5:6" x14ac:dyDescent="0.25">
      <c r="E551" s="36"/>
      <c r="F551" s="36"/>
    </row>
    <row r="552" spans="5:6" x14ac:dyDescent="0.25">
      <c r="E552" s="36"/>
      <c r="F552" s="36"/>
    </row>
    <row r="553" spans="5:6" x14ac:dyDescent="0.25">
      <c r="E553" s="36"/>
      <c r="F553" s="36"/>
    </row>
    <row r="554" spans="5:6" x14ac:dyDescent="0.25">
      <c r="E554" s="36"/>
      <c r="F554" s="36"/>
    </row>
    <row r="555" spans="5:6" x14ac:dyDescent="0.25">
      <c r="E555" s="36"/>
      <c r="F555" s="36"/>
    </row>
    <row r="556" spans="5:6" x14ac:dyDescent="0.25">
      <c r="E556" s="36"/>
      <c r="F556" s="36"/>
    </row>
    <row r="557" spans="5:6" x14ac:dyDescent="0.25">
      <c r="E557" s="36"/>
      <c r="F557" s="36"/>
    </row>
    <row r="558" spans="5:6" x14ac:dyDescent="0.25">
      <c r="E558" s="36"/>
      <c r="F558" s="36"/>
    </row>
    <row r="559" spans="5:6" x14ac:dyDescent="0.25">
      <c r="E559" s="36"/>
      <c r="F559" s="36"/>
    </row>
    <row r="560" spans="5:6" x14ac:dyDescent="0.25">
      <c r="E560" s="36"/>
      <c r="F560" s="36"/>
    </row>
    <row r="561" spans="5:6" x14ac:dyDescent="0.25">
      <c r="E561" s="36"/>
      <c r="F561" s="36"/>
    </row>
    <row r="562" spans="5:6" x14ac:dyDescent="0.25">
      <c r="E562" s="36"/>
      <c r="F562" s="36"/>
    </row>
    <row r="563" spans="5:6" x14ac:dyDescent="0.25">
      <c r="E563" s="36"/>
      <c r="F563" s="36"/>
    </row>
    <row r="564" spans="5:6" x14ac:dyDescent="0.25">
      <c r="E564" s="36"/>
      <c r="F564" s="36"/>
    </row>
    <row r="565" spans="5:6" x14ac:dyDescent="0.25">
      <c r="E565" s="36"/>
      <c r="F565" s="36"/>
    </row>
    <row r="566" spans="5:6" x14ac:dyDescent="0.25">
      <c r="E566" s="36"/>
      <c r="F566" s="36"/>
    </row>
    <row r="567" spans="5:6" x14ac:dyDescent="0.25">
      <c r="E567" s="36"/>
      <c r="F567" s="36"/>
    </row>
    <row r="568" spans="5:6" x14ac:dyDescent="0.25">
      <c r="E568" s="36"/>
      <c r="F568" s="36"/>
    </row>
    <row r="569" spans="5:6" x14ac:dyDescent="0.25">
      <c r="E569" s="36"/>
      <c r="F569" s="36"/>
    </row>
    <row r="570" spans="5:6" x14ac:dyDescent="0.25">
      <c r="E570" s="36"/>
      <c r="F570" s="36"/>
    </row>
    <row r="571" spans="5:6" x14ac:dyDescent="0.25">
      <c r="E571" s="36"/>
      <c r="F571" s="36"/>
    </row>
    <row r="572" spans="5:6" x14ac:dyDescent="0.25">
      <c r="E572" s="36"/>
      <c r="F572" s="36"/>
    </row>
    <row r="573" spans="5:6" x14ac:dyDescent="0.25">
      <c r="E573" s="36"/>
      <c r="F573" s="36"/>
    </row>
    <row r="574" spans="5:6" x14ac:dyDescent="0.25">
      <c r="E574" s="36"/>
      <c r="F574" s="36"/>
    </row>
    <row r="575" spans="5:6" x14ac:dyDescent="0.25">
      <c r="E575" s="36"/>
      <c r="F575" s="36"/>
    </row>
    <row r="576" spans="5:6" x14ac:dyDescent="0.25">
      <c r="E576" s="36"/>
      <c r="F576" s="36"/>
    </row>
    <row r="577" spans="5:6" x14ac:dyDescent="0.25">
      <c r="E577" s="36"/>
      <c r="F577" s="36"/>
    </row>
    <row r="578" spans="5:6" x14ac:dyDescent="0.25">
      <c r="E578" s="36"/>
      <c r="F578" s="36"/>
    </row>
    <row r="579" spans="5:6" x14ac:dyDescent="0.25">
      <c r="E579" s="36"/>
      <c r="F579" s="36"/>
    </row>
    <row r="580" spans="5:6" x14ac:dyDescent="0.25">
      <c r="E580" s="36"/>
      <c r="F580" s="36"/>
    </row>
    <row r="581" spans="5:6" x14ac:dyDescent="0.25">
      <c r="E581" s="36"/>
      <c r="F581" s="36"/>
    </row>
    <row r="582" spans="5:6" x14ac:dyDescent="0.25">
      <c r="E582" s="36"/>
      <c r="F582" s="36"/>
    </row>
    <row r="583" spans="5:6" x14ac:dyDescent="0.25">
      <c r="E583" s="36"/>
      <c r="F583" s="36"/>
    </row>
    <row r="584" spans="5:6" x14ac:dyDescent="0.25">
      <c r="E584" s="36"/>
      <c r="F584" s="36"/>
    </row>
    <row r="585" spans="5:6" x14ac:dyDescent="0.25">
      <c r="E585" s="36"/>
      <c r="F585" s="36"/>
    </row>
    <row r="586" spans="5:6" x14ac:dyDescent="0.25">
      <c r="E586" s="36"/>
      <c r="F586" s="36"/>
    </row>
    <row r="587" spans="5:6" x14ac:dyDescent="0.25">
      <c r="E587" s="36"/>
      <c r="F587" s="36"/>
    </row>
    <row r="588" spans="5:6" x14ac:dyDescent="0.25">
      <c r="E588" s="36"/>
      <c r="F588" s="36"/>
    </row>
    <row r="589" spans="5:6" x14ac:dyDescent="0.25">
      <c r="E589" s="36"/>
      <c r="F589" s="36"/>
    </row>
    <row r="590" spans="5:6" x14ac:dyDescent="0.25">
      <c r="E590" s="36"/>
      <c r="F590" s="36"/>
    </row>
    <row r="591" spans="5:6" x14ac:dyDescent="0.25">
      <c r="E591" s="36"/>
      <c r="F591" s="36"/>
    </row>
    <row r="592" spans="5:6" x14ac:dyDescent="0.25">
      <c r="E592" s="36"/>
      <c r="F592" s="36"/>
    </row>
    <row r="593" spans="5:6" x14ac:dyDescent="0.25">
      <c r="E593" s="36"/>
      <c r="F593" s="36"/>
    </row>
    <row r="594" spans="5:6" x14ac:dyDescent="0.25">
      <c r="E594" s="36"/>
      <c r="F594" s="36"/>
    </row>
    <row r="595" spans="5:6" x14ac:dyDescent="0.25">
      <c r="E595" s="36"/>
      <c r="F595" s="36"/>
    </row>
    <row r="596" spans="5:6" x14ac:dyDescent="0.25">
      <c r="E596" s="36"/>
      <c r="F596" s="36"/>
    </row>
    <row r="597" spans="5:6" x14ac:dyDescent="0.25">
      <c r="E597" s="36"/>
      <c r="F597" s="36"/>
    </row>
    <row r="598" spans="5:6" x14ac:dyDescent="0.25">
      <c r="E598" s="36"/>
      <c r="F598" s="36"/>
    </row>
    <row r="599" spans="5:6" x14ac:dyDescent="0.25">
      <c r="E599" s="36"/>
      <c r="F599" s="36"/>
    </row>
    <row r="600" spans="5:6" x14ac:dyDescent="0.25">
      <c r="E600" s="36"/>
      <c r="F600" s="36"/>
    </row>
    <row r="601" spans="5:6" x14ac:dyDescent="0.25">
      <c r="E601" s="36"/>
      <c r="F601" s="36"/>
    </row>
    <row r="602" spans="5:6" x14ac:dyDescent="0.25">
      <c r="E602" s="36"/>
      <c r="F602" s="36"/>
    </row>
    <row r="603" spans="5:6" x14ac:dyDescent="0.25">
      <c r="E603" s="36"/>
      <c r="F603" s="36"/>
    </row>
    <row r="604" spans="5:6" x14ac:dyDescent="0.25">
      <c r="E604" s="36"/>
      <c r="F604" s="36"/>
    </row>
    <row r="605" spans="5:6" x14ac:dyDescent="0.25">
      <c r="E605" s="36"/>
      <c r="F605" s="36"/>
    </row>
    <row r="606" spans="5:6" x14ac:dyDescent="0.25">
      <c r="E606" s="36"/>
      <c r="F606" s="36"/>
    </row>
    <row r="607" spans="5:6" x14ac:dyDescent="0.25">
      <c r="E607" s="36"/>
      <c r="F607" s="36"/>
    </row>
    <row r="608" spans="5:6" x14ac:dyDescent="0.25">
      <c r="E608" s="36"/>
      <c r="F608" s="36"/>
    </row>
    <row r="609" spans="5:6" x14ac:dyDescent="0.25">
      <c r="E609" s="36"/>
      <c r="F609" s="36"/>
    </row>
    <row r="610" spans="5:6" x14ac:dyDescent="0.25">
      <c r="E610" s="36"/>
      <c r="F610" s="36"/>
    </row>
    <row r="611" spans="5:6" x14ac:dyDescent="0.25">
      <c r="E611" s="36"/>
      <c r="F611" s="36"/>
    </row>
    <row r="612" spans="5:6" x14ac:dyDescent="0.25">
      <c r="E612" s="36"/>
      <c r="F612" s="36"/>
    </row>
    <row r="613" spans="5:6" x14ac:dyDescent="0.25">
      <c r="E613" s="36"/>
      <c r="F613" s="36"/>
    </row>
    <row r="614" spans="5:6" x14ac:dyDescent="0.25">
      <c r="E614" s="36"/>
      <c r="F614" s="36"/>
    </row>
    <row r="615" spans="5:6" x14ac:dyDescent="0.25">
      <c r="E615" s="36"/>
      <c r="F615" s="36"/>
    </row>
    <row r="616" spans="5:6" x14ac:dyDescent="0.25">
      <c r="E616" s="36"/>
      <c r="F616" s="36"/>
    </row>
    <row r="617" spans="5:6" x14ac:dyDescent="0.25">
      <c r="E617" s="36"/>
      <c r="F617" s="36"/>
    </row>
    <row r="618" spans="5:6" x14ac:dyDescent="0.25">
      <c r="E618" s="36"/>
      <c r="F618" s="36"/>
    </row>
    <row r="619" spans="5:6" x14ac:dyDescent="0.25">
      <c r="E619" s="36"/>
      <c r="F619" s="36"/>
    </row>
    <row r="620" spans="5:6" x14ac:dyDescent="0.25">
      <c r="E620" s="36"/>
      <c r="F620" s="36"/>
    </row>
    <row r="621" spans="5:6" x14ac:dyDescent="0.25">
      <c r="E621" s="36"/>
      <c r="F621" s="36"/>
    </row>
    <row r="622" spans="5:6" x14ac:dyDescent="0.25">
      <c r="E622" s="36"/>
      <c r="F622" s="36"/>
    </row>
    <row r="623" spans="5:6" x14ac:dyDescent="0.25">
      <c r="E623" s="36"/>
      <c r="F623" s="36"/>
    </row>
    <row r="624" spans="5:6" x14ac:dyDescent="0.25">
      <c r="E624" s="36"/>
      <c r="F624" s="36"/>
    </row>
    <row r="625" spans="5:6" x14ac:dyDescent="0.25">
      <c r="E625" s="36"/>
      <c r="F625" s="36"/>
    </row>
    <row r="626" spans="5:6" x14ac:dyDescent="0.25">
      <c r="E626" s="36"/>
      <c r="F626" s="36"/>
    </row>
    <row r="627" spans="5:6" x14ac:dyDescent="0.25">
      <c r="E627" s="36"/>
      <c r="F627" s="36"/>
    </row>
    <row r="628" spans="5:6" x14ac:dyDescent="0.25">
      <c r="E628" s="36"/>
      <c r="F628" s="36"/>
    </row>
    <row r="629" spans="5:6" x14ac:dyDescent="0.25">
      <c r="E629" s="36"/>
      <c r="F629" s="36"/>
    </row>
    <row r="630" spans="5:6" x14ac:dyDescent="0.25">
      <c r="E630" s="36"/>
      <c r="F630" s="36"/>
    </row>
    <row r="631" spans="5:6" x14ac:dyDescent="0.25">
      <c r="E631" s="36"/>
      <c r="F631" s="36"/>
    </row>
    <row r="632" spans="5:6" x14ac:dyDescent="0.25">
      <c r="E632" s="36"/>
      <c r="F632" s="36"/>
    </row>
    <row r="633" spans="5:6" x14ac:dyDescent="0.25">
      <c r="E633" s="36"/>
      <c r="F633" s="36"/>
    </row>
    <row r="634" spans="5:6" x14ac:dyDescent="0.25">
      <c r="E634" s="36"/>
      <c r="F634" s="36"/>
    </row>
    <row r="635" spans="5:6" x14ac:dyDescent="0.25">
      <c r="E635" s="36"/>
      <c r="F635" s="36"/>
    </row>
    <row r="636" spans="5:6" x14ac:dyDescent="0.25">
      <c r="E636" s="36"/>
      <c r="F636" s="36"/>
    </row>
    <row r="637" spans="5:6" x14ac:dyDescent="0.25">
      <c r="E637" s="36"/>
      <c r="F637" s="36"/>
    </row>
    <row r="638" spans="5:6" x14ac:dyDescent="0.25">
      <c r="E638" s="36"/>
      <c r="F638" s="36"/>
    </row>
    <row r="639" spans="5:6" x14ac:dyDescent="0.25">
      <c r="E639" s="36"/>
      <c r="F639" s="36"/>
    </row>
    <row r="640" spans="5:6" x14ac:dyDescent="0.25">
      <c r="E640" s="36"/>
      <c r="F640" s="36"/>
    </row>
    <row r="641" spans="5:6" x14ac:dyDescent="0.25">
      <c r="E641" s="36"/>
      <c r="F641" s="36"/>
    </row>
    <row r="642" spans="5:6" x14ac:dyDescent="0.25">
      <c r="E642" s="36"/>
      <c r="F642" s="36"/>
    </row>
    <row r="643" spans="5:6" x14ac:dyDescent="0.25">
      <c r="E643" s="36"/>
      <c r="F643" s="36"/>
    </row>
    <row r="644" spans="5:6" x14ac:dyDescent="0.25">
      <c r="E644" s="36"/>
      <c r="F644" s="36"/>
    </row>
    <row r="645" spans="5:6" x14ac:dyDescent="0.25">
      <c r="E645" s="36"/>
      <c r="F645" s="36"/>
    </row>
    <row r="646" spans="5:6" x14ac:dyDescent="0.25">
      <c r="E646" s="36"/>
      <c r="F646" s="36"/>
    </row>
    <row r="647" spans="5:6" x14ac:dyDescent="0.25">
      <c r="E647" s="36"/>
      <c r="F647" s="36"/>
    </row>
    <row r="648" spans="5:6" x14ac:dyDescent="0.25">
      <c r="E648" s="36"/>
      <c r="F648" s="36"/>
    </row>
    <row r="649" spans="5:6" x14ac:dyDescent="0.25">
      <c r="E649" s="36"/>
      <c r="F649" s="36"/>
    </row>
    <row r="650" spans="5:6" x14ac:dyDescent="0.25">
      <c r="E650" s="36"/>
      <c r="F650" s="36"/>
    </row>
    <row r="651" spans="5:6" x14ac:dyDescent="0.25">
      <c r="E651" s="36"/>
      <c r="F651" s="36"/>
    </row>
    <row r="652" spans="5:6" x14ac:dyDescent="0.25">
      <c r="E652" s="36"/>
      <c r="F652" s="36"/>
    </row>
    <row r="653" spans="5:6" x14ac:dyDescent="0.25">
      <c r="E653" s="36"/>
      <c r="F653" s="36"/>
    </row>
    <row r="654" spans="5:6" x14ac:dyDescent="0.25">
      <c r="E654" s="36"/>
      <c r="F654" s="36"/>
    </row>
    <row r="655" spans="5:6" x14ac:dyDescent="0.25">
      <c r="E655" s="36"/>
      <c r="F655" s="36"/>
    </row>
    <row r="656" spans="5:6" x14ac:dyDescent="0.25">
      <c r="E656" s="36"/>
      <c r="F656" s="36"/>
    </row>
    <row r="657" spans="5:6" x14ac:dyDescent="0.25">
      <c r="E657" s="36"/>
      <c r="F657" s="36"/>
    </row>
    <row r="658" spans="5:6" x14ac:dyDescent="0.25">
      <c r="E658" s="36"/>
      <c r="F658" s="36"/>
    </row>
    <row r="659" spans="5:6" x14ac:dyDescent="0.25">
      <c r="E659" s="36"/>
      <c r="F659" s="36"/>
    </row>
    <row r="660" spans="5:6" x14ac:dyDescent="0.25">
      <c r="E660" s="36"/>
      <c r="F660" s="36"/>
    </row>
    <row r="661" spans="5:6" x14ac:dyDescent="0.25">
      <c r="E661" s="36"/>
      <c r="F661" s="36"/>
    </row>
    <row r="662" spans="5:6" x14ac:dyDescent="0.25">
      <c r="E662" s="36"/>
      <c r="F662" s="36"/>
    </row>
    <row r="663" spans="5:6" x14ac:dyDescent="0.25">
      <c r="E663" s="36"/>
      <c r="F663" s="36"/>
    </row>
    <row r="664" spans="5:6" x14ac:dyDescent="0.25">
      <c r="E664" s="36"/>
      <c r="F664" s="36"/>
    </row>
    <row r="665" spans="5:6" x14ac:dyDescent="0.25">
      <c r="E665" s="36"/>
      <c r="F665" s="36"/>
    </row>
    <row r="666" spans="5:6" x14ac:dyDescent="0.25">
      <c r="E666" s="36"/>
      <c r="F666" s="36"/>
    </row>
    <row r="667" spans="5:6" x14ac:dyDescent="0.25">
      <c r="E667" s="36"/>
      <c r="F667" s="36"/>
    </row>
    <row r="668" spans="5:6" x14ac:dyDescent="0.25">
      <c r="E668" s="36"/>
      <c r="F668" s="36"/>
    </row>
    <row r="669" spans="5:6" x14ac:dyDescent="0.25">
      <c r="E669" s="36"/>
      <c r="F669" s="36"/>
    </row>
    <row r="670" spans="5:6" x14ac:dyDescent="0.25">
      <c r="E670" s="36"/>
      <c r="F670" s="36"/>
    </row>
    <row r="671" spans="5:6" x14ac:dyDescent="0.25">
      <c r="E671" s="36"/>
      <c r="F671" s="36"/>
    </row>
    <row r="672" spans="5:6" x14ac:dyDescent="0.25">
      <c r="E672" s="36"/>
      <c r="F672" s="36"/>
    </row>
    <row r="673" spans="5:6" x14ac:dyDescent="0.25">
      <c r="E673" s="36"/>
      <c r="F673" s="36"/>
    </row>
    <row r="674" spans="5:6" x14ac:dyDescent="0.25">
      <c r="E674" s="36"/>
      <c r="F674" s="36"/>
    </row>
    <row r="675" spans="5:6" x14ac:dyDescent="0.25">
      <c r="E675" s="36"/>
      <c r="F675" s="36"/>
    </row>
    <row r="676" spans="5:6" x14ac:dyDescent="0.25">
      <c r="E676" s="36"/>
      <c r="F676" s="36"/>
    </row>
    <row r="677" spans="5:6" x14ac:dyDescent="0.25">
      <c r="E677" s="36"/>
      <c r="F677" s="36"/>
    </row>
    <row r="678" spans="5:6" x14ac:dyDescent="0.25">
      <c r="E678" s="36"/>
      <c r="F678" s="36"/>
    </row>
    <row r="679" spans="5:6" x14ac:dyDescent="0.25">
      <c r="E679" s="36"/>
      <c r="F679" s="36"/>
    </row>
    <row r="680" spans="5:6" x14ac:dyDescent="0.25">
      <c r="E680" s="36"/>
      <c r="F680" s="36"/>
    </row>
    <row r="681" spans="5:6" x14ac:dyDescent="0.25">
      <c r="E681" s="36"/>
      <c r="F681" s="36"/>
    </row>
    <row r="682" spans="5:6" x14ac:dyDescent="0.25">
      <c r="E682" s="36"/>
      <c r="F682" s="36"/>
    </row>
    <row r="683" spans="5:6" x14ac:dyDescent="0.25">
      <c r="E683" s="36"/>
      <c r="F683" s="36"/>
    </row>
    <row r="684" spans="5:6" x14ac:dyDescent="0.25">
      <c r="E684" s="36"/>
      <c r="F684" s="36"/>
    </row>
    <row r="685" spans="5:6" x14ac:dyDescent="0.25">
      <c r="E685" s="36"/>
      <c r="F685" s="36"/>
    </row>
    <row r="686" spans="5:6" x14ac:dyDescent="0.25">
      <c r="E686" s="36"/>
      <c r="F686" s="36"/>
    </row>
    <row r="687" spans="5:6" x14ac:dyDescent="0.25">
      <c r="E687" s="36"/>
      <c r="F687" s="36"/>
    </row>
    <row r="688" spans="5:6" x14ac:dyDescent="0.25">
      <c r="E688" s="36"/>
      <c r="F688" s="36"/>
    </row>
    <row r="689" spans="5:6" x14ac:dyDescent="0.25">
      <c r="E689" s="36"/>
      <c r="F689" s="36"/>
    </row>
    <row r="690" spans="5:6" x14ac:dyDescent="0.25">
      <c r="E690" s="36"/>
      <c r="F690" s="36"/>
    </row>
    <row r="691" spans="5:6" x14ac:dyDescent="0.25">
      <c r="E691" s="36"/>
      <c r="F691" s="36"/>
    </row>
    <row r="692" spans="5:6" x14ac:dyDescent="0.25">
      <c r="E692" s="36"/>
      <c r="F692" s="36"/>
    </row>
    <row r="693" spans="5:6" x14ac:dyDescent="0.25">
      <c r="E693" s="36"/>
      <c r="F693" s="36"/>
    </row>
    <row r="694" spans="5:6" x14ac:dyDescent="0.25">
      <c r="E694" s="36"/>
      <c r="F694" s="36"/>
    </row>
    <row r="695" spans="5:6" x14ac:dyDescent="0.25">
      <c r="E695" s="36"/>
      <c r="F695" s="36"/>
    </row>
    <row r="696" spans="5:6" x14ac:dyDescent="0.25">
      <c r="E696" s="36"/>
      <c r="F696" s="36"/>
    </row>
    <row r="697" spans="5:6" x14ac:dyDescent="0.25">
      <c r="E697" s="36"/>
      <c r="F697" s="36"/>
    </row>
    <row r="698" spans="5:6" x14ac:dyDescent="0.25">
      <c r="E698" s="36"/>
      <c r="F698" s="36"/>
    </row>
    <row r="699" spans="5:6" x14ac:dyDescent="0.25">
      <c r="E699" s="36"/>
      <c r="F699" s="36"/>
    </row>
    <row r="700" spans="5:6" x14ac:dyDescent="0.25">
      <c r="E700" s="36"/>
      <c r="F700" s="36"/>
    </row>
    <row r="701" spans="5:6" x14ac:dyDescent="0.25">
      <c r="E701" s="36"/>
      <c r="F701" s="36"/>
    </row>
    <row r="702" spans="5:6" x14ac:dyDescent="0.25">
      <c r="E702" s="36"/>
      <c r="F702" s="36"/>
    </row>
    <row r="703" spans="5:6" x14ac:dyDescent="0.25">
      <c r="E703" s="36"/>
      <c r="F703" s="36"/>
    </row>
    <row r="704" spans="5:6" x14ac:dyDescent="0.25">
      <c r="E704" s="36"/>
      <c r="F704" s="36"/>
    </row>
    <row r="705" spans="5:6" x14ac:dyDescent="0.25">
      <c r="E705" s="36"/>
      <c r="F705" s="36"/>
    </row>
    <row r="706" spans="5:6" x14ac:dyDescent="0.25">
      <c r="E706" s="36"/>
      <c r="F706" s="36"/>
    </row>
    <row r="707" spans="5:6" x14ac:dyDescent="0.25">
      <c r="E707" s="36"/>
      <c r="F707" s="36"/>
    </row>
    <row r="708" spans="5:6" x14ac:dyDescent="0.25">
      <c r="E708" s="36"/>
      <c r="F708" s="36"/>
    </row>
    <row r="709" spans="5:6" x14ac:dyDescent="0.25">
      <c r="E709" s="36"/>
      <c r="F709" s="36"/>
    </row>
    <row r="710" spans="5:6" x14ac:dyDescent="0.25">
      <c r="E710" s="36"/>
      <c r="F710" s="36"/>
    </row>
    <row r="711" spans="5:6" x14ac:dyDescent="0.25">
      <c r="E711" s="36"/>
      <c r="F711" s="36"/>
    </row>
    <row r="712" spans="5:6" x14ac:dyDescent="0.25">
      <c r="E712" s="36"/>
      <c r="F712" s="36"/>
    </row>
    <row r="713" spans="5:6" x14ac:dyDescent="0.25">
      <c r="E713" s="36"/>
      <c r="F713" s="36"/>
    </row>
    <row r="714" spans="5:6" x14ac:dyDescent="0.25">
      <c r="E714" s="36"/>
      <c r="F714" s="36"/>
    </row>
    <row r="715" spans="5:6" x14ac:dyDescent="0.25">
      <c r="E715" s="36"/>
      <c r="F715" s="36"/>
    </row>
    <row r="716" spans="5:6" x14ac:dyDescent="0.25">
      <c r="E716" s="36"/>
      <c r="F716" s="36"/>
    </row>
    <row r="717" spans="5:6" x14ac:dyDescent="0.25">
      <c r="E717" s="36"/>
      <c r="F717" s="36"/>
    </row>
    <row r="718" spans="5:6" x14ac:dyDescent="0.25">
      <c r="E718" s="36"/>
      <c r="F718" s="36"/>
    </row>
    <row r="719" spans="5:6" x14ac:dyDescent="0.25">
      <c r="E719" s="36"/>
      <c r="F719" s="36"/>
    </row>
    <row r="720" spans="5:6" x14ac:dyDescent="0.25">
      <c r="E720" s="36"/>
      <c r="F720" s="36"/>
    </row>
    <row r="721" spans="5:6" x14ac:dyDescent="0.25">
      <c r="E721" s="36"/>
      <c r="F721" s="36"/>
    </row>
    <row r="722" spans="5:6" x14ac:dyDescent="0.25">
      <c r="E722" s="36"/>
      <c r="F722" s="36"/>
    </row>
    <row r="723" spans="5:6" x14ac:dyDescent="0.25">
      <c r="E723" s="36"/>
      <c r="F723" s="36"/>
    </row>
    <row r="724" spans="5:6" x14ac:dyDescent="0.25">
      <c r="E724" s="36"/>
      <c r="F724" s="36"/>
    </row>
    <row r="725" spans="5:6" x14ac:dyDescent="0.25">
      <c r="E725" s="36"/>
      <c r="F725" s="36"/>
    </row>
    <row r="726" spans="5:6" x14ac:dyDescent="0.25">
      <c r="E726" s="36"/>
      <c r="F726" s="36"/>
    </row>
    <row r="727" spans="5:6" x14ac:dyDescent="0.25">
      <c r="E727" s="36"/>
      <c r="F727" s="36"/>
    </row>
    <row r="728" spans="5:6" x14ac:dyDescent="0.25">
      <c r="E728" s="36"/>
      <c r="F728" s="36"/>
    </row>
    <row r="729" spans="5:6" x14ac:dyDescent="0.25">
      <c r="E729" s="36"/>
      <c r="F729" s="36"/>
    </row>
    <row r="730" spans="5:6" x14ac:dyDescent="0.25">
      <c r="E730" s="36"/>
      <c r="F730" s="36"/>
    </row>
    <row r="731" spans="5:6" x14ac:dyDescent="0.25">
      <c r="E731" s="36"/>
      <c r="F731" s="36"/>
    </row>
    <row r="732" spans="5:6" x14ac:dyDescent="0.25">
      <c r="E732" s="36"/>
      <c r="F732" s="36"/>
    </row>
    <row r="733" spans="5:6" x14ac:dyDescent="0.25">
      <c r="E733" s="36"/>
      <c r="F733" s="36"/>
    </row>
    <row r="734" spans="5:6" x14ac:dyDescent="0.25">
      <c r="E734" s="36"/>
      <c r="F734" s="36"/>
    </row>
    <row r="735" spans="5:6" x14ac:dyDescent="0.25">
      <c r="E735" s="36"/>
      <c r="F735" s="36"/>
    </row>
    <row r="736" spans="5:6" x14ac:dyDescent="0.25">
      <c r="E736" s="36"/>
      <c r="F736" s="36"/>
    </row>
    <row r="737" spans="5:6" x14ac:dyDescent="0.25">
      <c r="E737" s="36"/>
      <c r="F737" s="36"/>
    </row>
    <row r="738" spans="5:6" x14ac:dyDescent="0.25">
      <c r="E738" s="36"/>
      <c r="F738" s="36"/>
    </row>
    <row r="739" spans="5:6" x14ac:dyDescent="0.25">
      <c r="E739" s="36"/>
      <c r="F739" s="36"/>
    </row>
    <row r="740" spans="5:6" x14ac:dyDescent="0.25">
      <c r="E740" s="36"/>
      <c r="F740" s="36"/>
    </row>
    <row r="741" spans="5:6" x14ac:dyDescent="0.25">
      <c r="E741" s="36"/>
      <c r="F741" s="36"/>
    </row>
    <row r="742" spans="5:6" x14ac:dyDescent="0.25">
      <c r="E742" s="36"/>
      <c r="F742" s="36"/>
    </row>
    <row r="743" spans="5:6" x14ac:dyDescent="0.25">
      <c r="E743" s="36"/>
      <c r="F743" s="36"/>
    </row>
    <row r="744" spans="5:6" x14ac:dyDescent="0.25">
      <c r="E744" s="36"/>
      <c r="F744" s="36"/>
    </row>
    <row r="745" spans="5:6" x14ac:dyDescent="0.25">
      <c r="E745" s="36"/>
      <c r="F745" s="36"/>
    </row>
    <row r="746" spans="5:6" x14ac:dyDescent="0.25">
      <c r="E746" s="36"/>
      <c r="F746" s="36"/>
    </row>
    <row r="747" spans="5:6" x14ac:dyDescent="0.25">
      <c r="E747" s="36"/>
      <c r="F747" s="36"/>
    </row>
    <row r="748" spans="5:6" x14ac:dyDescent="0.25">
      <c r="E748" s="36"/>
      <c r="F748" s="36"/>
    </row>
    <row r="749" spans="5:6" x14ac:dyDescent="0.25">
      <c r="E749" s="36"/>
      <c r="F749" s="36"/>
    </row>
    <row r="750" spans="5:6" x14ac:dyDescent="0.25">
      <c r="E750" s="36"/>
      <c r="F750" s="36"/>
    </row>
    <row r="751" spans="5:6" x14ac:dyDescent="0.25">
      <c r="E751" s="36"/>
      <c r="F751" s="36"/>
    </row>
    <row r="752" spans="5:6" x14ac:dyDescent="0.25">
      <c r="E752" s="36"/>
      <c r="F752" s="36"/>
    </row>
    <row r="753" spans="5:6" x14ac:dyDescent="0.25">
      <c r="E753" s="36"/>
      <c r="F753" s="36"/>
    </row>
    <row r="754" spans="5:6" x14ac:dyDescent="0.25">
      <c r="E754" s="36"/>
      <c r="F754" s="36"/>
    </row>
    <row r="755" spans="5:6" x14ac:dyDescent="0.25">
      <c r="E755" s="36"/>
      <c r="F755" s="36"/>
    </row>
    <row r="756" spans="5:6" x14ac:dyDescent="0.25">
      <c r="E756" s="36"/>
      <c r="F756" s="36"/>
    </row>
    <row r="757" spans="5:6" x14ac:dyDescent="0.25">
      <c r="E757" s="36"/>
      <c r="F757" s="36"/>
    </row>
    <row r="758" spans="5:6" x14ac:dyDescent="0.25">
      <c r="E758" s="36"/>
      <c r="F758" s="36"/>
    </row>
    <row r="759" spans="5:6" x14ac:dyDescent="0.25">
      <c r="E759" s="36"/>
      <c r="F759" s="36"/>
    </row>
    <row r="760" spans="5:6" x14ac:dyDescent="0.25">
      <c r="E760" s="36"/>
      <c r="F760" s="36"/>
    </row>
    <row r="761" spans="5:6" x14ac:dyDescent="0.25">
      <c r="E761" s="36"/>
      <c r="F761" s="36"/>
    </row>
    <row r="762" spans="5:6" x14ac:dyDescent="0.25">
      <c r="E762" s="36"/>
      <c r="F762" s="36"/>
    </row>
    <row r="763" spans="5:6" x14ac:dyDescent="0.25">
      <c r="E763" s="36"/>
      <c r="F763" s="36"/>
    </row>
    <row r="764" spans="5:6" x14ac:dyDescent="0.25">
      <c r="E764" s="36"/>
      <c r="F764" s="36"/>
    </row>
    <row r="765" spans="5:6" x14ac:dyDescent="0.25">
      <c r="E765" s="36"/>
      <c r="F765" s="36"/>
    </row>
    <row r="766" spans="5:6" x14ac:dyDescent="0.25">
      <c r="E766" s="36"/>
      <c r="F766" s="36"/>
    </row>
    <row r="767" spans="5:6" x14ac:dyDescent="0.25">
      <c r="E767" s="36"/>
      <c r="F767" s="36"/>
    </row>
    <row r="768" spans="5:6" x14ac:dyDescent="0.25">
      <c r="E768" s="36"/>
      <c r="F768" s="36"/>
    </row>
    <row r="769" spans="5:6" x14ac:dyDescent="0.25">
      <c r="E769" s="36"/>
      <c r="F769" s="36"/>
    </row>
    <row r="770" spans="5:6" x14ac:dyDescent="0.25">
      <c r="E770" s="36"/>
      <c r="F770" s="36"/>
    </row>
    <row r="771" spans="5:6" x14ac:dyDescent="0.25">
      <c r="E771" s="36"/>
      <c r="F771" s="36"/>
    </row>
    <row r="772" spans="5:6" x14ac:dyDescent="0.25">
      <c r="E772" s="36"/>
      <c r="F772" s="36"/>
    </row>
    <row r="773" spans="5:6" x14ac:dyDescent="0.25">
      <c r="E773" s="36"/>
      <c r="F773" s="36"/>
    </row>
    <row r="774" spans="5:6" x14ac:dyDescent="0.25">
      <c r="E774" s="36"/>
      <c r="F774" s="36"/>
    </row>
    <row r="775" spans="5:6" x14ac:dyDescent="0.25">
      <c r="E775" s="36"/>
      <c r="F775" s="36"/>
    </row>
    <row r="776" spans="5:6" x14ac:dyDescent="0.25">
      <c r="E776" s="36"/>
      <c r="F776" s="36"/>
    </row>
    <row r="777" spans="5:6" x14ac:dyDescent="0.25">
      <c r="E777" s="36"/>
      <c r="F777" s="36"/>
    </row>
    <row r="778" spans="5:6" x14ac:dyDescent="0.25">
      <c r="E778" s="36"/>
      <c r="F778" s="36"/>
    </row>
    <row r="779" spans="5:6" x14ac:dyDescent="0.25">
      <c r="E779" s="36"/>
      <c r="F779" s="36"/>
    </row>
    <row r="780" spans="5:6" x14ac:dyDescent="0.25">
      <c r="E780" s="36"/>
      <c r="F780" s="36"/>
    </row>
    <row r="781" spans="5:6" x14ac:dyDescent="0.25">
      <c r="E781" s="36"/>
      <c r="F781" s="36"/>
    </row>
    <row r="782" spans="5:6" x14ac:dyDescent="0.25">
      <c r="E782" s="36"/>
      <c r="F782" s="36"/>
    </row>
    <row r="783" spans="5:6" x14ac:dyDescent="0.25">
      <c r="E783" s="36"/>
      <c r="F783" s="36"/>
    </row>
    <row r="784" spans="5:6" x14ac:dyDescent="0.25">
      <c r="E784" s="36"/>
      <c r="F784" s="36"/>
    </row>
    <row r="785" spans="5:6" x14ac:dyDescent="0.25">
      <c r="E785" s="36"/>
      <c r="F785" s="36"/>
    </row>
    <row r="786" spans="5:6" x14ac:dyDescent="0.25">
      <c r="E786" s="36"/>
      <c r="F786" s="36"/>
    </row>
    <row r="787" spans="5:6" x14ac:dyDescent="0.25">
      <c r="E787" s="36"/>
      <c r="F787" s="36"/>
    </row>
    <row r="788" spans="5:6" x14ac:dyDescent="0.25">
      <c r="E788" s="36"/>
      <c r="F788" s="36"/>
    </row>
    <row r="789" spans="5:6" x14ac:dyDescent="0.25">
      <c r="E789" s="36"/>
      <c r="F789" s="36"/>
    </row>
    <row r="790" spans="5:6" x14ac:dyDescent="0.25">
      <c r="E790" s="36"/>
      <c r="F790" s="36"/>
    </row>
    <row r="791" spans="5:6" x14ac:dyDescent="0.25">
      <c r="E791" s="36"/>
      <c r="F791" s="36"/>
    </row>
    <row r="792" spans="5:6" x14ac:dyDescent="0.25">
      <c r="E792" s="36"/>
      <c r="F792" s="36"/>
    </row>
    <row r="793" spans="5:6" x14ac:dyDescent="0.25">
      <c r="E793" s="36"/>
      <c r="F793" s="36"/>
    </row>
    <row r="794" spans="5:6" x14ac:dyDescent="0.25">
      <c r="E794" s="36"/>
      <c r="F794" s="36"/>
    </row>
    <row r="795" spans="5:6" x14ac:dyDescent="0.25">
      <c r="E795" s="36"/>
      <c r="F795" s="36"/>
    </row>
    <row r="796" spans="5:6" x14ac:dyDescent="0.25">
      <c r="E796" s="36"/>
      <c r="F796" s="36"/>
    </row>
    <row r="797" spans="5:6" x14ac:dyDescent="0.25">
      <c r="E797" s="36"/>
      <c r="F797" s="36"/>
    </row>
    <row r="798" spans="5:6" x14ac:dyDescent="0.25">
      <c r="E798" s="36"/>
      <c r="F798" s="36"/>
    </row>
    <row r="799" spans="5:6" x14ac:dyDescent="0.25">
      <c r="E799" s="36"/>
      <c r="F799" s="36"/>
    </row>
    <row r="800" spans="5:6" x14ac:dyDescent="0.25">
      <c r="E800" s="36"/>
      <c r="F800" s="36"/>
    </row>
    <row r="801" spans="5:6" x14ac:dyDescent="0.25">
      <c r="E801" s="36"/>
      <c r="F801" s="36"/>
    </row>
    <row r="802" spans="5:6" x14ac:dyDescent="0.25">
      <c r="E802" s="36"/>
      <c r="F802" s="36"/>
    </row>
    <row r="803" spans="5:6" x14ac:dyDescent="0.25">
      <c r="E803" s="36"/>
      <c r="F803" s="36"/>
    </row>
    <row r="804" spans="5:6" x14ac:dyDescent="0.25">
      <c r="E804" s="36"/>
      <c r="F804" s="36"/>
    </row>
    <row r="805" spans="5:6" x14ac:dyDescent="0.25">
      <c r="E805" s="36"/>
      <c r="F805" s="36"/>
    </row>
    <row r="806" spans="5:6" x14ac:dyDescent="0.25">
      <c r="E806" s="36"/>
      <c r="F806" s="36"/>
    </row>
    <row r="807" spans="5:6" x14ac:dyDescent="0.25">
      <c r="E807" s="36"/>
      <c r="F807" s="36"/>
    </row>
    <row r="808" spans="5:6" x14ac:dyDescent="0.25">
      <c r="E808" s="36"/>
      <c r="F808" s="36"/>
    </row>
    <row r="809" spans="5:6" x14ac:dyDescent="0.25">
      <c r="E809" s="36"/>
      <c r="F809" s="36"/>
    </row>
    <row r="810" spans="5:6" x14ac:dyDescent="0.25">
      <c r="E810" s="36"/>
      <c r="F810" s="36"/>
    </row>
    <row r="811" spans="5:6" x14ac:dyDescent="0.25">
      <c r="E811" s="36"/>
      <c r="F811" s="36"/>
    </row>
    <row r="812" spans="5:6" x14ac:dyDescent="0.25">
      <c r="E812" s="36"/>
      <c r="F812" s="36"/>
    </row>
    <row r="813" spans="5:6" x14ac:dyDescent="0.25">
      <c r="E813" s="36"/>
      <c r="F813" s="36"/>
    </row>
    <row r="814" spans="5:6" x14ac:dyDescent="0.25">
      <c r="E814" s="36"/>
      <c r="F814" s="36"/>
    </row>
    <row r="815" spans="5:6" x14ac:dyDescent="0.25">
      <c r="E815" s="36"/>
      <c r="F815" s="36"/>
    </row>
    <row r="816" spans="5:6" x14ac:dyDescent="0.25">
      <c r="E816" s="36"/>
      <c r="F816" s="36"/>
    </row>
    <row r="817" spans="5:6" x14ac:dyDescent="0.25">
      <c r="E817" s="36"/>
      <c r="F817" s="36"/>
    </row>
    <row r="818" spans="5:6" x14ac:dyDescent="0.25">
      <c r="E818" s="36"/>
      <c r="F818" s="36"/>
    </row>
    <row r="819" spans="5:6" x14ac:dyDescent="0.25">
      <c r="E819" s="36"/>
      <c r="F819" s="36"/>
    </row>
    <row r="820" spans="5:6" x14ac:dyDescent="0.25">
      <c r="E820" s="36"/>
      <c r="F820" s="36"/>
    </row>
    <row r="821" spans="5:6" x14ac:dyDescent="0.25">
      <c r="E821" s="36"/>
      <c r="F821" s="36"/>
    </row>
    <row r="822" spans="5:6" x14ac:dyDescent="0.25">
      <c r="E822" s="36"/>
      <c r="F822" s="36"/>
    </row>
    <row r="823" spans="5:6" x14ac:dyDescent="0.25">
      <c r="E823" s="36"/>
      <c r="F823" s="36"/>
    </row>
    <row r="824" spans="5:6" x14ac:dyDescent="0.25">
      <c r="E824" s="36"/>
      <c r="F824" s="36"/>
    </row>
    <row r="825" spans="5:6" x14ac:dyDescent="0.25">
      <c r="E825" s="36"/>
      <c r="F825" s="36"/>
    </row>
    <row r="826" spans="5:6" x14ac:dyDescent="0.25">
      <c r="E826" s="36"/>
      <c r="F826" s="36"/>
    </row>
    <row r="827" spans="5:6" x14ac:dyDescent="0.25">
      <c r="E827" s="36"/>
      <c r="F827" s="36"/>
    </row>
    <row r="828" spans="5:6" x14ac:dyDescent="0.25">
      <c r="E828" s="36"/>
      <c r="F828" s="36"/>
    </row>
    <row r="829" spans="5:6" x14ac:dyDescent="0.25">
      <c r="E829" s="36"/>
      <c r="F829" s="36"/>
    </row>
    <row r="830" spans="5:6" x14ac:dyDescent="0.25">
      <c r="E830" s="36"/>
      <c r="F830" s="36"/>
    </row>
    <row r="831" spans="5:6" x14ac:dyDescent="0.25">
      <c r="E831" s="36"/>
      <c r="F831" s="36"/>
    </row>
    <row r="832" spans="5:6" x14ac:dyDescent="0.25">
      <c r="E832" s="36"/>
      <c r="F832" s="36"/>
    </row>
    <row r="833" spans="5:6" x14ac:dyDescent="0.25">
      <c r="E833" s="36"/>
      <c r="F833" s="36"/>
    </row>
    <row r="834" spans="5:6" x14ac:dyDescent="0.25">
      <c r="E834" s="36"/>
      <c r="F834" s="36"/>
    </row>
    <row r="835" spans="5:6" x14ac:dyDescent="0.25">
      <c r="E835" s="36"/>
      <c r="F835" s="36"/>
    </row>
    <row r="836" spans="5:6" x14ac:dyDescent="0.25">
      <c r="E836" s="36"/>
      <c r="F836" s="36"/>
    </row>
    <row r="837" spans="5:6" x14ac:dyDescent="0.25">
      <c r="E837" s="36"/>
      <c r="F837" s="36"/>
    </row>
    <row r="838" spans="5:6" x14ac:dyDescent="0.25">
      <c r="E838" s="36"/>
      <c r="F838" s="36"/>
    </row>
    <row r="839" spans="5:6" x14ac:dyDescent="0.25">
      <c r="E839" s="36"/>
      <c r="F839" s="36"/>
    </row>
    <row r="840" spans="5:6" x14ac:dyDescent="0.25">
      <c r="E840" s="36"/>
      <c r="F840" s="36"/>
    </row>
    <row r="841" spans="5:6" x14ac:dyDescent="0.25">
      <c r="E841" s="36"/>
      <c r="F841" s="36"/>
    </row>
    <row r="842" spans="5:6" x14ac:dyDescent="0.25">
      <c r="E842" s="36"/>
      <c r="F842" s="36"/>
    </row>
    <row r="843" spans="5:6" x14ac:dyDescent="0.25">
      <c r="E843" s="36"/>
      <c r="F843" s="36"/>
    </row>
    <row r="844" spans="5:6" x14ac:dyDescent="0.25">
      <c r="E844" s="36"/>
      <c r="F844" s="36"/>
    </row>
    <row r="845" spans="5:6" x14ac:dyDescent="0.25">
      <c r="E845" s="36"/>
      <c r="F845" s="36"/>
    </row>
    <row r="846" spans="5:6" x14ac:dyDescent="0.25">
      <c r="E846" s="36"/>
      <c r="F846" s="36"/>
    </row>
    <row r="847" spans="5:6" x14ac:dyDescent="0.25">
      <c r="E847" s="36"/>
      <c r="F847" s="36"/>
    </row>
    <row r="848" spans="5:6" x14ac:dyDescent="0.25">
      <c r="E848" s="36"/>
      <c r="F848" s="36"/>
    </row>
    <row r="849" spans="5:6" x14ac:dyDescent="0.25">
      <c r="E849" s="36"/>
      <c r="F849" s="36"/>
    </row>
    <row r="850" spans="5:6" x14ac:dyDescent="0.25">
      <c r="E850" s="36"/>
      <c r="F850" s="36"/>
    </row>
    <row r="851" spans="5:6" x14ac:dyDescent="0.25">
      <c r="E851" s="36"/>
      <c r="F851" s="36"/>
    </row>
    <row r="852" spans="5:6" x14ac:dyDescent="0.25">
      <c r="E852" s="36"/>
      <c r="F852" s="36"/>
    </row>
    <row r="853" spans="5:6" x14ac:dyDescent="0.25">
      <c r="E853" s="36"/>
      <c r="F853" s="36"/>
    </row>
    <row r="854" spans="5:6" x14ac:dyDescent="0.25">
      <c r="E854" s="36"/>
      <c r="F854" s="36"/>
    </row>
    <row r="855" spans="5:6" x14ac:dyDescent="0.25">
      <c r="E855" s="36"/>
      <c r="F855" s="36"/>
    </row>
    <row r="856" spans="5:6" x14ac:dyDescent="0.25">
      <c r="E856" s="36"/>
      <c r="F856" s="36"/>
    </row>
    <row r="857" spans="5:6" x14ac:dyDescent="0.25">
      <c r="E857" s="36"/>
      <c r="F857" s="36"/>
    </row>
    <row r="858" spans="5:6" x14ac:dyDescent="0.25">
      <c r="E858" s="36"/>
      <c r="F858" s="36"/>
    </row>
    <row r="859" spans="5:6" x14ac:dyDescent="0.25">
      <c r="E859" s="36"/>
      <c r="F859" s="36"/>
    </row>
    <row r="860" spans="5:6" x14ac:dyDescent="0.25">
      <c r="E860" s="36"/>
      <c r="F860" s="36"/>
    </row>
    <row r="861" spans="5:6" x14ac:dyDescent="0.25">
      <c r="E861" s="36"/>
      <c r="F861" s="36"/>
    </row>
    <row r="862" spans="5:6" x14ac:dyDescent="0.25">
      <c r="E862" s="36"/>
      <c r="F862" s="36"/>
    </row>
    <row r="863" spans="5:6" x14ac:dyDescent="0.25">
      <c r="E863" s="36"/>
      <c r="F863" s="36"/>
    </row>
    <row r="864" spans="5:6" x14ac:dyDescent="0.25">
      <c r="E864" s="36"/>
      <c r="F864" s="36"/>
    </row>
    <row r="865" spans="5:6" x14ac:dyDescent="0.25">
      <c r="E865" s="36"/>
      <c r="F865" s="36"/>
    </row>
    <row r="866" spans="5:6" x14ac:dyDescent="0.25">
      <c r="E866" s="36"/>
      <c r="F866" s="36"/>
    </row>
    <row r="867" spans="5:6" x14ac:dyDescent="0.25">
      <c r="E867" s="36"/>
      <c r="F867" s="36"/>
    </row>
    <row r="868" spans="5:6" x14ac:dyDescent="0.25">
      <c r="E868" s="36"/>
      <c r="F868" s="36"/>
    </row>
    <row r="869" spans="5:6" x14ac:dyDescent="0.25">
      <c r="E869" s="36"/>
      <c r="F869" s="36"/>
    </row>
    <row r="870" spans="5:6" x14ac:dyDescent="0.25">
      <c r="E870" s="36"/>
      <c r="F870" s="36"/>
    </row>
    <row r="871" spans="5:6" x14ac:dyDescent="0.25">
      <c r="E871" s="36"/>
      <c r="F871" s="36"/>
    </row>
    <row r="872" spans="5:6" x14ac:dyDescent="0.25">
      <c r="E872" s="36"/>
      <c r="F872" s="36"/>
    </row>
    <row r="873" spans="5:6" x14ac:dyDescent="0.25">
      <c r="E873" s="36"/>
      <c r="F873" s="36"/>
    </row>
    <row r="874" spans="5:6" x14ac:dyDescent="0.25">
      <c r="E874" s="36"/>
      <c r="F874" s="36"/>
    </row>
    <row r="875" spans="5:6" x14ac:dyDescent="0.25">
      <c r="E875" s="36"/>
      <c r="F875" s="36"/>
    </row>
    <row r="876" spans="5:6" x14ac:dyDescent="0.25">
      <c r="E876" s="36"/>
      <c r="F876" s="36"/>
    </row>
    <row r="877" spans="5:6" x14ac:dyDescent="0.25">
      <c r="E877" s="36"/>
      <c r="F877" s="36"/>
    </row>
    <row r="878" spans="5:6" x14ac:dyDescent="0.25">
      <c r="E878" s="36"/>
      <c r="F878" s="36"/>
    </row>
    <row r="879" spans="5:6" x14ac:dyDescent="0.25">
      <c r="E879" s="36"/>
      <c r="F879" s="36"/>
    </row>
    <row r="880" spans="5:6" x14ac:dyDescent="0.25">
      <c r="E880" s="36"/>
      <c r="F880" s="36"/>
    </row>
    <row r="881" spans="5:6" x14ac:dyDescent="0.25">
      <c r="E881" s="36"/>
      <c r="F881" s="36"/>
    </row>
    <row r="882" spans="5:6" x14ac:dyDescent="0.25">
      <c r="E882" s="36"/>
      <c r="F882" s="36"/>
    </row>
    <row r="883" spans="5:6" x14ac:dyDescent="0.25">
      <c r="E883" s="36"/>
      <c r="F883" s="36"/>
    </row>
    <row r="884" spans="5:6" x14ac:dyDescent="0.25">
      <c r="E884" s="36"/>
      <c r="F884" s="36"/>
    </row>
    <row r="885" spans="5:6" x14ac:dyDescent="0.25">
      <c r="E885" s="36"/>
      <c r="F885" s="36"/>
    </row>
    <row r="886" spans="5:6" x14ac:dyDescent="0.25">
      <c r="E886" s="36"/>
      <c r="F886" s="36"/>
    </row>
    <row r="887" spans="5:6" x14ac:dyDescent="0.25">
      <c r="E887" s="36"/>
      <c r="F887" s="36"/>
    </row>
    <row r="888" spans="5:6" x14ac:dyDescent="0.25">
      <c r="E888" s="36"/>
      <c r="F888" s="36"/>
    </row>
    <row r="889" spans="5:6" x14ac:dyDescent="0.25">
      <c r="E889" s="36"/>
      <c r="F889" s="36"/>
    </row>
    <row r="890" spans="5:6" x14ac:dyDescent="0.25">
      <c r="E890" s="36"/>
      <c r="F890" s="36"/>
    </row>
    <row r="891" spans="5:6" x14ac:dyDescent="0.25">
      <c r="E891" s="36"/>
      <c r="F891" s="36"/>
    </row>
    <row r="892" spans="5:6" x14ac:dyDescent="0.25">
      <c r="E892" s="36"/>
      <c r="F892" s="36"/>
    </row>
    <row r="893" spans="5:6" x14ac:dyDescent="0.25">
      <c r="E893" s="36"/>
      <c r="F893" s="36"/>
    </row>
    <row r="894" spans="5:6" x14ac:dyDescent="0.25">
      <c r="E894" s="36"/>
      <c r="F894" s="36"/>
    </row>
    <row r="895" spans="5:6" x14ac:dyDescent="0.25">
      <c r="E895" s="36"/>
      <c r="F895" s="36"/>
    </row>
    <row r="896" spans="5:6" x14ac:dyDescent="0.25">
      <c r="E896" s="36"/>
      <c r="F896" s="36"/>
    </row>
    <row r="897" spans="5:6" x14ac:dyDescent="0.25">
      <c r="E897" s="36"/>
      <c r="F897" s="36"/>
    </row>
    <row r="898" spans="5:6" x14ac:dyDescent="0.25">
      <c r="E898" s="36"/>
      <c r="F898" s="36"/>
    </row>
    <row r="899" spans="5:6" x14ac:dyDescent="0.25">
      <c r="E899" s="36"/>
      <c r="F899" s="36"/>
    </row>
    <row r="900" spans="5:6" x14ac:dyDescent="0.25">
      <c r="E900" s="36"/>
      <c r="F900" s="36"/>
    </row>
    <row r="901" spans="5:6" x14ac:dyDescent="0.25">
      <c r="E901" s="36"/>
      <c r="F901" s="36"/>
    </row>
    <row r="902" spans="5:6" x14ac:dyDescent="0.25">
      <c r="E902" s="36"/>
      <c r="F902" s="36"/>
    </row>
    <row r="903" spans="5:6" x14ac:dyDescent="0.25">
      <c r="E903" s="36"/>
      <c r="F903" s="36"/>
    </row>
    <row r="904" spans="5:6" x14ac:dyDescent="0.25">
      <c r="E904" s="36"/>
      <c r="F904" s="36"/>
    </row>
    <row r="905" spans="5:6" x14ac:dyDescent="0.25">
      <c r="E905" s="36"/>
      <c r="F905" s="36"/>
    </row>
    <row r="906" spans="5:6" x14ac:dyDescent="0.25">
      <c r="E906" s="36"/>
      <c r="F906" s="36"/>
    </row>
    <row r="907" spans="5:6" x14ac:dyDescent="0.25">
      <c r="E907" s="36"/>
      <c r="F907" s="36"/>
    </row>
    <row r="908" spans="5:6" x14ac:dyDescent="0.25">
      <c r="E908" s="36"/>
      <c r="F908" s="36"/>
    </row>
    <row r="909" spans="5:6" x14ac:dyDescent="0.25">
      <c r="E909" s="36"/>
      <c r="F909" s="36"/>
    </row>
    <row r="910" spans="5:6" x14ac:dyDescent="0.25">
      <c r="E910" s="36"/>
      <c r="F910" s="36"/>
    </row>
    <row r="911" spans="5:6" x14ac:dyDescent="0.25">
      <c r="E911" s="36"/>
      <c r="F911" s="36"/>
    </row>
    <row r="912" spans="5:6" x14ac:dyDescent="0.25">
      <c r="E912" s="36"/>
      <c r="F912" s="36"/>
    </row>
    <row r="913" spans="5:6" x14ac:dyDescent="0.25">
      <c r="E913" s="36"/>
      <c r="F913" s="36"/>
    </row>
    <row r="914" spans="5:6" x14ac:dyDescent="0.25">
      <c r="E914" s="36"/>
      <c r="F914" s="36"/>
    </row>
    <row r="915" spans="5:6" x14ac:dyDescent="0.25">
      <c r="E915" s="36"/>
      <c r="F915" s="36"/>
    </row>
    <row r="916" spans="5:6" x14ac:dyDescent="0.25">
      <c r="E916" s="36"/>
      <c r="F916" s="36"/>
    </row>
    <row r="917" spans="5:6" x14ac:dyDescent="0.25">
      <c r="E917" s="36"/>
      <c r="F917" s="36"/>
    </row>
    <row r="918" spans="5:6" x14ac:dyDescent="0.25">
      <c r="E918" s="36"/>
      <c r="F918" s="36"/>
    </row>
    <row r="919" spans="5:6" x14ac:dyDescent="0.25">
      <c r="E919" s="36"/>
      <c r="F919" s="36"/>
    </row>
    <row r="920" spans="5:6" x14ac:dyDescent="0.25">
      <c r="E920" s="36"/>
      <c r="F920" s="36"/>
    </row>
    <row r="921" spans="5:6" x14ac:dyDescent="0.25">
      <c r="E921" s="36"/>
      <c r="F921" s="36"/>
    </row>
    <row r="922" spans="5:6" x14ac:dyDescent="0.25">
      <c r="E922" s="36"/>
      <c r="F922" s="36"/>
    </row>
    <row r="923" spans="5:6" x14ac:dyDescent="0.25">
      <c r="E923" s="36"/>
      <c r="F923" s="36"/>
    </row>
    <row r="924" spans="5:6" x14ac:dyDescent="0.25">
      <c r="E924" s="36"/>
      <c r="F924" s="36"/>
    </row>
    <row r="925" spans="5:6" x14ac:dyDescent="0.25">
      <c r="E925" s="36"/>
      <c r="F925" s="36"/>
    </row>
    <row r="926" spans="5:6" x14ac:dyDescent="0.25">
      <c r="E926" s="36"/>
      <c r="F926" s="36"/>
    </row>
    <row r="927" spans="5:6" x14ac:dyDescent="0.25">
      <c r="E927" s="36"/>
      <c r="F927" s="36"/>
    </row>
    <row r="928" spans="5:6" x14ac:dyDescent="0.25">
      <c r="E928" s="36"/>
      <c r="F928" s="36"/>
    </row>
    <row r="929" spans="5:6" x14ac:dyDescent="0.25">
      <c r="E929" s="36"/>
      <c r="F929" s="36"/>
    </row>
    <row r="930" spans="5:6" x14ac:dyDescent="0.25">
      <c r="E930" s="36"/>
      <c r="F930" s="36"/>
    </row>
    <row r="931" spans="5:6" x14ac:dyDescent="0.25">
      <c r="E931" s="36"/>
      <c r="F931" s="36"/>
    </row>
    <row r="932" spans="5:6" x14ac:dyDescent="0.25">
      <c r="E932" s="36"/>
      <c r="F932" s="36"/>
    </row>
    <row r="933" spans="5:6" x14ac:dyDescent="0.25">
      <c r="E933" s="36"/>
      <c r="F933" s="36"/>
    </row>
    <row r="934" spans="5:6" x14ac:dyDescent="0.25">
      <c r="E934" s="36"/>
      <c r="F934" s="36"/>
    </row>
    <row r="935" spans="5:6" x14ac:dyDescent="0.25">
      <c r="E935" s="36"/>
      <c r="F935" s="36"/>
    </row>
    <row r="936" spans="5:6" x14ac:dyDescent="0.25">
      <c r="E936" s="36"/>
      <c r="F936" s="36"/>
    </row>
    <row r="937" spans="5:6" x14ac:dyDescent="0.25">
      <c r="E937" s="36"/>
      <c r="F937" s="36"/>
    </row>
    <row r="938" spans="5:6" x14ac:dyDescent="0.25">
      <c r="E938" s="36"/>
      <c r="F938" s="36"/>
    </row>
    <row r="939" spans="5:6" x14ac:dyDescent="0.25">
      <c r="E939" s="36"/>
      <c r="F939" s="36"/>
    </row>
    <row r="940" spans="5:6" x14ac:dyDescent="0.25">
      <c r="E940" s="36"/>
      <c r="F940" s="36"/>
    </row>
    <row r="941" spans="5:6" x14ac:dyDescent="0.25">
      <c r="E941" s="36"/>
      <c r="F941" s="36"/>
    </row>
    <row r="942" spans="5:6" x14ac:dyDescent="0.25">
      <c r="E942" s="36"/>
      <c r="F942" s="36"/>
    </row>
    <row r="943" spans="5:6" x14ac:dyDescent="0.25">
      <c r="E943" s="36"/>
      <c r="F943" s="36"/>
    </row>
    <row r="944" spans="5:6" x14ac:dyDescent="0.25">
      <c r="E944" s="36"/>
      <c r="F944" s="36"/>
    </row>
    <row r="945" spans="5:6" x14ac:dyDescent="0.25">
      <c r="E945" s="36"/>
      <c r="F945" s="36"/>
    </row>
    <row r="946" spans="5:6" x14ac:dyDescent="0.25">
      <c r="E946" s="36"/>
      <c r="F946" s="36"/>
    </row>
    <row r="947" spans="5:6" x14ac:dyDescent="0.25">
      <c r="E947" s="36"/>
      <c r="F947" s="36"/>
    </row>
    <row r="948" spans="5:6" x14ac:dyDescent="0.25">
      <c r="E948" s="36"/>
      <c r="F948" s="36"/>
    </row>
    <row r="949" spans="5:6" x14ac:dyDescent="0.25">
      <c r="E949" s="36"/>
      <c r="F949" s="36"/>
    </row>
    <row r="950" spans="5:6" x14ac:dyDescent="0.25">
      <c r="E950" s="36"/>
      <c r="F950" s="36"/>
    </row>
    <row r="951" spans="5:6" x14ac:dyDescent="0.25">
      <c r="E951" s="36"/>
      <c r="F951" s="36"/>
    </row>
    <row r="952" spans="5:6" x14ac:dyDescent="0.25">
      <c r="E952" s="36"/>
      <c r="F952" s="36"/>
    </row>
    <row r="953" spans="5:6" x14ac:dyDescent="0.25">
      <c r="E953" s="36"/>
      <c r="F953" s="36"/>
    </row>
    <row r="954" spans="5:6" x14ac:dyDescent="0.25">
      <c r="E954" s="36"/>
      <c r="F954" s="36"/>
    </row>
    <row r="955" spans="5:6" x14ac:dyDescent="0.25">
      <c r="E955" s="36"/>
      <c r="F955" s="36"/>
    </row>
    <row r="956" spans="5:6" x14ac:dyDescent="0.25">
      <c r="E956" s="36"/>
      <c r="F956" s="36"/>
    </row>
    <row r="957" spans="5:6" x14ac:dyDescent="0.25">
      <c r="E957" s="36"/>
      <c r="F957" s="36"/>
    </row>
    <row r="958" spans="5:6" x14ac:dyDescent="0.25">
      <c r="E958" s="36"/>
      <c r="F958" s="36"/>
    </row>
    <row r="959" spans="5:6" x14ac:dyDescent="0.25">
      <c r="E959" s="36"/>
      <c r="F959" s="36"/>
    </row>
    <row r="960" spans="5:6" x14ac:dyDescent="0.25">
      <c r="E960" s="36"/>
      <c r="F960" s="36"/>
    </row>
    <row r="961" spans="5:6" x14ac:dyDescent="0.25">
      <c r="E961" s="36"/>
      <c r="F961" s="36"/>
    </row>
    <row r="962" spans="5:6" x14ac:dyDescent="0.25">
      <c r="E962" s="36"/>
      <c r="F962" s="36"/>
    </row>
    <row r="963" spans="5:6" x14ac:dyDescent="0.25">
      <c r="E963" s="36"/>
      <c r="F963" s="36"/>
    </row>
    <row r="964" spans="5:6" x14ac:dyDescent="0.25">
      <c r="E964" s="36"/>
      <c r="F964" s="36"/>
    </row>
    <row r="965" spans="5:6" x14ac:dyDescent="0.25">
      <c r="E965" s="36"/>
      <c r="F965" s="36"/>
    </row>
    <row r="966" spans="5:6" x14ac:dyDescent="0.25">
      <c r="E966" s="36"/>
      <c r="F966" s="36"/>
    </row>
    <row r="967" spans="5:6" x14ac:dyDescent="0.25">
      <c r="E967" s="36"/>
      <c r="F967" s="36"/>
    </row>
    <row r="968" spans="5:6" x14ac:dyDescent="0.25">
      <c r="E968" s="36"/>
      <c r="F968" s="36"/>
    </row>
    <row r="969" spans="5:6" x14ac:dyDescent="0.25">
      <c r="E969" s="36"/>
      <c r="F969" s="36"/>
    </row>
    <row r="970" spans="5:6" x14ac:dyDescent="0.25">
      <c r="E970" s="36"/>
      <c r="F970" s="36"/>
    </row>
    <row r="971" spans="5:6" x14ac:dyDescent="0.25">
      <c r="E971" s="36"/>
      <c r="F971" s="36"/>
    </row>
    <row r="972" spans="5:6" x14ac:dyDescent="0.25">
      <c r="E972" s="36"/>
      <c r="F972" s="36"/>
    </row>
    <row r="973" spans="5:6" x14ac:dyDescent="0.25">
      <c r="E973" s="36"/>
      <c r="F973" s="36"/>
    </row>
    <row r="974" spans="5:6" x14ac:dyDescent="0.25">
      <c r="E974" s="36"/>
      <c r="F974" s="36"/>
    </row>
    <row r="975" spans="5:6" x14ac:dyDescent="0.25">
      <c r="E975" s="36"/>
      <c r="F975" s="36"/>
    </row>
    <row r="976" spans="5:6" x14ac:dyDescent="0.25">
      <c r="E976" s="36"/>
      <c r="F976" s="36"/>
    </row>
    <row r="977" spans="5:6" x14ac:dyDescent="0.25">
      <c r="E977" s="36"/>
      <c r="F977" s="36"/>
    </row>
    <row r="978" spans="5:6" x14ac:dyDescent="0.25">
      <c r="E978" s="36"/>
      <c r="F978" s="36"/>
    </row>
    <row r="979" spans="5:6" x14ac:dyDescent="0.25">
      <c r="E979" s="36"/>
      <c r="F979" s="36"/>
    </row>
    <row r="980" spans="5:6" x14ac:dyDescent="0.25">
      <c r="E980" s="36"/>
      <c r="F980" s="36"/>
    </row>
    <row r="981" spans="5:6" x14ac:dyDescent="0.25">
      <c r="E981" s="36"/>
      <c r="F981" s="36"/>
    </row>
    <row r="982" spans="5:6" x14ac:dyDescent="0.25">
      <c r="E982" s="36"/>
      <c r="F982" s="36"/>
    </row>
    <row r="983" spans="5:6" x14ac:dyDescent="0.25">
      <c r="E983" s="36"/>
      <c r="F983" s="36"/>
    </row>
    <row r="984" spans="5:6" x14ac:dyDescent="0.25">
      <c r="E984" s="36"/>
      <c r="F984" s="36"/>
    </row>
    <row r="985" spans="5:6" x14ac:dyDescent="0.25">
      <c r="E985" s="36"/>
      <c r="F985" s="36"/>
    </row>
    <row r="986" spans="5:6" x14ac:dyDescent="0.25">
      <c r="E986" s="36"/>
      <c r="F986" s="36"/>
    </row>
    <row r="987" spans="5:6" x14ac:dyDescent="0.25">
      <c r="E987" s="36"/>
      <c r="F987" s="36"/>
    </row>
    <row r="988" spans="5:6" x14ac:dyDescent="0.25">
      <c r="E988" s="36"/>
      <c r="F988" s="36"/>
    </row>
    <row r="989" spans="5:6" x14ac:dyDescent="0.25">
      <c r="E989" s="36"/>
      <c r="F989" s="36"/>
    </row>
    <row r="990" spans="5:6" x14ac:dyDescent="0.25">
      <c r="E990" s="36"/>
      <c r="F990" s="36"/>
    </row>
    <row r="991" spans="5:6" x14ac:dyDescent="0.25">
      <c r="E991" s="36"/>
      <c r="F991" s="36"/>
    </row>
    <row r="992" spans="5:6" x14ac:dyDescent="0.25">
      <c r="E992" s="36"/>
      <c r="F992" s="36"/>
    </row>
    <row r="993" spans="5:6" x14ac:dyDescent="0.25">
      <c r="E993" s="36"/>
      <c r="F993" s="36"/>
    </row>
    <row r="994" spans="5:6" x14ac:dyDescent="0.25">
      <c r="E994" s="36"/>
      <c r="F994" s="36"/>
    </row>
    <row r="995" spans="5:6" x14ac:dyDescent="0.25">
      <c r="E995" s="36"/>
      <c r="F995" s="36"/>
    </row>
    <row r="996" spans="5:6" x14ac:dyDescent="0.25">
      <c r="E996" s="36"/>
      <c r="F996" s="36"/>
    </row>
    <row r="997" spans="5:6" x14ac:dyDescent="0.25">
      <c r="E997" s="36"/>
      <c r="F997" s="36"/>
    </row>
    <row r="998" spans="5:6" x14ac:dyDescent="0.25">
      <c r="E998" s="36"/>
      <c r="F998" s="36"/>
    </row>
    <row r="999" spans="5:6" x14ac:dyDescent="0.25">
      <c r="E999" s="36"/>
      <c r="F999" s="36"/>
    </row>
    <row r="1000" spans="5:6" x14ac:dyDescent="0.25">
      <c r="E1000" s="36"/>
      <c r="F1000" s="36"/>
    </row>
    <row r="1001" spans="5:6" x14ac:dyDescent="0.25">
      <c r="E1001" s="36"/>
      <c r="F1001" s="36"/>
    </row>
    <row r="1002" spans="5:6" x14ac:dyDescent="0.25">
      <c r="E1002" s="36"/>
      <c r="F1002" s="36"/>
    </row>
    <row r="1003" spans="5:6" x14ac:dyDescent="0.25">
      <c r="E1003" s="36"/>
      <c r="F1003" s="36"/>
    </row>
  </sheetData>
  <phoneticPr fontId="0" type="noConversion"/>
  <printOptions headings="1" gridLines="1"/>
  <pageMargins left="0.75" right="0.75" top="1" bottom="1" header="0.5" footer="0.5"/>
  <pageSetup scale="90" orientation="portrait" horizontalDpi="1200" verticalDpi="12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Summary">
    <pageSetUpPr fitToPage="1"/>
  </sheetPr>
  <dimension ref="A1:F10"/>
  <sheetViews>
    <sheetView workbookViewId="0">
      <selection activeCell="A2" sqref="A2"/>
    </sheetView>
  </sheetViews>
  <sheetFormatPr defaultRowHeight="15" x14ac:dyDescent="0.25"/>
  <cols>
    <col min="1" max="1" width="14.7109375" style="5" customWidth="1"/>
    <col min="2" max="6" width="17.7109375" style="5" customWidth="1"/>
    <col min="7" max="16384" width="9.140625" style="5"/>
  </cols>
  <sheetData>
    <row r="1" spans="1:6" x14ac:dyDescent="0.25">
      <c r="A1" s="4" t="s">
        <v>46</v>
      </c>
    </row>
    <row r="3" spans="1:6" x14ac:dyDescent="0.25">
      <c r="B3" s="17" t="s">
        <v>23</v>
      </c>
      <c r="C3" s="17" t="s">
        <v>44</v>
      </c>
      <c r="D3" s="17" t="s">
        <v>45</v>
      </c>
      <c r="E3" s="17" t="s">
        <v>56</v>
      </c>
      <c r="F3" s="17" t="s">
        <v>57</v>
      </c>
    </row>
    <row r="4" spans="1:6" x14ac:dyDescent="0.25">
      <c r="A4" s="5" t="s">
        <v>47</v>
      </c>
      <c r="B4" s="11">
        <v>12.04</v>
      </c>
      <c r="C4" s="11">
        <v>33.19</v>
      </c>
      <c r="D4" s="11">
        <v>-48477.64</v>
      </c>
      <c r="E4" s="18">
        <v>15.01</v>
      </c>
      <c r="F4" s="18">
        <v>50</v>
      </c>
    </row>
    <row r="5" spans="1:6" x14ac:dyDescent="0.25">
      <c r="A5" s="5" t="s">
        <v>48</v>
      </c>
      <c r="B5" s="11">
        <v>127365.13</v>
      </c>
      <c r="C5" s="11">
        <v>102275.69</v>
      </c>
      <c r="D5" s="11">
        <v>31785.15</v>
      </c>
      <c r="E5" s="18">
        <v>50</v>
      </c>
      <c r="F5" s="18">
        <v>123.84</v>
      </c>
    </row>
    <row r="6" spans="1:6" x14ac:dyDescent="0.25">
      <c r="A6" s="5" t="s">
        <v>49</v>
      </c>
      <c r="B6" s="11">
        <v>91166.093200000032</v>
      </c>
      <c r="C6" s="11">
        <v>9684.8194199999962</v>
      </c>
      <c r="D6" s="11">
        <v>850.91262000000029</v>
      </c>
      <c r="E6" s="18">
        <v>39.44099999999996</v>
      </c>
      <c r="F6" s="18">
        <v>64.429739999999981</v>
      </c>
    </row>
    <row r="7" spans="1:6" x14ac:dyDescent="0.25">
      <c r="A7" s="5" t="s">
        <v>50</v>
      </c>
      <c r="B7" s="11">
        <v>21885.411730677264</v>
      </c>
      <c r="C7" s="11">
        <v>17915.250032057047</v>
      </c>
      <c r="D7" s="11">
        <v>8890.6787553148588</v>
      </c>
      <c r="E7" s="18">
        <v>7.0945586843619637</v>
      </c>
      <c r="F7" s="18">
        <v>12.681752063623131</v>
      </c>
    </row>
    <row r="8" spans="1:6" x14ac:dyDescent="0.25">
      <c r="A8" s="5" t="s">
        <v>53</v>
      </c>
      <c r="B8" s="11">
        <v>100411.675</v>
      </c>
      <c r="C8" s="11">
        <v>1736.9549999999999</v>
      </c>
      <c r="D8" s="11">
        <v>2288.1400000000003</v>
      </c>
      <c r="E8" s="18">
        <v>40.155000000000001</v>
      </c>
      <c r="F8" s="18">
        <v>61.03</v>
      </c>
    </row>
    <row r="9" spans="1:6" x14ac:dyDescent="0.25">
      <c r="A9" s="5" t="s">
        <v>51</v>
      </c>
      <c r="B9" s="11">
        <v>42831.563000000009</v>
      </c>
      <c r="C9" s="11">
        <v>51.518999999999998</v>
      </c>
      <c r="D9" s="11">
        <v>-16352.449999999999</v>
      </c>
      <c r="E9" s="18">
        <v>25.930500000000002</v>
      </c>
      <c r="F9" s="18">
        <v>50</v>
      </c>
    </row>
    <row r="10" spans="1:6" x14ac:dyDescent="0.25">
      <c r="A10" s="5" t="s">
        <v>52</v>
      </c>
      <c r="B10" s="11">
        <v>107718.031</v>
      </c>
      <c r="C10" s="11">
        <v>50975.501999999993</v>
      </c>
      <c r="D10" s="11">
        <v>11541.669999999989</v>
      </c>
      <c r="E10" s="18">
        <v>49.675999999999995</v>
      </c>
      <c r="F10" s="18">
        <v>88.448499999999996</v>
      </c>
    </row>
  </sheetData>
  <phoneticPr fontId="0" type="noConversion"/>
  <printOptions headings="1" gridLines="1"/>
  <pageMargins left="0.75" right="0.75" top="1" bottom="1" header="0.5" footer="0.5"/>
  <pageSetup scale="84" orientation="portrait" horizontalDpi="1200" verticalDpi="12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Histogram1"/>
  <dimension ref="A1:E13"/>
  <sheetViews>
    <sheetView workbookViewId="0">
      <selection activeCell="A2" sqref="A2"/>
    </sheetView>
  </sheetViews>
  <sheetFormatPr defaultRowHeight="15" x14ac:dyDescent="0.25"/>
  <cols>
    <col min="1" max="1" width="12.5703125" style="5" customWidth="1"/>
    <col min="2" max="2" width="15.5703125" style="17" customWidth="1"/>
    <col min="3" max="3" width="12.28515625" style="5" customWidth="1"/>
    <col min="4" max="16384" width="9.140625" style="5"/>
  </cols>
  <sheetData>
    <row r="1" spans="1:5" x14ac:dyDescent="0.25">
      <c r="A1" s="4" t="s">
        <v>61</v>
      </c>
    </row>
    <row r="3" spans="1:5" x14ac:dyDescent="0.25">
      <c r="A3" s="17" t="s">
        <v>58</v>
      </c>
      <c r="B3" s="17" t="s">
        <v>59</v>
      </c>
      <c r="C3" s="17" t="s">
        <v>60</v>
      </c>
      <c r="D3" s="17"/>
      <c r="E3" s="17"/>
    </row>
    <row r="4" spans="1:5" x14ac:dyDescent="0.25">
      <c r="A4" s="5">
        <v>42832</v>
      </c>
      <c r="B4" s="19" t="s">
        <v>86</v>
      </c>
      <c r="C4" s="5">
        <f t="array" ref="C4:C13">FREQUENCY(Replications!$B$4:$B$503,$A$4:$A$12)</f>
        <v>25</v>
      </c>
    </row>
    <row r="5" spans="1:5" x14ac:dyDescent="0.25">
      <c r="A5" s="5">
        <v>50942</v>
      </c>
      <c r="B5" s="19" t="s">
        <v>87</v>
      </c>
      <c r="C5" s="5">
        <v>10</v>
      </c>
    </row>
    <row r="6" spans="1:5" x14ac:dyDescent="0.25">
      <c r="A6" s="5">
        <v>59053</v>
      </c>
      <c r="B6" s="19" t="s">
        <v>88</v>
      </c>
      <c r="C6" s="5">
        <v>9</v>
      </c>
    </row>
    <row r="7" spans="1:5" x14ac:dyDescent="0.25">
      <c r="A7" s="5">
        <v>67164</v>
      </c>
      <c r="B7" s="19" t="s">
        <v>89</v>
      </c>
      <c r="C7" s="5">
        <v>15</v>
      </c>
    </row>
    <row r="8" spans="1:5" x14ac:dyDescent="0.25">
      <c r="A8" s="5">
        <v>75275</v>
      </c>
      <c r="B8" s="19" t="s">
        <v>90</v>
      </c>
      <c r="C8" s="5">
        <v>18</v>
      </c>
    </row>
    <row r="9" spans="1:5" x14ac:dyDescent="0.25">
      <c r="A9" s="5">
        <v>83386</v>
      </c>
      <c r="B9" s="19" t="s">
        <v>91</v>
      </c>
      <c r="C9" s="5">
        <v>23</v>
      </c>
    </row>
    <row r="10" spans="1:5" x14ac:dyDescent="0.25">
      <c r="A10" s="5">
        <v>91496</v>
      </c>
      <c r="B10" s="19" t="s">
        <v>92</v>
      </c>
      <c r="C10" s="5">
        <v>39</v>
      </c>
    </row>
    <row r="11" spans="1:5" x14ac:dyDescent="0.25">
      <c r="A11" s="5">
        <v>99607</v>
      </c>
      <c r="B11" s="19" t="s">
        <v>93</v>
      </c>
      <c r="C11" s="5">
        <v>96</v>
      </c>
    </row>
    <row r="12" spans="1:5" x14ac:dyDescent="0.25">
      <c r="A12" s="5">
        <v>107718</v>
      </c>
      <c r="B12" s="19" t="s">
        <v>94</v>
      </c>
      <c r="C12" s="5">
        <v>240</v>
      </c>
    </row>
    <row r="13" spans="1:5" x14ac:dyDescent="0.25">
      <c r="B13" s="19" t="s">
        <v>95</v>
      </c>
      <c r="C13" s="5">
        <v>25</v>
      </c>
    </row>
  </sheetData>
  <phoneticPr fontId="0" type="noConversion"/>
  <pageMargins left="0.75" right="0.75" top="1" bottom="1" header="0.5" footer="0.5"/>
  <headerFooter alignWithMargins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Histogram2"/>
  <dimension ref="A1:E13"/>
  <sheetViews>
    <sheetView workbookViewId="0">
      <selection activeCell="A2" sqref="A2"/>
    </sheetView>
  </sheetViews>
  <sheetFormatPr defaultRowHeight="15" x14ac:dyDescent="0.25"/>
  <cols>
    <col min="1" max="1" width="12.5703125" style="5" customWidth="1"/>
    <col min="2" max="2" width="15.5703125" style="17" customWidth="1"/>
    <col min="3" max="3" width="12.28515625" style="5" customWidth="1"/>
    <col min="4" max="16384" width="9.140625" style="5"/>
  </cols>
  <sheetData>
    <row r="1" spans="1:5" x14ac:dyDescent="0.25">
      <c r="A1" s="4" t="s">
        <v>62</v>
      </c>
    </row>
    <row r="3" spans="1:5" x14ac:dyDescent="0.25">
      <c r="A3" s="17" t="s">
        <v>58</v>
      </c>
      <c r="B3" s="17" t="s">
        <v>59</v>
      </c>
      <c r="C3" s="17" t="s">
        <v>60</v>
      </c>
      <c r="D3" s="17"/>
      <c r="E3" s="17"/>
    </row>
    <row r="4" spans="1:5" x14ac:dyDescent="0.25">
      <c r="A4" s="5">
        <v>52</v>
      </c>
      <c r="B4" s="19" t="s">
        <v>96</v>
      </c>
      <c r="C4" s="5">
        <f t="array" ref="C4:C13">FREQUENCY(Replications!$C$4:$C$503,$A$4:$A$12)</f>
        <v>27</v>
      </c>
    </row>
    <row r="5" spans="1:5" x14ac:dyDescent="0.25">
      <c r="A5" s="5">
        <v>6417</v>
      </c>
      <c r="B5" s="19" t="s">
        <v>97</v>
      </c>
      <c r="C5" s="5">
        <v>313</v>
      </c>
    </row>
    <row r="6" spans="1:5" x14ac:dyDescent="0.25">
      <c r="A6" s="5">
        <v>12783</v>
      </c>
      <c r="B6" s="19" t="s">
        <v>98</v>
      </c>
      <c r="C6" s="5">
        <v>62</v>
      </c>
    </row>
    <row r="7" spans="1:5" x14ac:dyDescent="0.25">
      <c r="A7" s="5">
        <v>19148</v>
      </c>
      <c r="B7" s="19" t="s">
        <v>99</v>
      </c>
      <c r="C7" s="5">
        <v>20</v>
      </c>
    </row>
    <row r="8" spans="1:5" x14ac:dyDescent="0.25">
      <c r="A8" s="5">
        <v>25514</v>
      </c>
      <c r="B8" s="19" t="s">
        <v>100</v>
      </c>
      <c r="C8" s="5">
        <v>17</v>
      </c>
    </row>
    <row r="9" spans="1:5" x14ac:dyDescent="0.25">
      <c r="A9" s="5">
        <v>31879</v>
      </c>
      <c r="B9" s="19" t="s">
        <v>101</v>
      </c>
      <c r="C9" s="5">
        <v>10</v>
      </c>
    </row>
    <row r="10" spans="1:5" x14ac:dyDescent="0.25">
      <c r="A10" s="5">
        <v>38245</v>
      </c>
      <c r="B10" s="19" t="s">
        <v>102</v>
      </c>
      <c r="C10" s="5">
        <v>7</v>
      </c>
    </row>
    <row r="11" spans="1:5" x14ac:dyDescent="0.25">
      <c r="A11" s="5">
        <v>44610</v>
      </c>
      <c r="B11" s="19" t="s">
        <v>103</v>
      </c>
      <c r="C11" s="5">
        <v>10</v>
      </c>
    </row>
    <row r="12" spans="1:5" x14ac:dyDescent="0.25">
      <c r="A12" s="5">
        <v>50976</v>
      </c>
      <c r="B12" s="19" t="s">
        <v>104</v>
      </c>
      <c r="C12" s="5">
        <v>9</v>
      </c>
    </row>
    <row r="13" spans="1:5" x14ac:dyDescent="0.25">
      <c r="B13" s="19" t="s">
        <v>105</v>
      </c>
      <c r="C13" s="5">
        <v>25</v>
      </c>
    </row>
  </sheetData>
  <phoneticPr fontId="0" type="noConversion"/>
  <pageMargins left="0.75" right="0.75" top="1" bottom="1" header="0.5" footer="0.5"/>
  <headerFooter alignWithMargins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Histogram3">
    <pageSetUpPr fitToPage="1"/>
  </sheetPr>
  <dimension ref="A1:E13"/>
  <sheetViews>
    <sheetView workbookViewId="0">
      <selection activeCell="A2" sqref="A2"/>
    </sheetView>
  </sheetViews>
  <sheetFormatPr defaultRowHeight="15" x14ac:dyDescent="0.25"/>
  <cols>
    <col min="1" max="1" width="12.5703125" style="5" customWidth="1"/>
    <col min="2" max="2" width="15.5703125" style="17" customWidth="1"/>
    <col min="3" max="3" width="12.28515625" style="5" customWidth="1"/>
    <col min="4" max="16384" width="9.140625" style="5"/>
  </cols>
  <sheetData>
    <row r="1" spans="1:5" x14ac:dyDescent="0.25">
      <c r="A1" s="4" t="s">
        <v>63</v>
      </c>
    </row>
    <row r="3" spans="1:5" x14ac:dyDescent="0.25">
      <c r="A3" s="17" t="s">
        <v>58</v>
      </c>
      <c r="B3" s="17" t="s">
        <v>59</v>
      </c>
      <c r="C3" s="17" t="s">
        <v>60</v>
      </c>
      <c r="D3" s="17"/>
      <c r="E3" s="17"/>
    </row>
    <row r="4" spans="1:5" x14ac:dyDescent="0.25">
      <c r="A4" s="5">
        <v>-16352</v>
      </c>
      <c r="B4" s="19" t="s">
        <v>106</v>
      </c>
      <c r="C4" s="5">
        <f t="array" ref="C4:C13">FREQUENCY(Replications!$D$4:$D$503,$A$4:$A$12)</f>
        <v>25</v>
      </c>
    </row>
    <row r="5" spans="1:5" x14ac:dyDescent="0.25">
      <c r="A5" s="5">
        <v>-12866</v>
      </c>
      <c r="B5" s="19" t="s">
        <v>107</v>
      </c>
      <c r="C5" s="5">
        <v>12</v>
      </c>
    </row>
    <row r="6" spans="1:5" x14ac:dyDescent="0.25">
      <c r="A6" s="5">
        <v>-9379</v>
      </c>
      <c r="B6" s="19" t="s">
        <v>108</v>
      </c>
      <c r="C6" s="5">
        <v>12</v>
      </c>
    </row>
    <row r="7" spans="1:5" x14ac:dyDescent="0.25">
      <c r="A7" s="5">
        <v>-5892</v>
      </c>
      <c r="B7" s="19" t="s">
        <v>109</v>
      </c>
      <c r="C7" s="5">
        <v>13</v>
      </c>
    </row>
    <row r="8" spans="1:5" x14ac:dyDescent="0.25">
      <c r="A8" s="5">
        <v>-2405</v>
      </c>
      <c r="B8" s="19" t="s">
        <v>110</v>
      </c>
      <c r="C8" s="5">
        <v>28</v>
      </c>
    </row>
    <row r="9" spans="1:5" x14ac:dyDescent="0.25">
      <c r="A9" s="5">
        <v>1081</v>
      </c>
      <c r="B9" s="19" t="s">
        <v>111</v>
      </c>
      <c r="C9" s="5">
        <v>78</v>
      </c>
    </row>
    <row r="10" spans="1:5" x14ac:dyDescent="0.25">
      <c r="A10" s="5">
        <v>4568</v>
      </c>
      <c r="B10" s="19" t="s">
        <v>112</v>
      </c>
      <c r="C10" s="5">
        <v>206</v>
      </c>
    </row>
    <row r="11" spans="1:5" x14ac:dyDescent="0.25">
      <c r="A11" s="5">
        <v>8055</v>
      </c>
      <c r="B11" s="19" t="s">
        <v>113</v>
      </c>
      <c r="C11" s="5">
        <v>73</v>
      </c>
    </row>
    <row r="12" spans="1:5" x14ac:dyDescent="0.25">
      <c r="A12" s="5">
        <v>11542</v>
      </c>
      <c r="B12" s="19" t="s">
        <v>114</v>
      </c>
      <c r="C12" s="5">
        <v>28</v>
      </c>
    </row>
    <row r="13" spans="1:5" x14ac:dyDescent="0.25">
      <c r="B13" s="19" t="s">
        <v>115</v>
      </c>
      <c r="C13" s="5">
        <v>25</v>
      </c>
    </row>
  </sheetData>
  <phoneticPr fontId="0" type="noConversion"/>
  <printOptions headings="1" gridLines="1"/>
  <pageMargins left="0.75" right="0.75" top="1" bottom="1" header="0.5" footer="0.5"/>
  <pageSetup orientation="portrait" horizontalDpi="1200" verticalDpi="12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Histogram4"/>
  <dimension ref="A1:E13"/>
  <sheetViews>
    <sheetView workbookViewId="0"/>
  </sheetViews>
  <sheetFormatPr defaultRowHeight="15" x14ac:dyDescent="0.25"/>
  <cols>
    <col min="1" max="1" width="12.5703125" style="5" customWidth="1"/>
    <col min="2" max="2" width="15.5703125" style="17" customWidth="1"/>
    <col min="3" max="3" width="12.28515625" style="5" customWidth="1"/>
    <col min="4" max="16384" width="9.140625" style="5"/>
  </cols>
  <sheetData>
    <row r="1" spans="1:5" x14ac:dyDescent="0.25">
      <c r="A1" s="4" t="s">
        <v>64</v>
      </c>
    </row>
    <row r="3" spans="1:5" x14ac:dyDescent="0.25">
      <c r="A3" s="17" t="s">
        <v>58</v>
      </c>
      <c r="B3" s="17" t="s">
        <v>59</v>
      </c>
      <c r="C3" s="17" t="s">
        <v>60</v>
      </c>
      <c r="D3" s="17"/>
      <c r="E3" s="17"/>
    </row>
    <row r="4" spans="1:5" x14ac:dyDescent="0.25">
      <c r="A4" s="5">
        <v>26</v>
      </c>
      <c r="B4" s="19" t="s">
        <v>80</v>
      </c>
      <c r="C4" s="5">
        <f t="array" ref="C4:C13">FREQUENCY(Replications!$E$4:$E$503,$A$4:$A$12)</f>
        <v>26</v>
      </c>
    </row>
    <row r="5" spans="1:5" x14ac:dyDescent="0.25">
      <c r="A5" s="5">
        <v>29</v>
      </c>
      <c r="B5" s="19" t="s">
        <v>81</v>
      </c>
      <c r="C5" s="5">
        <v>22</v>
      </c>
    </row>
    <row r="6" spans="1:5" x14ac:dyDescent="0.25">
      <c r="A6" s="5">
        <v>32</v>
      </c>
      <c r="B6" s="19" t="s">
        <v>82</v>
      </c>
      <c r="C6" s="5">
        <v>30</v>
      </c>
    </row>
    <row r="7" spans="1:5" x14ac:dyDescent="0.25">
      <c r="A7" s="5">
        <v>35</v>
      </c>
      <c r="B7" s="19" t="s">
        <v>83</v>
      </c>
      <c r="C7" s="5">
        <v>53</v>
      </c>
    </row>
    <row r="8" spans="1:5" x14ac:dyDescent="0.25">
      <c r="A8" s="5">
        <v>38</v>
      </c>
      <c r="B8" s="19" t="s">
        <v>116</v>
      </c>
      <c r="C8" s="5">
        <v>62</v>
      </c>
    </row>
    <row r="9" spans="1:5" x14ac:dyDescent="0.25">
      <c r="A9" s="5">
        <v>41</v>
      </c>
      <c r="B9" s="19" t="s">
        <v>67</v>
      </c>
      <c r="C9" s="5">
        <v>78</v>
      </c>
    </row>
    <row r="10" spans="1:5" x14ac:dyDescent="0.25">
      <c r="A10" s="5">
        <v>44</v>
      </c>
      <c r="B10" s="19" t="s">
        <v>68</v>
      </c>
      <c r="C10" s="5">
        <v>71</v>
      </c>
    </row>
    <row r="11" spans="1:5" x14ac:dyDescent="0.25">
      <c r="A11" s="5">
        <v>47</v>
      </c>
      <c r="B11" s="19" t="s">
        <v>69</v>
      </c>
      <c r="C11" s="5">
        <v>81</v>
      </c>
    </row>
    <row r="12" spans="1:5" x14ac:dyDescent="0.25">
      <c r="A12" s="5">
        <v>50</v>
      </c>
      <c r="B12" s="19" t="s">
        <v>78</v>
      </c>
      <c r="C12" s="5">
        <v>77</v>
      </c>
    </row>
    <row r="13" spans="1:5" x14ac:dyDescent="0.25">
      <c r="B13" s="19" t="s">
        <v>79</v>
      </c>
      <c r="C13" s="5">
        <v>0</v>
      </c>
    </row>
  </sheetData>
  <phoneticPr fontId="0" type="noConversion"/>
  <pageMargins left="0.75" right="0.75" top="1" bottom="1" header="0.5" footer="0.5"/>
  <headerFooter alignWithMargins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Histogram5"/>
  <dimension ref="A1:E13"/>
  <sheetViews>
    <sheetView workbookViewId="0">
      <selection activeCell="A2" sqref="A2"/>
    </sheetView>
  </sheetViews>
  <sheetFormatPr defaultRowHeight="15" x14ac:dyDescent="0.25"/>
  <cols>
    <col min="1" max="1" width="12.5703125" style="5" customWidth="1"/>
    <col min="2" max="2" width="15.5703125" style="17" customWidth="1"/>
    <col min="3" max="3" width="12.28515625" style="5" customWidth="1"/>
    <col min="4" max="16384" width="9.140625" style="5"/>
  </cols>
  <sheetData>
    <row r="1" spans="1:5" x14ac:dyDescent="0.25">
      <c r="A1" s="4" t="s">
        <v>65</v>
      </c>
    </row>
    <row r="3" spans="1:5" x14ac:dyDescent="0.25">
      <c r="A3" s="17" t="s">
        <v>58</v>
      </c>
      <c r="B3" s="17" t="s">
        <v>59</v>
      </c>
      <c r="C3" s="17" t="s">
        <v>60</v>
      </c>
      <c r="D3" s="17"/>
      <c r="E3" s="17"/>
    </row>
    <row r="4" spans="1:5" x14ac:dyDescent="0.25">
      <c r="A4" s="5">
        <v>50</v>
      </c>
      <c r="B4" s="19" t="s">
        <v>70</v>
      </c>
      <c r="C4" s="5">
        <f t="array" ref="C4:C13">FREQUENCY(Replications!$F$4:$F$503,$A$4:$A$12)</f>
        <v>26</v>
      </c>
    </row>
    <row r="5" spans="1:5" x14ac:dyDescent="0.25">
      <c r="A5" s="5">
        <v>55</v>
      </c>
      <c r="B5" s="19" t="s">
        <v>71</v>
      </c>
      <c r="C5" s="5">
        <v>98</v>
      </c>
    </row>
    <row r="6" spans="1:5" x14ac:dyDescent="0.25">
      <c r="A6" s="5">
        <v>60</v>
      </c>
      <c r="B6" s="19" t="s">
        <v>72</v>
      </c>
      <c r="C6" s="5">
        <v>98</v>
      </c>
    </row>
    <row r="7" spans="1:5" x14ac:dyDescent="0.25">
      <c r="A7" s="5">
        <v>64</v>
      </c>
      <c r="B7" s="19" t="s">
        <v>84</v>
      </c>
      <c r="C7" s="5">
        <v>69</v>
      </c>
    </row>
    <row r="8" spans="1:5" x14ac:dyDescent="0.25">
      <c r="A8" s="5">
        <v>69</v>
      </c>
      <c r="B8" s="19" t="s">
        <v>85</v>
      </c>
      <c r="C8" s="5">
        <v>71</v>
      </c>
    </row>
    <row r="9" spans="1:5" x14ac:dyDescent="0.25">
      <c r="A9" s="5">
        <v>74</v>
      </c>
      <c r="B9" s="19" t="s">
        <v>73</v>
      </c>
      <c r="C9" s="5">
        <v>42</v>
      </c>
    </row>
    <row r="10" spans="1:5" x14ac:dyDescent="0.25">
      <c r="A10" s="5">
        <v>79</v>
      </c>
      <c r="B10" s="19" t="s">
        <v>74</v>
      </c>
      <c r="C10" s="5">
        <v>39</v>
      </c>
    </row>
    <row r="11" spans="1:5" x14ac:dyDescent="0.25">
      <c r="A11" s="5">
        <v>84</v>
      </c>
      <c r="B11" s="19" t="s">
        <v>75</v>
      </c>
      <c r="C11" s="5">
        <v>17</v>
      </c>
    </row>
    <row r="12" spans="1:5" x14ac:dyDescent="0.25">
      <c r="A12" s="5">
        <v>88</v>
      </c>
      <c r="B12" s="19" t="s">
        <v>76</v>
      </c>
      <c r="C12" s="5">
        <v>12</v>
      </c>
    </row>
    <row r="13" spans="1:5" x14ac:dyDescent="0.25">
      <c r="B13" s="19" t="s">
        <v>77</v>
      </c>
      <c r="C13" s="5">
        <v>28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38</vt:i4>
      </vt:variant>
    </vt:vector>
  </HeadingPairs>
  <TitlesOfParts>
    <vt:vector size="48" baseType="lpstr">
      <vt:lpstr>Explanation</vt:lpstr>
      <vt:lpstr>Inputs</vt:lpstr>
      <vt:lpstr>Model</vt:lpstr>
      <vt:lpstr>Replications</vt:lpstr>
      <vt:lpstr>Summary</vt:lpstr>
      <vt:lpstr>Histogram 1</vt:lpstr>
      <vt:lpstr>Histogram 2</vt:lpstr>
      <vt:lpstr>Histogram 3</vt:lpstr>
      <vt:lpstr>Histogram 4</vt:lpstr>
      <vt:lpstr>Histogram 5</vt:lpstr>
      <vt:lpstr>'Histogram 1'!__ChRange</vt:lpstr>
      <vt:lpstr>'Histogram 2'!__ChRange</vt:lpstr>
      <vt:lpstr>'Histogram 3'!__ChRange</vt:lpstr>
      <vt:lpstr>'Histogram 4'!__ChRange</vt:lpstr>
      <vt:lpstr>'Histogram 5'!__ChRange</vt:lpstr>
      <vt:lpstr>'Histogram 1'!__UpLims</vt:lpstr>
      <vt:lpstr>'Histogram 2'!__UpLims</vt:lpstr>
      <vt:lpstr>'Histogram 3'!__UpLims</vt:lpstr>
      <vt:lpstr>'Histogram 4'!__UpLims</vt:lpstr>
      <vt:lpstr>'Histogram 5'!__UpLims</vt:lpstr>
      <vt:lpstr>BuyPct2</vt:lpstr>
      <vt:lpstr>BuyPct3</vt:lpstr>
      <vt:lpstr>Replications!Cum_gain_loss</vt:lpstr>
      <vt:lpstr>CumGainLoss</vt:lpstr>
      <vt:lpstr>Replications!Data</vt:lpstr>
      <vt:lpstr>EndCash</vt:lpstr>
      <vt:lpstr>Replications!Ending_cash</vt:lpstr>
      <vt:lpstr>Replications!Ending_stock_value</vt:lpstr>
      <vt:lpstr>EndStockVal</vt:lpstr>
      <vt:lpstr>GrMean</vt:lpstr>
      <vt:lpstr>GrStdev</vt:lpstr>
      <vt:lpstr>InitCash</vt:lpstr>
      <vt:lpstr>InitPrice</vt:lpstr>
      <vt:lpstr>InitShares</vt:lpstr>
      <vt:lpstr>Replications!Max_price</vt:lpstr>
      <vt:lpstr>MaxPrice</vt:lpstr>
      <vt:lpstr>Replications!Min_price</vt:lpstr>
      <vt:lpstr>MinPrice</vt:lpstr>
      <vt:lpstr>Explanation!Print_Area</vt:lpstr>
      <vt:lpstr>'Histogram 3'!Print_Area</vt:lpstr>
      <vt:lpstr>Inputs!Print_Area</vt:lpstr>
      <vt:lpstr>Model!Print_Area</vt:lpstr>
      <vt:lpstr>Replications!Print_Area</vt:lpstr>
      <vt:lpstr>Summary!Print_Area</vt:lpstr>
      <vt:lpstr>Replications!Replication</vt:lpstr>
      <vt:lpstr>RepNumber</vt:lpstr>
      <vt:lpstr>SellPct2</vt:lpstr>
      <vt:lpstr>SellPct3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Albright</dc:creator>
  <cp:lastModifiedBy>Chris Albright</cp:lastModifiedBy>
  <cp:lastPrinted>2011-01-25T16:58:00Z</cp:lastPrinted>
  <dcterms:created xsi:type="dcterms:W3CDTF">1998-04-21T03:28:14Z</dcterms:created>
  <dcterms:modified xsi:type="dcterms:W3CDTF">2015-02-09T17:38:13Z</dcterms:modified>
</cp:coreProperties>
</file>