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33\"/>
    </mc:Choice>
  </mc:AlternateContent>
  <bookViews>
    <workbookView xWindow="240" yWindow="105" windowWidth="11340" windowHeight="5520"/>
  </bookViews>
  <sheets>
    <sheet name="Explanation" sheetId="3" r:id="rId1"/>
    <sheet name="Report" sheetId="31" state="hidden" r:id="rId2"/>
    <sheet name="Model" sheetId="1" state="hidden" r:id="rId3"/>
  </sheets>
  <definedNames>
    <definedName name="InputCosts" localSheetId="2">Model!$B$11:$D$11</definedName>
    <definedName name="InputsUsed" localSheetId="2">Model!$B$6:$D$9</definedName>
    <definedName name="InputValues" localSheetId="2">Model!$B$15:$B$18</definedName>
    <definedName name="LTable" localSheetId="2">Model!$A$15:$D$18</definedName>
    <definedName name="OutputPrices" localSheetId="2">Model!$G$11:$H$11</definedName>
    <definedName name="OutputsProduced" localSheetId="2">Model!$G$6:$H$9</definedName>
    <definedName name="OutputValues" localSheetId="2">Model!$D$15:$D$18</definedName>
    <definedName name="_xlnm.Print_Area" localSheetId="2">Model!$A$1:$H$24</definedName>
    <definedName name="SelInputValue" localSheetId="2">Model!$B$21</definedName>
    <definedName name="SelOutputValue" localSheetId="2">Model!$B$24</definedName>
    <definedName name="solver_adj" localSheetId="2" hidden="1">Model!$B$11:$D$11,Model!$G$11:$H$11</definedName>
    <definedName name="solver_cvg" localSheetId="2" hidden="1">0.0001</definedName>
    <definedName name="solver_drv" localSheetId="2" hidden="1">1</definedName>
    <definedName name="solver_eng" localSheetId="2" hidden="1">2</definedName>
    <definedName name="solver_est" localSheetId="2" hidden="1">1</definedName>
    <definedName name="solver_ibd" localSheetId="2" hidden="1">2</definedName>
    <definedName name="solver_itr" localSheetId="2" hidden="1">100</definedName>
    <definedName name="solver_lhs1" localSheetId="2" hidden="1">Model!$B$15:$B$18</definedName>
    <definedName name="solver_lhs2" localSheetId="2" hidden="1">Model!$B$21</definedName>
    <definedName name="solver_lin" localSheetId="2" hidden="1">1</definedName>
    <definedName name="solver_lva" localSheetId="2" hidden="1">2</definedName>
    <definedName name="solver_mip" localSheetId="2" hidden="1">1000</definedName>
    <definedName name="solver_mni" localSheetId="2" hidden="1">30</definedName>
    <definedName name="solver_mrt" localSheetId="2" hidden="1">0.075</definedName>
    <definedName name="solver_neg" localSheetId="2" hidden="1">1</definedName>
    <definedName name="solver_nod" localSheetId="2" hidden="1">1000</definedName>
    <definedName name="solver_num" localSheetId="2" hidden="1">2</definedName>
    <definedName name="solver_nwt" localSheetId="2" hidden="1">1</definedName>
    <definedName name="solver_ofx" localSheetId="2" hidden="1">2</definedName>
    <definedName name="solver_opt" localSheetId="2" hidden="1">Model!$B$24</definedName>
    <definedName name="solver_piv" localSheetId="2" hidden="1">0.000001</definedName>
    <definedName name="solver_pre" localSheetId="2" hidden="1">0.000001</definedName>
    <definedName name="solver_pro" localSheetId="2" hidden="1">2</definedName>
    <definedName name="solver_rbv" localSheetId="2" hidden="1">1</definedName>
    <definedName name="solver_red" localSheetId="2" hidden="1">0.000001</definedName>
    <definedName name="solver_rel1" localSheetId="2" hidden="1">3</definedName>
    <definedName name="solver_rel2" localSheetId="2" hidden="1">2</definedName>
    <definedName name="solver_reo" localSheetId="2" hidden="1">2</definedName>
    <definedName name="solver_rep" localSheetId="2" hidden="1">2</definedName>
    <definedName name="solver_rhs1" localSheetId="2" hidden="1">Model!OutputValues</definedName>
    <definedName name="solver_rhs2" localSheetId="2" hidden="1">1</definedName>
    <definedName name="solver_rlx" localSheetId="2" hidden="1">2</definedName>
    <definedName name="solver_scl" localSheetId="2" hidden="1">2</definedName>
    <definedName name="solver_sho" localSheetId="2" hidden="1">2</definedName>
    <definedName name="solver_ssz" localSheetId="2" hidden="1">100</definedName>
    <definedName name="solver_std" localSheetId="2" hidden="1">0</definedName>
    <definedName name="solver_tim" localSheetId="2" hidden="1">100</definedName>
    <definedName name="solver_tol" localSheetId="2" hidden="1">0.05</definedName>
    <definedName name="solver_typ" localSheetId="2" hidden="1">1</definedName>
    <definedName name="solver_val" localSheetId="2" hidden="1">0</definedName>
    <definedName name="solver_ver" localSheetId="2" hidden="1">3</definedName>
  </definedNames>
  <calcPr calcId="152511"/>
</workbook>
</file>

<file path=xl/calcChain.xml><?xml version="1.0" encoding="utf-8"?>
<calcChain xmlns="http://schemas.openxmlformats.org/spreadsheetml/2006/main">
  <c r="D18" i="1" l="1"/>
  <c r="B18" i="1"/>
  <c r="D17" i="1"/>
  <c r="B17" i="1"/>
  <c r="D16" i="1"/>
  <c r="B16" i="1"/>
  <c r="D15" i="1"/>
  <c r="B15" i="1"/>
  <c r="B21" i="1" l="1"/>
  <c r="B24" i="1"/>
</calcChain>
</file>

<file path=xl/sharedStrings.xml><?xml version="1.0" encoding="utf-8"?>
<sst xmlns="http://schemas.openxmlformats.org/spreadsheetml/2006/main" count="72" uniqueCount="38">
  <si>
    <t>DEA model</t>
  </si>
  <si>
    <t>Selected unit</t>
  </si>
  <si>
    <t>Unit</t>
  </si>
  <si>
    <t>Inputs used</t>
  </si>
  <si>
    <t>Unit costs</t>
  </si>
  <si>
    <t>Unit prices</t>
  </si>
  <si>
    <t>Constraints that input costs must cover output values</t>
  </si>
  <si>
    <t>Input costs</t>
  </si>
  <si>
    <t>Output values</t>
  </si>
  <si>
    <t>Outputs used</t>
  </si>
  <si>
    <t>Constraint that selected unit's input cost must equal a nominal value of 1</t>
  </si>
  <si>
    <t>=</t>
  </si>
  <si>
    <t>Maximize selected unit's output value (to see if it is 1, hence efficient)</t>
  </si>
  <si>
    <t>Selected unit's output value</t>
  </si>
  <si>
    <t>Efficient?</t>
  </si>
  <si>
    <t>A Data Envelopment Analysis (DEA) Application</t>
  </si>
  <si>
    <t>Selected unit's input cost</t>
  </si>
  <si>
    <t>Summary of analysis</t>
  </si>
  <si>
    <t>&gt;=</t>
  </si>
  <si>
    <t>No</t>
  </si>
  <si>
    <t>HPER</t>
  </si>
  <si>
    <t>Faculty</t>
  </si>
  <si>
    <t>Support Staff</t>
  </si>
  <si>
    <t>Research Pubs</t>
  </si>
  <si>
    <t>Yes</t>
  </si>
  <si>
    <t>Business</t>
  </si>
  <si>
    <t>Education</t>
  </si>
  <si>
    <t>Arts &amp; Sciences</t>
  </si>
  <si>
    <t>Credit Hours</t>
  </si>
  <si>
    <t>Total costs of inputs used</t>
  </si>
  <si>
    <t>Total values of outputs produced</t>
  </si>
  <si>
    <t>LP maximum output</t>
  </si>
  <si>
    <t>Outputs produced</t>
  </si>
  <si>
    <t>Efficiency of units</t>
  </si>
  <si>
    <t>Given data from text file</t>
  </si>
  <si>
    <t>Values from LP model</t>
  </si>
  <si>
    <t>Unit index</t>
  </si>
  <si>
    <t>Supply Budget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</si>
</sst>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0"/>
    <numFmt numFmtId="166" formatCode="0.0"/>
  </numFmts>
  <fonts count="10" x14ac:knownFonts="1">
    <font>
      <sz val="10"/>
      <name val="Arial"/>
    </font>
    <font>
      <b/>
      <sz val="10"/>
      <name val="Arial"/>
      <family val="2"/>
    </font>
    <font>
      <b/>
      <sz val="12"/>
      <name val="Arial"/>
      <family val="2"/>
    </font>
    <font>
      <sz val="10"/>
      <color indexed="18"/>
      <name val="Arial"/>
      <family val="2"/>
    </font>
    <font>
      <b/>
      <sz val="16"/>
      <name val="Arial"/>
      <family val="2"/>
    </font>
    <font>
      <sz val="11"/>
      <name val="Calibri"/>
      <family val="2"/>
      <scheme val="minor"/>
    </font>
    <font>
      <b/>
      <sz val="14"/>
      <name val="Calibri"/>
      <family val="2"/>
      <scheme val="minor"/>
    </font>
    <font>
      <b/>
      <sz val="11"/>
      <name val="Calibri"/>
      <family val="2"/>
      <scheme val="minor"/>
    </font>
    <font>
      <sz val="11"/>
      <color rgb="FF000000"/>
      <name val="Calibri"/>
      <family val="2"/>
    </font>
    <font>
      <b/>
      <i/>
      <sz val="9"/>
      <color indexed="9"/>
      <name val="Arial"/>
      <family val="2"/>
    </font>
  </fonts>
  <fills count="4">
    <fill>
      <patternFill patternType="none"/>
    </fill>
    <fill>
      <patternFill patternType="gray125"/>
    </fill>
    <fill>
      <patternFill patternType="solid">
        <fgColor indexed="22"/>
        <bgColor indexed="24"/>
      </patternFill>
    </fill>
    <fill>
      <patternFill patternType="solid">
        <fgColor indexed="18"/>
        <bgColor indexed="24"/>
      </patternFill>
    </fill>
  </fills>
  <borders count="9">
    <border>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s>
  <cellStyleXfs count="1">
    <xf numFmtId="0" fontId="0" fillId="0" borderId="0"/>
  </cellStyleXfs>
  <cellXfs count="26">
    <xf numFmtId="0" fontId="0" fillId="0" borderId="0" xfId="0"/>
    <xf numFmtId="0" fontId="1" fillId="0" borderId="0" xfId="0" applyFont="1"/>
    <xf numFmtId="2" fontId="3" fillId="2" borderId="0" xfId="0" applyNumberFormat="1" applyFont="1" applyFill="1" applyBorder="1" applyAlignment="1"/>
    <xf numFmtId="2" fontId="3" fillId="2" borderId="1" xfId="0" applyNumberFormat="1" applyFont="1" applyFill="1" applyBorder="1" applyAlignment="1"/>
    <xf numFmtId="2" fontId="3" fillId="2" borderId="2" xfId="0" applyNumberFormat="1" applyFont="1" applyFill="1" applyBorder="1" applyAlignment="1"/>
    <xf numFmtId="2" fontId="3" fillId="2" borderId="3" xfId="0" applyNumberFormat="1" applyFont="1" applyFill="1" applyBorder="1" applyAlignment="1"/>
    <xf numFmtId="0" fontId="3" fillId="2" borderId="4" xfId="0" applyFont="1" applyFill="1" applyBorder="1" applyAlignment="1"/>
    <xf numFmtId="164" fontId="3" fillId="2" borderId="0" xfId="0" applyNumberFormat="1" applyFont="1" applyFill="1" applyBorder="1" applyAlignment="1"/>
    <xf numFmtId="0" fontId="3" fillId="2" borderId="5" xfId="0" applyFont="1" applyFill="1" applyBorder="1" applyAlignment="1"/>
    <xf numFmtId="164" fontId="3" fillId="2" borderId="2" xfId="0" applyNumberFormat="1" applyFont="1" applyFill="1" applyBorder="1" applyAlignment="1"/>
    <xf numFmtId="0" fontId="3" fillId="2" borderId="1" xfId="0" applyFont="1" applyFill="1" applyBorder="1" applyAlignment="1">
      <alignment horizontal="right"/>
    </xf>
    <xf numFmtId="0" fontId="3" fillId="2" borderId="3" xfId="0" applyFont="1" applyFill="1" applyBorder="1" applyAlignment="1">
      <alignment horizontal="right"/>
    </xf>
    <xf numFmtId="164" fontId="3" fillId="2" borderId="1" xfId="0" applyNumberFormat="1" applyFont="1" applyFill="1" applyBorder="1" applyAlignment="1"/>
    <xf numFmtId="164" fontId="3" fillId="2" borderId="3" xfId="0" applyNumberFormat="1" applyFont="1" applyFill="1" applyBorder="1" applyAlignment="1"/>
    <xf numFmtId="0" fontId="4" fillId="0" borderId="0" xfId="0" applyFont="1" applyAlignment="1">
      <alignment vertical="center"/>
    </xf>
    <xf numFmtId="0" fontId="2" fillId="0" borderId="0" xfId="0" applyFont="1"/>
    <xf numFmtId="0" fontId="0" fillId="0" borderId="0" xfId="0" applyFill="1"/>
    <xf numFmtId="0" fontId="7" fillId="0" borderId="0" xfId="0" applyFont="1"/>
    <xf numFmtId="0" fontId="5" fillId="0" borderId="0" xfId="0" applyFont="1"/>
    <xf numFmtId="166" fontId="5" fillId="0" borderId="0" xfId="0" applyNumberFormat="1" applyFont="1"/>
    <xf numFmtId="164" fontId="5" fillId="0" borderId="0" xfId="0" applyNumberFormat="1" applyFont="1"/>
    <xf numFmtId="165" fontId="5" fillId="0" borderId="0" xfId="0" applyNumberFormat="1" applyFont="1"/>
    <xf numFmtId="0" fontId="9" fillId="3" borderId="6"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left"/>
    </xf>
    <xf numFmtId="0" fontId="6" fillId="0" borderId="0" xfId="0" applyFont="1" applyFill="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76201</xdr:colOff>
      <xdr:row>6</xdr:row>
      <xdr:rowOff>123825</xdr:rowOff>
    </xdr:from>
    <xdr:to>
      <xdr:col>10</xdr:col>
      <xdr:colOff>228601</xdr:colOff>
      <xdr:row>27</xdr:row>
      <xdr:rowOff>19049</xdr:rowOff>
    </xdr:to>
    <xdr:sp macro="" textlink="">
      <xdr:nvSpPr>
        <xdr:cNvPr id="3" name="TextBox 2"/>
        <xdr:cNvSpPr txBox="1"/>
      </xdr:nvSpPr>
      <xdr:spPr>
        <a:xfrm>
          <a:off x="685801" y="1171575"/>
          <a:ext cx="5638800" cy="3295649"/>
        </a:xfrm>
        <a:prstGeom prst="roundRect">
          <a:avLst/>
        </a:prstGeom>
        <a:solidFill>
          <a:schemeClr val="bg1">
            <a:lumMod val="95000"/>
          </a:schemeClr>
        </a:solidFill>
        <a:ln w="9525" cmpd="sng">
          <a:solidFill>
            <a:schemeClr val="bg1">
              <a:lumMod val="85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automates DEA to see which of several organization units are efficient in their use of inputs to produce outputs. The user enters the number of organization units, the number of inputs, and the number of outputs, where it is assumed that all units have the same list of inputs and outputs. Then the application gets the actual data from a text (.txt) file named DEA.txt. This file contains the names for the units, inputs, and outputs, as well as the amounts of the inputs used by each unit and the amounts of the outputs produced by each unit.  It then sets up a DEA linear programming model and runs Solver, once for each unit, to see which units are efficient. This is determined by maximizing the value for the unit's outputs, subject to constraining the value of its inputs to be 1. If this maximum output value is 1, the unit is efficient. Otherwise, it is inefficient. A list of the units and whether they are efficient or inefficient, as well as other pertinent infomation, is written to the Report sheet.
The DEA.txt file currently contains data for four units, each of which uses three inputs and produces two outputs. However, users can substitute their own data in this file (any number of units, inputs, and outputs), and the application will accept them.</a:t>
          </a:r>
        </a:p>
      </xdr:txBody>
    </xdr:sp>
    <xdr:clientData/>
  </xdr:twoCellAnchor>
  <mc:AlternateContent xmlns:mc="http://schemas.openxmlformats.org/markup-compatibility/2006">
    <mc:Choice xmlns:a14="http://schemas.microsoft.com/office/drawing/2010/main" Requires="a14">
      <xdr:twoCellAnchor>
        <xdr:from>
          <xdr:col>4</xdr:col>
          <xdr:colOff>142875</xdr:colOff>
          <xdr:row>3</xdr:row>
          <xdr:rowOff>38100</xdr:rowOff>
        </xdr:from>
        <xdr:to>
          <xdr:col>6</xdr:col>
          <xdr:colOff>590550</xdr:colOff>
          <xdr:row>5</xdr:row>
          <xdr:rowOff>47625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438150</xdr:colOff>
          <xdr:row>0</xdr:row>
          <xdr:rowOff>123825</xdr:rowOff>
        </xdr:from>
        <xdr:to>
          <xdr:col>8</xdr:col>
          <xdr:colOff>66675</xdr:colOff>
          <xdr:row>0</xdr:row>
          <xdr:rowOff>438150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J2"/>
  <sheetViews>
    <sheetView showGridLines="0" showRowColHeaders="0" tabSelected="1" workbookViewId="0"/>
  </sheetViews>
  <sheetFormatPr defaultRowHeight="12.75" x14ac:dyDescent="0.2"/>
  <cols>
    <col min="1" max="16384" width="9.140625" style="16"/>
  </cols>
  <sheetData>
    <row r="2" spans="3:10" ht="18.75" x14ac:dyDescent="0.3">
      <c r="C2" s="25" t="s">
        <v>15</v>
      </c>
      <c r="D2" s="25"/>
      <c r="E2" s="25"/>
      <c r="F2" s="25"/>
      <c r="G2" s="25"/>
      <c r="H2" s="25"/>
      <c r="I2" s="25"/>
      <c r="J2" s="25"/>
    </row>
  </sheetData>
  <mergeCells count="1">
    <mergeCell ref="C2:J2"/>
  </mergeCells>
  <phoneticPr fontId="0" type="noConversion"/>
  <pageMargins left="0.75" right="0.75" top="1" bottom="1" header="0.5" footer="0.5"/>
  <pageSetup paperSize="5"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MainDEA">
                <anchor moveWithCells="1" sizeWithCells="1">
                  <from>
                    <xdr:col>4</xdr:col>
                    <xdr:colOff>142875</xdr:colOff>
                    <xdr:row>3</xdr:row>
                    <xdr:rowOff>38100</xdr:rowOff>
                  </from>
                  <to>
                    <xdr:col>6</xdr:col>
                    <xdr:colOff>590550</xdr:colOff>
                    <xdr:row>5</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B1:K16"/>
  <sheetViews>
    <sheetView showGridLines="0" workbookViewId="0"/>
  </sheetViews>
  <sheetFormatPr defaultRowHeight="12.75" x14ac:dyDescent="0.2"/>
  <cols>
    <col min="1" max="1" width="3.7109375" customWidth="1"/>
    <col min="2" max="2" width="14.7109375" bestFit="1" customWidth="1"/>
    <col min="3" max="3" width="18" customWidth="1"/>
    <col min="4" max="4" width="9.28515625" bestFit="1" customWidth="1"/>
    <col min="6" max="6" width="14.7109375" bestFit="1" customWidth="1"/>
    <col min="7" max="7" width="7.5703125" customWidth="1"/>
    <col min="8" max="8" width="12.28515625" bestFit="1" customWidth="1"/>
    <col min="9" max="9" width="13.42578125" customWidth="1"/>
    <col min="10" max="10" width="12" customWidth="1"/>
    <col min="11" max="11" width="14.28515625" customWidth="1"/>
  </cols>
  <sheetData>
    <row r="1" spans="2:11" ht="39.950000000000003" customHeight="1" x14ac:dyDescent="0.2">
      <c r="B1" s="14" t="s">
        <v>17</v>
      </c>
    </row>
    <row r="2" spans="2:11" ht="15.75" x14ac:dyDescent="0.25">
      <c r="F2" s="15" t="s">
        <v>34</v>
      </c>
    </row>
    <row r="3" spans="2:11" ht="16.5" thickBot="1" x14ac:dyDescent="0.3">
      <c r="B3" s="15" t="s">
        <v>33</v>
      </c>
      <c r="G3" s="1" t="s">
        <v>3</v>
      </c>
      <c r="J3" s="1" t="s">
        <v>32</v>
      </c>
    </row>
    <row r="4" spans="2:11" x14ac:dyDescent="0.2">
      <c r="B4" s="24" t="s">
        <v>2</v>
      </c>
      <c r="C4" s="22" t="s">
        <v>31</v>
      </c>
      <c r="D4" s="23" t="s">
        <v>14</v>
      </c>
      <c r="F4" s="24" t="s">
        <v>2</v>
      </c>
      <c r="G4" s="22" t="s">
        <v>21</v>
      </c>
      <c r="H4" s="22" t="s">
        <v>22</v>
      </c>
      <c r="I4" s="22" t="s">
        <v>37</v>
      </c>
      <c r="J4" s="22" t="s">
        <v>28</v>
      </c>
      <c r="K4" s="23" t="s">
        <v>23</v>
      </c>
    </row>
    <row r="5" spans="2:11" x14ac:dyDescent="0.2">
      <c r="B5" s="6" t="s">
        <v>25</v>
      </c>
      <c r="C5" s="7">
        <v>1</v>
      </c>
      <c r="D5" s="10" t="s">
        <v>24</v>
      </c>
      <c r="F5" s="6" t="s">
        <v>25</v>
      </c>
      <c r="G5" s="2">
        <v>150</v>
      </c>
      <c r="H5" s="2">
        <v>70</v>
      </c>
      <c r="I5" s="2">
        <v>5</v>
      </c>
      <c r="J5" s="2">
        <v>15</v>
      </c>
      <c r="K5" s="3">
        <v>225</v>
      </c>
    </row>
    <row r="6" spans="2:11" x14ac:dyDescent="0.2">
      <c r="B6" s="6" t="s">
        <v>26</v>
      </c>
      <c r="C6" s="7">
        <v>1</v>
      </c>
      <c r="D6" s="10" t="s">
        <v>24</v>
      </c>
      <c r="F6" s="6" t="s">
        <v>26</v>
      </c>
      <c r="G6" s="2">
        <v>60</v>
      </c>
      <c r="H6" s="2">
        <v>20</v>
      </c>
      <c r="I6" s="2">
        <v>3</v>
      </c>
      <c r="J6" s="2">
        <v>5.4000000953674316</v>
      </c>
      <c r="K6" s="3">
        <v>70</v>
      </c>
    </row>
    <row r="7" spans="2:11" x14ac:dyDescent="0.2">
      <c r="B7" s="6" t="s">
        <v>27</v>
      </c>
      <c r="C7" s="7">
        <v>1</v>
      </c>
      <c r="D7" s="10" t="s">
        <v>24</v>
      </c>
      <c r="F7" s="6" t="s">
        <v>27</v>
      </c>
      <c r="G7" s="2">
        <v>800</v>
      </c>
      <c r="H7" s="2">
        <v>140</v>
      </c>
      <c r="I7" s="2">
        <v>20</v>
      </c>
      <c r="J7" s="2">
        <v>56</v>
      </c>
      <c r="K7" s="3">
        <v>1300</v>
      </c>
    </row>
    <row r="8" spans="2:11" ht="13.5" thickBot="1" x14ac:dyDescent="0.25">
      <c r="B8" s="8" t="s">
        <v>20</v>
      </c>
      <c r="C8" s="9">
        <v>0.84782606363296509</v>
      </c>
      <c r="D8" s="11" t="s">
        <v>19</v>
      </c>
      <c r="F8" s="8" t="s">
        <v>20</v>
      </c>
      <c r="G8" s="4">
        <v>30</v>
      </c>
      <c r="H8" s="4">
        <v>15</v>
      </c>
      <c r="I8" s="4">
        <v>1</v>
      </c>
      <c r="J8" s="4">
        <v>2.0999999046325684</v>
      </c>
      <c r="K8" s="5">
        <v>40</v>
      </c>
    </row>
    <row r="10" spans="2:11" ht="15.75" x14ac:dyDescent="0.25">
      <c r="F10" s="15" t="s">
        <v>35</v>
      </c>
    </row>
    <row r="11" spans="2:11" ht="13.5" thickBot="1" x14ac:dyDescent="0.25">
      <c r="G11" s="1" t="s">
        <v>29</v>
      </c>
      <c r="J11" s="1" t="s">
        <v>30</v>
      </c>
    </row>
    <row r="12" spans="2:11" x14ac:dyDescent="0.2">
      <c r="F12" s="24" t="s">
        <v>2</v>
      </c>
      <c r="G12" s="22" t="s">
        <v>21</v>
      </c>
      <c r="H12" s="22" t="s">
        <v>22</v>
      </c>
      <c r="I12" s="22" t="s">
        <v>37</v>
      </c>
      <c r="J12" s="22" t="s">
        <v>28</v>
      </c>
      <c r="K12" s="23" t="s">
        <v>23</v>
      </c>
    </row>
    <row r="13" spans="2:11" x14ac:dyDescent="0.2">
      <c r="F13" s="6" t="s">
        <v>25</v>
      </c>
      <c r="G13" s="7">
        <v>1</v>
      </c>
      <c r="H13" s="7">
        <v>0</v>
      </c>
      <c r="I13" s="7">
        <v>0</v>
      </c>
      <c r="J13" s="7">
        <v>0.21739129722118378</v>
      </c>
      <c r="K13" s="12">
        <v>0.78260868787765503</v>
      </c>
    </row>
    <row r="14" spans="2:11" x14ac:dyDescent="0.2">
      <c r="F14" s="6" t="s">
        <v>26</v>
      </c>
      <c r="G14" s="7">
        <v>0.67430639266967773</v>
      </c>
      <c r="H14" s="7">
        <v>0.32569357752799988</v>
      </c>
      <c r="I14" s="7">
        <v>0</v>
      </c>
      <c r="J14" s="7">
        <v>0.89022916555404663</v>
      </c>
      <c r="K14" s="12">
        <v>0.10977084934711456</v>
      </c>
    </row>
    <row r="15" spans="2:11" x14ac:dyDescent="0.2">
      <c r="F15" s="6" t="s">
        <v>27</v>
      </c>
      <c r="G15" s="7">
        <v>1</v>
      </c>
      <c r="H15" s="7">
        <v>0</v>
      </c>
      <c r="I15" s="7">
        <v>0</v>
      </c>
      <c r="J15" s="7">
        <v>0.15217390656471252</v>
      </c>
      <c r="K15" s="12">
        <v>0.84782606363296509</v>
      </c>
    </row>
    <row r="16" spans="2:11" ht="13.5" thickBot="1" x14ac:dyDescent="0.25">
      <c r="F16" s="8" t="s">
        <v>20</v>
      </c>
      <c r="G16" s="9">
        <v>1</v>
      </c>
      <c r="H16" s="9">
        <v>0</v>
      </c>
      <c r="I16" s="9">
        <v>0</v>
      </c>
      <c r="J16" s="9">
        <v>0.15217390656471252</v>
      </c>
      <c r="K16" s="13">
        <v>0.69565218687057495</v>
      </c>
    </row>
  </sheetData>
  <phoneticPr fontId="0" type="noConversion"/>
  <pageMargins left="0.75" right="0.75" top="1" bottom="1" header="0.5" footer="0.5"/>
  <pageSetup scale="65"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autoFill="0" autoPict="0" macro="[0]!ViewExplanation">
                <anchor moveWithCells="1" sizeWithCells="1">
                  <from>
                    <xdr:col>4</xdr:col>
                    <xdr:colOff>438150</xdr:colOff>
                    <xdr:row>0</xdr:row>
                    <xdr:rowOff>123825</xdr:rowOff>
                  </from>
                  <to>
                    <xdr:col>8</xdr:col>
                    <xdr:colOff>66675</xdr:colOff>
                    <xdr:row>0</xdr:row>
                    <xdr:rowOff>438150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H24"/>
  <sheetViews>
    <sheetView workbookViewId="0"/>
  </sheetViews>
  <sheetFormatPr defaultRowHeight="15" x14ac:dyDescent="0.25"/>
  <cols>
    <col min="1" max="1" width="26.85546875" style="18" customWidth="1"/>
    <col min="2" max="2" width="12" style="18" bestFit="1" customWidth="1"/>
    <col min="3" max="3" width="11.7109375" style="18" bestFit="1" customWidth="1"/>
    <col min="4" max="4" width="13.28515625" style="18" bestFit="1" customWidth="1"/>
    <col min="5" max="5" width="9.140625" style="18"/>
    <col min="6" max="6" width="17" style="18" customWidth="1"/>
    <col min="7" max="7" width="12" style="18" bestFit="1" customWidth="1"/>
    <col min="8" max="8" width="13.85546875" style="18" bestFit="1" customWidth="1"/>
    <col min="9" max="16384" width="9.140625" style="18"/>
  </cols>
  <sheetData>
    <row r="1" spans="1:8" x14ac:dyDescent="0.25">
      <c r="A1" s="17" t="s">
        <v>0</v>
      </c>
    </row>
    <row r="3" spans="1:8" x14ac:dyDescent="0.25">
      <c r="A3" s="18" t="s">
        <v>1</v>
      </c>
      <c r="B3" s="18">
        <v>4</v>
      </c>
    </row>
    <row r="5" spans="1:8" x14ac:dyDescent="0.25">
      <c r="A5" s="18" t="s">
        <v>3</v>
      </c>
      <c r="B5" s="18" t="s">
        <v>21</v>
      </c>
      <c r="C5" s="18" t="s">
        <v>22</v>
      </c>
      <c r="D5" s="18" t="s">
        <v>37</v>
      </c>
      <c r="F5" s="18" t="s">
        <v>9</v>
      </c>
      <c r="G5" s="18" t="s">
        <v>28</v>
      </c>
      <c r="H5" s="18" t="s">
        <v>23</v>
      </c>
    </row>
    <row r="6" spans="1:8" x14ac:dyDescent="0.25">
      <c r="A6" s="18" t="s">
        <v>25</v>
      </c>
      <c r="B6" s="18">
        <v>150</v>
      </c>
      <c r="C6" s="18">
        <v>70</v>
      </c>
      <c r="D6" s="18">
        <v>5</v>
      </c>
      <c r="F6" s="18" t="s">
        <v>25</v>
      </c>
      <c r="G6" s="18">
        <v>15</v>
      </c>
      <c r="H6" s="18">
        <v>225</v>
      </c>
    </row>
    <row r="7" spans="1:8" x14ac:dyDescent="0.25">
      <c r="A7" s="18" t="s">
        <v>26</v>
      </c>
      <c r="B7" s="18">
        <v>60</v>
      </c>
      <c r="C7" s="18">
        <v>20</v>
      </c>
      <c r="D7" s="18">
        <v>3</v>
      </c>
      <c r="F7" s="18" t="s">
        <v>26</v>
      </c>
      <c r="G7" s="19">
        <v>5.4000000953674316</v>
      </c>
      <c r="H7" s="18">
        <v>70</v>
      </c>
    </row>
    <row r="8" spans="1:8" x14ac:dyDescent="0.25">
      <c r="A8" s="18" t="s">
        <v>27</v>
      </c>
      <c r="B8" s="18">
        <v>800</v>
      </c>
      <c r="C8" s="18">
        <v>140</v>
      </c>
      <c r="D8" s="18">
        <v>20</v>
      </c>
      <c r="F8" s="18" t="s">
        <v>27</v>
      </c>
      <c r="G8" s="18">
        <v>56</v>
      </c>
      <c r="H8" s="18">
        <v>1300</v>
      </c>
    </row>
    <row r="9" spans="1:8" x14ac:dyDescent="0.25">
      <c r="A9" s="18" t="s">
        <v>20</v>
      </c>
      <c r="B9" s="18">
        <v>30</v>
      </c>
      <c r="C9" s="18">
        <v>15</v>
      </c>
      <c r="D9" s="18">
        <v>1</v>
      </c>
      <c r="F9" s="18" t="s">
        <v>20</v>
      </c>
      <c r="G9" s="19">
        <v>2.0999999046325684</v>
      </c>
      <c r="H9" s="18">
        <v>40</v>
      </c>
    </row>
    <row r="11" spans="1:8" x14ac:dyDescent="0.25">
      <c r="A11" s="18" t="s">
        <v>4</v>
      </c>
      <c r="B11" s="20">
        <v>3.3333333333333326E-2</v>
      </c>
      <c r="C11" s="18">
        <v>0</v>
      </c>
      <c r="D11" s="18">
        <v>0</v>
      </c>
      <c r="F11" s="18" t="s">
        <v>5</v>
      </c>
      <c r="G11" s="21">
        <v>7.2463768115942073E-2</v>
      </c>
      <c r="H11" s="21">
        <v>1.7391304347826087E-2</v>
      </c>
    </row>
    <row r="13" spans="1:8" x14ac:dyDescent="0.25">
      <c r="A13" s="18" t="s">
        <v>6</v>
      </c>
      <c r="F13" s="17"/>
    </row>
    <row r="14" spans="1:8" x14ac:dyDescent="0.25">
      <c r="A14" s="18" t="s">
        <v>36</v>
      </c>
      <c r="B14" s="18" t="s">
        <v>7</v>
      </c>
      <c r="D14" s="18" t="s">
        <v>8</v>
      </c>
    </row>
    <row r="15" spans="1:8" x14ac:dyDescent="0.25">
      <c r="A15" s="18">
        <v>1</v>
      </c>
      <c r="B15" s="18">
        <f>SUMPRODUCT(InputCosts,$B$6:$D$6)</f>
        <v>4.9999999999999991</v>
      </c>
      <c r="C15" s="18" t="s">
        <v>18</v>
      </c>
      <c r="D15" s="18">
        <f>SUMPRODUCT(OutputPrices,$G$6:$H$6)</f>
        <v>5.0000000000000009</v>
      </c>
    </row>
    <row r="16" spans="1:8" x14ac:dyDescent="0.25">
      <c r="A16" s="18">
        <v>2</v>
      </c>
      <c r="B16" s="18">
        <f>SUMPRODUCT(InputCosts,$B$7:$D$7)</f>
        <v>1.9999999999999996</v>
      </c>
      <c r="C16" s="18" t="s">
        <v>18</v>
      </c>
      <c r="D16" s="20">
        <f>SUMPRODUCT(OutputPrices,$G$7:$H$7)</f>
        <v>1.6086956590845969</v>
      </c>
    </row>
    <row r="17" spans="1:4" x14ac:dyDescent="0.25">
      <c r="A17" s="18">
        <v>3</v>
      </c>
      <c r="B17" s="20">
        <f>SUMPRODUCT(InputCosts,$B$8:$D$8)</f>
        <v>26.666666666666661</v>
      </c>
      <c r="C17" s="18" t="s">
        <v>18</v>
      </c>
      <c r="D17" s="20">
        <f>SUMPRODUCT(OutputPrices,$G$8:$H$8)</f>
        <v>26.666666666666671</v>
      </c>
    </row>
    <row r="18" spans="1:4" x14ac:dyDescent="0.25">
      <c r="A18" s="18">
        <v>4</v>
      </c>
      <c r="B18" s="18">
        <f>SUMPRODUCT(InputCosts,$B$9:$D$9)</f>
        <v>0.99999999999999978</v>
      </c>
      <c r="C18" s="18" t="s">
        <v>18</v>
      </c>
      <c r="D18" s="20">
        <f>SUMPRODUCT(OutputPrices,$G$9:$H$9)</f>
        <v>0.84782608004583837</v>
      </c>
    </row>
    <row r="20" spans="1:4" x14ac:dyDescent="0.25">
      <c r="A20" s="18" t="s">
        <v>10</v>
      </c>
    </row>
    <row r="21" spans="1:4" x14ac:dyDescent="0.25">
      <c r="A21" s="18" t="s">
        <v>16</v>
      </c>
      <c r="B21" s="18">
        <f>VLOOKUP(B3,LTable,2)</f>
        <v>0.99999999999999978</v>
      </c>
      <c r="C21" s="18" t="s">
        <v>11</v>
      </c>
      <c r="D21" s="18">
        <v>1</v>
      </c>
    </row>
    <row r="23" spans="1:4" x14ac:dyDescent="0.25">
      <c r="A23" s="18" t="s">
        <v>12</v>
      </c>
    </row>
    <row r="24" spans="1:4" x14ac:dyDescent="0.25">
      <c r="A24" s="18" t="s">
        <v>13</v>
      </c>
      <c r="B24" s="20">
        <f>VLOOKUP(B3,LTable,4)</f>
        <v>0.84782608004583837</v>
      </c>
    </row>
  </sheetData>
  <phoneticPr fontId="0" type="noConversion"/>
  <printOptions headings="1" gridLines="1"/>
  <pageMargins left="0.75" right="0.75" top="1" bottom="1" header="0.5" footer="0.5"/>
  <pageSetup scale="75"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Explanation</vt:lpstr>
      <vt:lpstr>Report</vt:lpstr>
      <vt:lpstr>Model</vt:lpstr>
      <vt:lpstr>Model!InputCosts</vt:lpstr>
      <vt:lpstr>Model!InputsUsed</vt:lpstr>
      <vt:lpstr>Model!InputValues</vt:lpstr>
      <vt:lpstr>Model!LTable</vt:lpstr>
      <vt:lpstr>Model!OutputPrices</vt:lpstr>
      <vt:lpstr>Model!OutputsProduced</vt:lpstr>
      <vt:lpstr>Model!OutputValues</vt:lpstr>
      <vt:lpstr>Model!Print_Area</vt:lpstr>
      <vt:lpstr>Model!SelInputValue</vt:lpstr>
      <vt:lpstr>Model!SelOutputValue</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2011-01-28T18:39:49Z</cp:lastPrinted>
  <dcterms:created xsi:type="dcterms:W3CDTF">2000-02-23T19:07:30Z</dcterms:created>
  <dcterms:modified xsi:type="dcterms:W3CDTF">2015-02-09T17:10:37Z</dcterms:modified>
</cp:coreProperties>
</file>