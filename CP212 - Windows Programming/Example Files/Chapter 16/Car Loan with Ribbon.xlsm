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chartsheets/sheet1.xml" ContentType="application/vnd.openxmlformats-officedocument.spreadsheetml.chartsheet+xml"/>
  <Override PartName="/xl/worksheets/sheet4.xml" ContentType="application/vnd.openxmlformats-officedocument.spreadsheetml.worksheet+xml"/>
  <Override PartName="/xl/chartsheets/sheet2.xml" ContentType="application/vnd.openxmlformats-officedocument.spreadsheetml.chart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3.xml" ContentType="application/vnd.openxmlformats-officedocument.drawing+xml"/>
  <Override PartName="/xl/charts/chart1.xml" ContentType="application/vnd.openxmlformats-officedocument.drawingml.chart+xml"/>
  <Override PartName="/xl/drawings/drawing4.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5.xml" ContentType="application/vnd.openxmlformats-officedocument.drawing+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70b27081b43347c0"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mc:AlternateContent xmlns:mc="http://schemas.openxmlformats.org/markup-compatibility/2006">
    <mc:Choice Requires="x15">
      <x15ac:absPath xmlns:x15ac="http://schemas.microsoft.com/office/spreadsheetml/2010/11/ac" url="C:\Users\Chris\Dropbox\My Books\VBA 5e\Example Files\Chapter 16\"/>
    </mc:Choice>
  </mc:AlternateContent>
  <bookViews>
    <workbookView xWindow="360" yWindow="120" windowWidth="11340" windowHeight="5520"/>
  </bookViews>
  <sheets>
    <sheet name="Explanation" sheetId="5" r:id="rId1"/>
    <sheet name="Model" sheetId="1" state="hidden" r:id="rId2"/>
    <sheet name="Sensitivity" sheetId="2" state="hidden" r:id="rId3"/>
    <sheet name="SensitivityChart" sheetId="7" state="hidden" r:id="rId4"/>
    <sheet name="Amortization" sheetId="3" state="hidden" r:id="rId5"/>
    <sheet name="AmortizationChart" sheetId="6" state="hidden" r:id="rId6"/>
  </sheets>
  <definedNames>
    <definedName name="DownPayment">Model!$B$5</definedName>
    <definedName name="InterestRate">Model!$B$6</definedName>
    <definedName name="Loan">Model!$B$10</definedName>
    <definedName name="Payment">Model!$B$11</definedName>
    <definedName name="Price">Model!$B$4</definedName>
    <definedName name="_xlnm.Print_Area" localSheetId="4">Amortization!$B$1:$G$11</definedName>
    <definedName name="_xlnm.Print_Area" localSheetId="0">Explanation!$A$1:$K$21</definedName>
    <definedName name="_xlnm.Print_Area" localSheetId="1">Model!$A$1:$B$12</definedName>
    <definedName name="_xlnm.Print_Area" localSheetId="2">Sensitivity!$B$1:$D$11</definedName>
    <definedName name="Term">Model!$B$7</definedName>
    <definedName name="TotalInterest">Model!$B$12</definedName>
  </definedNames>
  <calcPr calcId="152511"/>
</workbook>
</file>

<file path=xl/calcChain.xml><?xml version="1.0" encoding="utf-8"?>
<calcChain xmlns="http://schemas.openxmlformats.org/spreadsheetml/2006/main">
  <c r="C4" i="3" l="1"/>
  <c r="C5" i="3"/>
  <c r="C6" i="3"/>
  <c r="C7" i="3"/>
  <c r="B10" i="1"/>
  <c r="B11" i="1" s="1"/>
  <c r="C4" i="2"/>
  <c r="C5" i="2"/>
  <c r="C6" i="2"/>
  <c r="C7" i="2"/>
  <c r="D10" i="3" l="1"/>
  <c r="D33" i="3"/>
  <c r="D32" i="3"/>
  <c r="D24" i="3"/>
  <c r="D16" i="3"/>
  <c r="D22" i="3"/>
  <c r="D21" i="3"/>
  <c r="D28" i="3"/>
  <c r="D12" i="3"/>
  <c r="D31" i="3"/>
  <c r="D23" i="3"/>
  <c r="D15" i="3"/>
  <c r="D30" i="3"/>
  <c r="D14" i="3"/>
  <c r="D29" i="3"/>
  <c r="D13" i="3"/>
  <c r="D20" i="3"/>
  <c r="D19" i="3"/>
  <c r="D18" i="3"/>
  <c r="D11" i="3"/>
  <c r="D25" i="3"/>
  <c r="D17" i="3"/>
  <c r="D27" i="3"/>
  <c r="D26" i="3"/>
  <c r="C10" i="3"/>
  <c r="F10" i="3" s="1"/>
  <c r="B12" i="1"/>
  <c r="E10" i="3" l="1"/>
  <c r="G10" i="3" s="1"/>
  <c r="C11" i="3" s="1"/>
  <c r="F11" i="3" s="1"/>
  <c r="E11" i="3" s="1"/>
  <c r="G11" i="3" s="1"/>
  <c r="C12" i="3" s="1"/>
  <c r="F12" i="3" s="1"/>
  <c r="E12" i="3" s="1"/>
  <c r="G12" i="3" s="1"/>
  <c r="C13" i="3" s="1"/>
  <c r="F13" i="3" s="1"/>
  <c r="E13" i="3" s="1"/>
  <c r="G13" i="3" s="1"/>
  <c r="C14" i="3" s="1"/>
  <c r="F14" i="3" s="1"/>
  <c r="E14" i="3" s="1"/>
  <c r="G14" i="3" s="1"/>
  <c r="C15" i="3" s="1"/>
  <c r="F15" i="3" l="1"/>
  <c r="E15" i="3" s="1"/>
  <c r="G15" i="3" s="1"/>
  <c r="C16" i="3" s="1"/>
  <c r="F16" i="3" l="1"/>
  <c r="E16" i="3" s="1"/>
  <c r="G16" i="3" s="1"/>
  <c r="C17" i="3" s="1"/>
  <c r="F17" i="3" l="1"/>
  <c r="E17" i="3" s="1"/>
  <c r="G17" i="3" s="1"/>
  <c r="C18" i="3" s="1"/>
  <c r="F18" i="3" l="1"/>
  <c r="E18" i="3" s="1"/>
  <c r="G18" i="3" s="1"/>
  <c r="C19" i="3" s="1"/>
  <c r="F19" i="3" l="1"/>
  <c r="E19" i="3" s="1"/>
  <c r="G19" i="3" s="1"/>
  <c r="C20" i="3" s="1"/>
  <c r="F20" i="3" l="1"/>
  <c r="E20" i="3" s="1"/>
  <c r="G20" i="3" s="1"/>
  <c r="C21" i="3" s="1"/>
  <c r="F21" i="3" l="1"/>
  <c r="E21" i="3" s="1"/>
  <c r="G21" i="3" s="1"/>
  <c r="C22" i="3" s="1"/>
  <c r="F22" i="3" l="1"/>
  <c r="E22" i="3" s="1"/>
  <c r="G22" i="3" s="1"/>
  <c r="C23" i="3" s="1"/>
  <c r="F23" i="3" l="1"/>
  <c r="E23" i="3" s="1"/>
  <c r="G23" i="3" s="1"/>
  <c r="C24" i="3" s="1"/>
  <c r="F24" i="3" l="1"/>
  <c r="E24" i="3" s="1"/>
  <c r="G24" i="3" s="1"/>
  <c r="C25" i="3" s="1"/>
  <c r="F25" i="3" l="1"/>
  <c r="E25" i="3" s="1"/>
  <c r="G25" i="3" s="1"/>
  <c r="C26" i="3" s="1"/>
  <c r="F26" i="3" l="1"/>
  <c r="E26" i="3" s="1"/>
  <c r="G26" i="3" s="1"/>
  <c r="C27" i="3" s="1"/>
  <c r="F27" i="3" l="1"/>
  <c r="E27" i="3" s="1"/>
  <c r="G27" i="3" s="1"/>
  <c r="C28" i="3" s="1"/>
  <c r="F28" i="3" l="1"/>
  <c r="E28" i="3" s="1"/>
  <c r="G28" i="3" s="1"/>
  <c r="C29" i="3" s="1"/>
  <c r="F29" i="3" l="1"/>
  <c r="E29" i="3" s="1"/>
  <c r="G29" i="3" s="1"/>
  <c r="C30" i="3" s="1"/>
  <c r="F30" i="3" l="1"/>
  <c r="E30" i="3" s="1"/>
  <c r="G30" i="3" s="1"/>
  <c r="C31" i="3" s="1"/>
  <c r="F31" i="3" l="1"/>
  <c r="E31" i="3" s="1"/>
  <c r="G31" i="3" s="1"/>
  <c r="C32" i="3" s="1"/>
  <c r="F32" i="3" l="1"/>
  <c r="E32" i="3" s="1"/>
  <c r="G32" i="3" s="1"/>
  <c r="C33" i="3" s="1"/>
  <c r="F33" i="3" l="1"/>
  <c r="E33" i="3" s="1"/>
  <c r="G33" i="3" s="1"/>
</calcChain>
</file>

<file path=xl/sharedStrings.xml><?xml version="1.0" encoding="utf-8"?>
<sst xmlns="http://schemas.openxmlformats.org/spreadsheetml/2006/main" count="34" uniqueCount="23">
  <si>
    <t>Inputs</t>
  </si>
  <si>
    <t>Price of car</t>
  </si>
  <si>
    <t>Down payment</t>
  </si>
  <si>
    <t>Annual interest rate</t>
  </si>
  <si>
    <t>Term (months to pay)</t>
  </si>
  <si>
    <t>Outputs</t>
  </si>
  <si>
    <t>Amount financed</t>
  </si>
  <si>
    <t>Monthly payment</t>
  </si>
  <si>
    <t>Total interest paid</t>
  </si>
  <si>
    <t>Car loan model</t>
  </si>
  <si>
    <t>Sensitivity analysis</t>
  </si>
  <si>
    <t>Basic inputs</t>
  </si>
  <si>
    <t>Input to vary</t>
  </si>
  <si>
    <t>Total interest</t>
  </si>
  <si>
    <t>Amortization schedule</t>
  </si>
  <si>
    <t>Month</t>
  </si>
  <si>
    <t>Payment</t>
  </si>
  <si>
    <t>Principal</t>
  </si>
  <si>
    <t>Interest</t>
  </si>
  <si>
    <t>Ending balance</t>
  </si>
  <si>
    <t>Beginning balance</t>
  </si>
  <si>
    <t>Price</t>
  </si>
  <si>
    <t>Car Loan Application</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</si>
</sst>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8" formatCode="&quot;$&quot;#,##0.00_);[Red]\(&quot;$&quot;#,##0.00\)"/>
    <numFmt numFmtId="164" formatCode="&quot;$&quot;#,##0;\-&quot;$&quot;#,##0"/>
    <numFmt numFmtId="165" formatCode="&quot;$&quot;#,##0.00;\-&quot;$&quot;#,##0.00"/>
  </numFmts>
  <fonts count="8" x14ac:knownFonts="1">
    <font>
      <sz val="11"/>
      <name val="Calibri"/>
      <family val="2"/>
      <scheme val="minor"/>
    </font>
    <font>
      <sz val="10"/>
      <name val="Arial"/>
      <family val="2"/>
    </font>
    <font>
      <b/>
      <sz val="10"/>
      <name val="Arial"/>
      <family val="2"/>
    </font>
    <font>
      <sz val="10"/>
      <name val="Arial"/>
      <family val="2"/>
    </font>
    <font>
      <b/>
      <sz val="12"/>
      <name val="Arial"/>
      <family val="2"/>
    </font>
    <font>
      <sz val="10"/>
      <color indexed="8"/>
      <name val="Arial"/>
      <family val="2"/>
    </font>
    <font>
      <b/>
      <sz val="9"/>
      <name val="Arial"/>
      <family val="2"/>
    </font>
    <font>
      <sz val="10"/>
      <color rgb="FF000000"/>
      <name val="Arial"/>
      <family val="2"/>
    </font>
  </fonts>
  <fills count="5">
    <fill>
      <patternFill patternType="none"/>
    </fill>
    <fill>
      <patternFill patternType="gray125"/>
    </fill>
    <fill>
      <patternFill patternType="solid">
        <fgColor theme="0" tint="-0.14999847407452621"/>
        <bgColor indexed="64"/>
      </patternFill>
    </fill>
    <fill>
      <patternFill patternType="solid">
        <fgColor theme="0" tint="-0.14999847407452621"/>
        <bgColor indexed="24"/>
      </patternFill>
    </fill>
    <fill>
      <patternFill patternType="solid">
        <fgColor rgb="FFFFFF99"/>
        <bgColor indexed="64"/>
      </patternFill>
    </fill>
  </fills>
  <borders count="4">
    <border>
      <left/>
      <right/>
      <top/>
      <bottom/>
      <diagonal/>
    </border>
    <border>
      <left/>
      <right/>
      <top style="medium">
        <color theme="0" tint="-0.24994659260841701"/>
      </top>
      <bottom style="medium">
        <color theme="0" tint="-0.499984740745262"/>
      </bottom>
      <diagonal/>
    </border>
    <border>
      <left/>
      <right style="medium">
        <color theme="0" tint="-0.24994659260841701"/>
      </right>
      <top style="medium">
        <color theme="0" tint="-0.24994659260841701"/>
      </top>
      <bottom style="medium">
        <color theme="0" tint="-0.499984740745262"/>
      </bottom>
      <diagonal/>
    </border>
    <border>
      <left style="medium">
        <color theme="0" tint="-0.499984740745262"/>
      </left>
      <right/>
      <top style="medium">
        <color theme="0" tint="-0.24994659260841701"/>
      </top>
      <bottom style="medium">
        <color theme="0" tint="-0.499984740745262"/>
      </bottom>
      <diagonal/>
    </border>
  </borders>
  <cellStyleXfs count="2">
    <xf numFmtId="0" fontId="0" fillId="0" borderId="0"/>
    <xf numFmtId="9" fontId="1" fillId="0" borderId="0" applyFont="0" applyFill="0" applyBorder="0" applyAlignment="0" applyProtection="0"/>
  </cellStyleXfs>
  <cellXfs count="36">
    <xf numFmtId="0" fontId="0" fillId="0" borderId="0" xfId="0"/>
    <xf numFmtId="0" fontId="2" fillId="0" borderId="0" xfId="0" applyFont="1"/>
    <xf numFmtId="164" fontId="0" fillId="0" borderId="0" xfId="0" applyNumberFormat="1"/>
    <xf numFmtId="0" fontId="0" fillId="0" borderId="0" xfId="0" applyAlignment="1">
      <alignment horizontal="left"/>
    </xf>
    <xf numFmtId="0" fontId="0" fillId="0" borderId="0" xfId="0" applyFill="1" applyBorder="1" applyAlignment="1"/>
    <xf numFmtId="164" fontId="0" fillId="0" borderId="0" xfId="0" applyNumberFormat="1" applyFill="1" applyBorder="1" applyAlignment="1"/>
    <xf numFmtId="10" fontId="0" fillId="0" borderId="0" xfId="1" applyNumberFormat="1" applyFont="1" applyFill="1" applyBorder="1" applyAlignment="1"/>
    <xf numFmtId="165" fontId="0" fillId="0" borderId="0" xfId="0" applyNumberFormat="1"/>
    <xf numFmtId="8" fontId="0" fillId="0" borderId="0" xfId="0" applyNumberFormat="1" applyFill="1" applyBorder="1" applyAlignment="1">
      <alignment horizontal="center"/>
    </xf>
    <xf numFmtId="0" fontId="0" fillId="0" borderId="0" xfId="0" applyAlignment="1">
      <alignment horizontal="center"/>
    </xf>
    <xf numFmtId="165" fontId="0" fillId="0" borderId="0" xfId="0" applyNumberFormat="1" applyFill="1" applyBorder="1" applyAlignment="1">
      <alignment horizontal="center"/>
    </xf>
    <xf numFmtId="164" fontId="0" fillId="0" borderId="0" xfId="0" applyNumberFormat="1" applyAlignment="1">
      <alignment horizontal="center"/>
    </xf>
    <xf numFmtId="0" fontId="0" fillId="0" borderId="0" xfId="0" applyBorder="1"/>
    <xf numFmtId="0" fontId="5" fillId="0" borderId="0" xfId="0" applyFont="1" applyFill="1" applyBorder="1" applyAlignment="1">
      <alignment horizontal="center"/>
    </xf>
    <xf numFmtId="0" fontId="3" fillId="0" borderId="0" xfId="0" applyFont="1" applyFill="1" applyAlignment="1">
      <alignment horizontal="center"/>
    </xf>
    <xf numFmtId="0" fontId="3" fillId="0" borderId="0" xfId="0" applyFont="1" applyAlignment="1">
      <alignment horizontal="center"/>
    </xf>
    <xf numFmtId="8" fontId="0" fillId="0" borderId="0" xfId="0" applyNumberFormat="1" applyAlignment="1">
      <alignment horizontal="center"/>
    </xf>
    <xf numFmtId="1" fontId="0" fillId="0" borderId="0" xfId="0" applyNumberFormat="1" applyFill="1" applyBorder="1" applyAlignment="1"/>
    <xf numFmtId="164" fontId="3" fillId="0" borderId="0" xfId="0" applyNumberFormat="1" applyFont="1" applyFill="1" applyBorder="1"/>
    <xf numFmtId="10" fontId="3" fillId="0" borderId="0" xfId="1" applyNumberFormat="1" applyFont="1" applyFill="1" applyBorder="1"/>
    <xf numFmtId="0" fontId="3" fillId="0" borderId="0" xfId="0" applyFont="1" applyFill="1" applyBorder="1"/>
    <xf numFmtId="0" fontId="0" fillId="0" borderId="0" xfId="0" applyFill="1"/>
    <xf numFmtId="0" fontId="2" fillId="2" borderId="1" xfId="0" applyFont="1" applyFill="1" applyBorder="1" applyAlignment="1">
      <alignment horizontal="center" vertical="center"/>
    </xf>
    <xf numFmtId="0" fontId="2" fillId="2" borderId="3" xfId="0" applyFont="1" applyFill="1" applyBorder="1" applyAlignment="1">
      <alignment horizontal="center" vertical="center"/>
    </xf>
    <xf numFmtId="0" fontId="6" fillId="3" borderId="1" xfId="0" applyFont="1" applyFill="1" applyBorder="1" applyAlignment="1">
      <alignment horizontal="center"/>
    </xf>
    <xf numFmtId="0" fontId="2" fillId="2" borderId="2" xfId="0" applyFont="1" applyFill="1" applyBorder="1" applyAlignment="1">
      <alignment horizontal="center" vertical="center"/>
    </xf>
    <xf numFmtId="0" fontId="2" fillId="3" borderId="3" xfId="0" applyFont="1" applyFill="1" applyBorder="1" applyAlignment="1">
      <alignment horizontal="center"/>
    </xf>
    <xf numFmtId="0" fontId="6" fillId="3" borderId="2" xfId="0" applyFont="1" applyFill="1" applyBorder="1" applyAlignment="1">
      <alignment horizontal="center"/>
    </xf>
    <xf numFmtId="0" fontId="0" fillId="4" borderId="3" xfId="0" applyFill="1" applyBorder="1"/>
    <xf numFmtId="164" fontId="0" fillId="4" borderId="2" xfId="0" applyNumberFormat="1" applyFill="1" applyBorder="1" applyAlignment="1">
      <alignment horizontal="right"/>
    </xf>
    <xf numFmtId="0" fontId="4" fillId="0" borderId="0" xfId="0" applyFont="1" applyFill="1" applyAlignment="1">
      <alignment horizontal="center"/>
    </xf>
    <xf numFmtId="0" fontId="2" fillId="2" borderId="3" xfId="0" applyFont="1" applyFill="1" applyBorder="1" applyAlignment="1">
      <alignment horizontal="center" vertical="center"/>
    </xf>
    <xf numFmtId="0" fontId="2" fillId="2" borderId="1" xfId="0" applyFont="1" applyFill="1" applyBorder="1" applyAlignment="1">
      <alignment horizontal="center" vertical="center"/>
    </xf>
    <xf numFmtId="0" fontId="2" fillId="2" borderId="2" xfId="0" applyFont="1" applyFill="1" applyBorder="1" applyAlignment="1">
      <alignment horizontal="center" vertical="center"/>
    </xf>
    <xf numFmtId="0" fontId="2" fillId="2" borderId="3" xfId="0" applyFont="1" applyFill="1" applyBorder="1" applyAlignment="1">
      <alignment horizontal="left" vertical="center"/>
    </xf>
    <xf numFmtId="0" fontId="2" fillId="2" borderId="2" xfId="0" applyFont="1" applyFill="1" applyBorder="1" applyAlignment="1">
      <alignment horizontal="left" vertical="center"/>
    </xf>
  </cellXfs>
  <cellStyles count="2">
    <cellStyle name="Normal" xfId="0" builtinId="0" customBuiltin="1"/>
    <cellStyle name="Percent" xfId="1" builtinId="5"/>
  </cellStyles>
  <dxfs count="0"/>
  <tableStyles count="0" defaultTableStyle="TableStyleMedium9"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hartsheet" Target="chartsheets/sheet2.xml"/><Relationship Id="rId11" Type="http://schemas.microsoft.com/office/2006/relationships/vbaProject" Target="vbaProject.bin"/><Relationship Id="rId5" Type="http://schemas.openxmlformats.org/officeDocument/2006/relationships/worksheet" Target="worksheets/sheet4.xml"/><Relationship Id="rId10" Type="http://schemas.openxmlformats.org/officeDocument/2006/relationships/calcChain" Target="calcChain.xml"/><Relationship Id="rId4" Type="http://schemas.openxmlformats.org/officeDocument/2006/relationships/chartsheet" Target="chartsheets/sheet1.xml"/><Relationship Id="rId9"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Sensitivity to Price of Car</a:t>
            </a:r>
          </a:p>
        </c:rich>
      </c:tx>
      <c:layout>
        <c:manualLayout>
          <c:xMode val="edge"/>
          <c:yMode val="edge"/>
          <c:x val="0.39067702552719202"/>
          <c:y val="1.9575856443719428E-2"/>
        </c:manualLayout>
      </c:layout>
      <c:overlay val="0"/>
      <c:spPr>
        <a:noFill/>
        <a:ln w="25400">
          <a:noFill/>
        </a:ln>
      </c:spPr>
    </c:title>
    <c:autoTitleDeleted val="0"/>
    <c:plotArea>
      <c:layout>
        <c:manualLayout>
          <c:layoutTarget val="inner"/>
          <c:xMode val="edge"/>
          <c:yMode val="edge"/>
          <c:x val="7.1032186459489471E-2"/>
          <c:y val="0.12234910277324638"/>
          <c:w val="0.76803551609323029"/>
          <c:h val="0.73898858075040752"/>
        </c:manualLayout>
      </c:layout>
      <c:lineChart>
        <c:grouping val="standard"/>
        <c:varyColors val="0"/>
        <c:ser>
          <c:idx val="0"/>
          <c:order val="0"/>
          <c:tx>
            <c:v>Monthly payment</c:v>
          </c:tx>
          <c:spPr>
            <a:ln w="12700">
              <a:solidFill>
                <a:srgbClr val="000080"/>
              </a:solidFill>
              <a:prstDash val="solid"/>
            </a:ln>
          </c:spPr>
          <c:marker>
            <c:symbol val="diamond"/>
            <c:size val="5"/>
            <c:spPr>
              <a:solidFill>
                <a:srgbClr val="000080"/>
              </a:solidFill>
              <a:ln>
                <a:solidFill>
                  <a:srgbClr val="000080"/>
                </a:solidFill>
                <a:prstDash val="solid"/>
              </a:ln>
            </c:spPr>
          </c:marker>
          <c:cat>
            <c:numRef>
              <c:f>Sensitivity!$B$12:$B$27</c:f>
              <c:numCache>
                <c:formatCode>"$"#,##0.00_);[Red]\("$"#,##0.00\)</c:formatCode>
                <c:ptCount val="16"/>
                <c:pt idx="0">
                  <c:v>15000</c:v>
                </c:pt>
                <c:pt idx="1">
                  <c:v>18000</c:v>
                </c:pt>
                <c:pt idx="2">
                  <c:v>21000</c:v>
                </c:pt>
                <c:pt idx="3">
                  <c:v>24000</c:v>
                </c:pt>
                <c:pt idx="4">
                  <c:v>27000</c:v>
                </c:pt>
                <c:pt idx="5">
                  <c:v>30000</c:v>
                </c:pt>
                <c:pt idx="6">
                  <c:v>33000</c:v>
                </c:pt>
                <c:pt idx="7">
                  <c:v>36000</c:v>
                </c:pt>
                <c:pt idx="8">
                  <c:v>39000</c:v>
                </c:pt>
                <c:pt idx="9">
                  <c:v>42000</c:v>
                </c:pt>
                <c:pt idx="10">
                  <c:v>45000</c:v>
                </c:pt>
                <c:pt idx="11">
                  <c:v>48000</c:v>
                </c:pt>
                <c:pt idx="12">
                  <c:v>51000</c:v>
                </c:pt>
                <c:pt idx="13">
                  <c:v>54000</c:v>
                </c:pt>
                <c:pt idx="14">
                  <c:v>57000</c:v>
                </c:pt>
                <c:pt idx="15">
                  <c:v>60000</c:v>
                </c:pt>
              </c:numCache>
            </c:numRef>
          </c:cat>
          <c:val>
            <c:numRef>
              <c:f>Sensitivity!$C$12:$C$27</c:f>
              <c:numCache>
                <c:formatCode>"$"#,##0.00_);[Red]\("$"#,##0.00\)</c:formatCode>
                <c:ptCount val="16"/>
                <c:pt idx="0">
                  <c:v>396.86</c:v>
                </c:pt>
                <c:pt idx="1">
                  <c:v>529.15</c:v>
                </c:pt>
                <c:pt idx="2">
                  <c:v>661.43</c:v>
                </c:pt>
                <c:pt idx="3">
                  <c:v>793.72</c:v>
                </c:pt>
                <c:pt idx="4">
                  <c:v>926.01</c:v>
                </c:pt>
                <c:pt idx="5">
                  <c:v>1058.3</c:v>
                </c:pt>
                <c:pt idx="6">
                  <c:v>1190.58</c:v>
                </c:pt>
                <c:pt idx="7">
                  <c:v>1322.87</c:v>
                </c:pt>
                <c:pt idx="8">
                  <c:v>1455.16</c:v>
                </c:pt>
                <c:pt idx="9">
                  <c:v>1587.44</c:v>
                </c:pt>
                <c:pt idx="10">
                  <c:v>1719.73</c:v>
                </c:pt>
                <c:pt idx="11">
                  <c:v>1852.02</c:v>
                </c:pt>
                <c:pt idx="12">
                  <c:v>1984.3</c:v>
                </c:pt>
                <c:pt idx="13">
                  <c:v>2116.59</c:v>
                </c:pt>
                <c:pt idx="14">
                  <c:v>2248.88</c:v>
                </c:pt>
                <c:pt idx="15">
                  <c:v>2381.17</c:v>
                </c:pt>
              </c:numCache>
            </c:numRef>
          </c:val>
          <c:smooth val="0"/>
        </c:ser>
        <c:ser>
          <c:idx val="1"/>
          <c:order val="1"/>
          <c:tx>
            <c:v>Total interest</c:v>
          </c:tx>
          <c:spPr>
            <a:ln w="12700">
              <a:solidFill>
                <a:srgbClr val="FF00FF"/>
              </a:solidFill>
              <a:prstDash val="solid"/>
            </a:ln>
          </c:spPr>
          <c:marker>
            <c:symbol val="square"/>
            <c:size val="5"/>
            <c:spPr>
              <a:solidFill>
                <a:srgbClr val="FF00FF"/>
              </a:solidFill>
              <a:ln>
                <a:solidFill>
                  <a:srgbClr val="FF00FF"/>
                </a:solidFill>
                <a:prstDash val="solid"/>
              </a:ln>
            </c:spPr>
          </c:marker>
          <c:val>
            <c:numRef>
              <c:f>Sensitivity!$D$12:$D$27</c:f>
              <c:numCache>
                <c:formatCode>"$"#,##0.00_);[Red]\("$"#,##0.00\)</c:formatCode>
                <c:ptCount val="16"/>
                <c:pt idx="0">
                  <c:v>524.66</c:v>
                </c:pt>
                <c:pt idx="1">
                  <c:v>699.55</c:v>
                </c:pt>
                <c:pt idx="2">
                  <c:v>874.44</c:v>
                </c:pt>
                <c:pt idx="3">
                  <c:v>1049.32</c:v>
                </c:pt>
                <c:pt idx="4">
                  <c:v>1224.21</c:v>
                </c:pt>
                <c:pt idx="5">
                  <c:v>1399.1</c:v>
                </c:pt>
                <c:pt idx="6">
                  <c:v>1573.99</c:v>
                </c:pt>
                <c:pt idx="7">
                  <c:v>1748.87</c:v>
                </c:pt>
                <c:pt idx="8">
                  <c:v>1923.76</c:v>
                </c:pt>
                <c:pt idx="9">
                  <c:v>2098.65</c:v>
                </c:pt>
                <c:pt idx="10">
                  <c:v>2273.5300000000002</c:v>
                </c:pt>
                <c:pt idx="11">
                  <c:v>2448.42</c:v>
                </c:pt>
                <c:pt idx="12">
                  <c:v>2623.31</c:v>
                </c:pt>
                <c:pt idx="13">
                  <c:v>2798.2</c:v>
                </c:pt>
                <c:pt idx="14">
                  <c:v>2973.08</c:v>
                </c:pt>
                <c:pt idx="15">
                  <c:v>3147.97</c:v>
                </c:pt>
              </c:numCache>
            </c:numRef>
          </c:val>
          <c:smooth val="0"/>
        </c:ser>
        <c:dLbls>
          <c:showLegendKey val="0"/>
          <c:showVal val="0"/>
          <c:showCatName val="0"/>
          <c:showSerName val="0"/>
          <c:showPercent val="0"/>
          <c:showBubbleSize val="0"/>
        </c:dLbls>
        <c:marker val="1"/>
        <c:smooth val="0"/>
        <c:axId val="423841904"/>
        <c:axId val="423842296"/>
      </c:lineChart>
      <c:catAx>
        <c:axId val="423841904"/>
        <c:scaling>
          <c:orientation val="minMax"/>
        </c:scaling>
        <c:delete val="0"/>
        <c:axPos val="b"/>
        <c:title>
          <c:tx>
            <c:rich>
              <a:bodyPr/>
              <a:lstStyle/>
              <a:p>
                <a:pPr>
                  <a:defRPr sz="1150" b="1" i="0" u="none" strike="noStrike" baseline="0">
                    <a:solidFill>
                      <a:srgbClr val="000000"/>
                    </a:solidFill>
                    <a:latin typeface="Arial"/>
                    <a:ea typeface="Arial"/>
                    <a:cs typeface="Arial"/>
                  </a:defRPr>
                </a:pPr>
                <a:r>
                  <a:rPr lang="en-US"/>
                  <a:t>Price of Car</a:t>
                </a:r>
              </a:p>
            </c:rich>
          </c:tx>
          <c:layout>
            <c:manualLayout>
              <c:xMode val="edge"/>
              <c:yMode val="edge"/>
              <c:x val="0.40621531631520535"/>
              <c:y val="0.9363784665579119"/>
            </c:manualLayout>
          </c:layout>
          <c:overlay val="0"/>
          <c:spPr>
            <a:noFill/>
            <a:ln w="25400">
              <a:noFill/>
            </a:ln>
          </c:spPr>
        </c:title>
        <c:numFmt formatCode="#,##0_);[Red]\(#,##0\)" sourceLinked="0"/>
        <c:majorTickMark val="out"/>
        <c:minorTickMark val="none"/>
        <c:tickLblPos val="nextTo"/>
        <c:spPr>
          <a:ln w="3175">
            <a:solidFill>
              <a:srgbClr val="000000"/>
            </a:solidFill>
            <a:prstDash val="solid"/>
          </a:ln>
        </c:spPr>
        <c:txPr>
          <a:bodyPr rot="0" vert="horz"/>
          <a:lstStyle/>
          <a:p>
            <a:pPr>
              <a:defRPr sz="925" b="0" i="0" u="none" strike="noStrike" baseline="0">
                <a:solidFill>
                  <a:srgbClr val="000000"/>
                </a:solidFill>
                <a:latin typeface="Arial"/>
                <a:ea typeface="Arial"/>
                <a:cs typeface="Arial"/>
              </a:defRPr>
            </a:pPr>
            <a:endParaRPr lang="en-US"/>
          </a:p>
        </c:txPr>
        <c:crossAx val="423842296"/>
        <c:crosses val="autoZero"/>
        <c:auto val="1"/>
        <c:lblAlgn val="ctr"/>
        <c:lblOffset val="100"/>
        <c:tickLblSkip val="1"/>
        <c:tickMarkSkip val="1"/>
        <c:noMultiLvlLbl val="0"/>
      </c:catAx>
      <c:valAx>
        <c:axId val="423842296"/>
        <c:scaling>
          <c:orientation val="minMax"/>
        </c:scaling>
        <c:delete val="0"/>
        <c:axPos val="l"/>
        <c:majorGridlines>
          <c:spPr>
            <a:ln w="3175">
              <a:solidFill>
                <a:srgbClr val="000000"/>
              </a:solidFill>
              <a:prstDash val="solid"/>
            </a:ln>
          </c:spPr>
        </c:majorGridlines>
        <c:numFmt formatCode="\$#,##0_);[Red]\(\$#,##0\)" sourceLinked="0"/>
        <c:majorTickMark val="out"/>
        <c:minorTickMark val="none"/>
        <c:tickLblPos val="nextTo"/>
        <c:spPr>
          <a:ln w="3175">
            <a:solidFill>
              <a:srgbClr val="000000"/>
            </a:solidFill>
            <a:prstDash val="solid"/>
          </a:ln>
        </c:spPr>
        <c:txPr>
          <a:bodyPr rot="0" vert="horz"/>
          <a:lstStyle/>
          <a:p>
            <a:pPr>
              <a:defRPr sz="925" b="0" i="0" u="none" strike="noStrike" baseline="0">
                <a:solidFill>
                  <a:srgbClr val="000000"/>
                </a:solidFill>
                <a:latin typeface="Arial"/>
                <a:ea typeface="Arial"/>
                <a:cs typeface="Arial"/>
              </a:defRPr>
            </a:pPr>
            <a:endParaRPr lang="en-US"/>
          </a:p>
        </c:txPr>
        <c:crossAx val="423841904"/>
        <c:crosses val="autoZero"/>
        <c:crossBetween val="between"/>
      </c:valAx>
      <c:spPr>
        <a:solidFill>
          <a:srgbClr val="C0C0C0"/>
        </a:solidFill>
        <a:ln w="12700">
          <a:solidFill>
            <a:srgbClr val="808080"/>
          </a:solidFill>
          <a:prstDash val="solid"/>
        </a:ln>
      </c:spPr>
    </c:plotArea>
    <c:legend>
      <c:legendPos val="r"/>
      <c:layout>
        <c:manualLayout>
          <c:xMode val="edge"/>
          <c:yMode val="edge"/>
          <c:x val="0.8512763596004439"/>
          <c:y val="0.45840130505709631"/>
          <c:w val="0.14428412874583796"/>
          <c:h val="6.6884176182707977E-2"/>
        </c:manualLayout>
      </c:layout>
      <c:overlay val="0"/>
      <c:spPr>
        <a:solidFill>
          <a:srgbClr val="FFFFFF"/>
        </a:solidFill>
        <a:ln w="3175">
          <a:solidFill>
            <a:srgbClr val="000000"/>
          </a:solidFill>
          <a:prstDash val="solid"/>
        </a:ln>
      </c:spPr>
      <c:txPr>
        <a:bodyPr/>
        <a:lstStyle/>
        <a:p>
          <a:pPr>
            <a:defRPr sz="850"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800" b="0" i="0" u="none" strike="noStrike" baseline="0">
          <a:solidFill>
            <a:srgbClr val="000000"/>
          </a:solidFill>
          <a:latin typeface="Arial"/>
          <a:ea typeface="Arial"/>
          <a:cs typeface="Arial"/>
        </a:defRPr>
      </a:pPr>
      <a:endParaRPr lang="en-US"/>
    </a:p>
  </c:txPr>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Principal and Interest Payments Through Time</a:t>
            </a:r>
          </a:p>
        </c:rich>
      </c:tx>
      <c:layout>
        <c:manualLayout>
          <c:xMode val="edge"/>
          <c:yMode val="edge"/>
          <c:x val="0.30077691453940097"/>
          <c:y val="1.9575856443719428E-2"/>
        </c:manualLayout>
      </c:layout>
      <c:overlay val="0"/>
      <c:spPr>
        <a:noFill/>
        <a:ln w="25400">
          <a:noFill/>
        </a:ln>
      </c:spPr>
    </c:title>
    <c:autoTitleDeleted val="0"/>
    <c:plotArea>
      <c:layout>
        <c:manualLayout>
          <c:layoutTarget val="inner"/>
          <c:xMode val="edge"/>
          <c:yMode val="edge"/>
          <c:x val="7.4361820199778078E-2"/>
          <c:y val="0.12234910277324638"/>
          <c:w val="0.81243063263041115"/>
          <c:h val="0.76508972267536746"/>
        </c:manualLayout>
      </c:layout>
      <c:lineChart>
        <c:grouping val="standard"/>
        <c:varyColors val="0"/>
        <c:ser>
          <c:idx val="0"/>
          <c:order val="0"/>
          <c:tx>
            <c:v>Principal</c:v>
          </c:tx>
          <c:spPr>
            <a:ln w="12700">
              <a:solidFill>
                <a:srgbClr val="000080"/>
              </a:solidFill>
              <a:prstDash val="solid"/>
            </a:ln>
          </c:spPr>
          <c:marker>
            <c:symbol val="diamond"/>
            <c:size val="5"/>
            <c:spPr>
              <a:solidFill>
                <a:srgbClr val="000080"/>
              </a:solidFill>
              <a:ln>
                <a:solidFill>
                  <a:srgbClr val="000080"/>
                </a:solidFill>
                <a:prstDash val="solid"/>
              </a:ln>
            </c:spPr>
          </c:marker>
          <c:cat>
            <c:numRef>
              <c:f>Amortization!$B$10:$B$33</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Amortization!$E$10:$E$33</c:f>
              <c:numCache>
                <c:formatCode>"$"#,##0.00;\-"$"#,##0.00</c:formatCode>
                <c:ptCount val="24"/>
                <c:pt idx="0">
                  <c:v>948.29574779527866</c:v>
                </c:pt>
                <c:pt idx="1">
                  <c:v>952.64210330600702</c:v>
                </c:pt>
                <c:pt idx="2">
                  <c:v>957.00837961282627</c:v>
                </c:pt>
                <c:pt idx="3">
                  <c:v>961.39466801938499</c:v>
                </c:pt>
                <c:pt idx="4">
                  <c:v>965.80106024780719</c:v>
                </c:pt>
                <c:pt idx="5">
                  <c:v>970.22764844060964</c:v>
                </c:pt>
                <c:pt idx="6">
                  <c:v>974.67452516262915</c:v>
                </c:pt>
                <c:pt idx="7">
                  <c:v>979.1417834029578</c:v>
                </c:pt>
                <c:pt idx="8">
                  <c:v>983.62951657688802</c:v>
                </c:pt>
                <c:pt idx="9">
                  <c:v>988.13781852786542</c:v>
                </c:pt>
                <c:pt idx="10">
                  <c:v>992.66678352945155</c:v>
                </c:pt>
                <c:pt idx="11">
                  <c:v>997.21650628729481</c:v>
                </c:pt>
                <c:pt idx="12">
                  <c:v>1001.7870819411116</c:v>
                </c:pt>
                <c:pt idx="13">
                  <c:v>1006.378606066675</c:v>
                </c:pt>
                <c:pt idx="14">
                  <c:v>1010.991174677814</c:v>
                </c:pt>
                <c:pt idx="15">
                  <c:v>1015.6248842284206</c:v>
                </c:pt>
                <c:pt idx="16">
                  <c:v>1020.2798316144675</c:v>
                </c:pt>
                <c:pt idx="17">
                  <c:v>1024.9561141760339</c:v>
                </c:pt>
                <c:pt idx="18">
                  <c:v>1029.6538296993406</c:v>
                </c:pt>
                <c:pt idx="19">
                  <c:v>1034.373076418796</c:v>
                </c:pt>
                <c:pt idx="20">
                  <c:v>1039.1139530190487</c:v>
                </c:pt>
                <c:pt idx="21">
                  <c:v>1043.8765586370528</c:v>
                </c:pt>
                <c:pt idx="22">
                  <c:v>1048.6609928641392</c:v>
                </c:pt>
                <c:pt idx="23">
                  <c:v>1053.4673557480999</c:v>
                </c:pt>
              </c:numCache>
            </c:numRef>
          </c:val>
          <c:smooth val="0"/>
        </c:ser>
        <c:ser>
          <c:idx val="1"/>
          <c:order val="1"/>
          <c:tx>
            <c:v>Interest</c:v>
          </c:tx>
          <c:spPr>
            <a:ln w="12700">
              <a:solidFill>
                <a:srgbClr val="FF00FF"/>
              </a:solidFill>
              <a:prstDash val="solid"/>
            </a:ln>
          </c:spPr>
          <c:marker>
            <c:symbol val="square"/>
            <c:size val="5"/>
            <c:spPr>
              <a:solidFill>
                <a:srgbClr val="FF00FF"/>
              </a:solidFill>
              <a:ln>
                <a:solidFill>
                  <a:srgbClr val="FF00FF"/>
                </a:solidFill>
                <a:prstDash val="solid"/>
              </a:ln>
            </c:spPr>
          </c:marker>
          <c:val>
            <c:numRef>
              <c:f>Amortization!$F$10:$F$33</c:f>
              <c:numCache>
                <c:formatCode>"$"#,##0.00;\-"$"#,##0.00</c:formatCode>
                <c:ptCount val="24"/>
                <c:pt idx="0">
                  <c:v>110</c:v>
                </c:pt>
                <c:pt idx="1">
                  <c:v>105.65364448927163</c:v>
                </c:pt>
                <c:pt idx="2">
                  <c:v>101.28736818245244</c:v>
                </c:pt>
                <c:pt idx="3">
                  <c:v>96.901079775893635</c:v>
                </c:pt>
                <c:pt idx="4">
                  <c:v>92.494687547471457</c:v>
                </c:pt>
                <c:pt idx="5">
                  <c:v>88.068099354669016</c:v>
                </c:pt>
                <c:pt idx="6">
                  <c:v>83.621222632649562</c:v>
                </c:pt>
                <c:pt idx="7">
                  <c:v>79.15396439232083</c:v>
                </c:pt>
                <c:pt idx="8">
                  <c:v>74.666231218390607</c:v>
                </c:pt>
                <c:pt idx="9">
                  <c:v>70.157929267413209</c:v>
                </c:pt>
                <c:pt idx="10">
                  <c:v>65.62896426582715</c:v>
                </c:pt>
                <c:pt idx="11">
                  <c:v>61.079241507983831</c:v>
                </c:pt>
                <c:pt idx="12">
                  <c:v>56.508665854167056</c:v>
                </c:pt>
                <c:pt idx="13">
                  <c:v>51.917141728603632</c:v>
                </c:pt>
                <c:pt idx="14">
                  <c:v>47.304573117464706</c:v>
                </c:pt>
                <c:pt idx="15">
                  <c:v>42.670863566858053</c:v>
                </c:pt>
                <c:pt idx="16">
                  <c:v>38.015916180811125</c:v>
                </c:pt>
                <c:pt idx="17">
                  <c:v>33.339633619244822</c:v>
                </c:pt>
                <c:pt idx="18">
                  <c:v>28.641918095937996</c:v>
                </c:pt>
                <c:pt idx="19">
                  <c:v>23.922671376482686</c:v>
                </c:pt>
                <c:pt idx="20">
                  <c:v>19.181794776229875</c:v>
                </c:pt>
                <c:pt idx="21">
                  <c:v>14.419189158225901</c:v>
                </c:pt>
                <c:pt idx="22">
                  <c:v>9.6347549311394101</c:v>
                </c:pt>
                <c:pt idx="23">
                  <c:v>4.8283920471787711</c:v>
                </c:pt>
              </c:numCache>
            </c:numRef>
          </c:val>
          <c:smooth val="0"/>
        </c:ser>
        <c:dLbls>
          <c:showLegendKey val="0"/>
          <c:showVal val="0"/>
          <c:showCatName val="0"/>
          <c:showSerName val="0"/>
          <c:showPercent val="0"/>
          <c:showBubbleSize val="0"/>
        </c:dLbls>
        <c:marker val="1"/>
        <c:smooth val="0"/>
        <c:axId val="291813992"/>
        <c:axId val="291814776"/>
      </c:lineChart>
      <c:catAx>
        <c:axId val="291813992"/>
        <c:scaling>
          <c:orientation val="minMax"/>
        </c:scaling>
        <c:delete val="0"/>
        <c:axPos val="b"/>
        <c:title>
          <c:tx>
            <c:rich>
              <a:bodyPr/>
              <a:lstStyle/>
              <a:p>
                <a:pPr>
                  <a:defRPr sz="1150" b="1" i="0" u="none" strike="noStrike" baseline="0">
                    <a:solidFill>
                      <a:srgbClr val="000000"/>
                    </a:solidFill>
                    <a:latin typeface="Arial"/>
                    <a:ea typeface="Arial"/>
                    <a:cs typeface="Arial"/>
                  </a:defRPr>
                </a:pPr>
                <a:r>
                  <a:rPr lang="en-US"/>
                  <a:t>Month</a:t>
                </a:r>
              </a:p>
            </c:rich>
          </c:tx>
          <c:layout>
            <c:manualLayout>
              <c:xMode val="edge"/>
              <c:yMode val="edge"/>
              <c:x val="0.45394006659267488"/>
              <c:y val="0.9363784665579119"/>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925" b="0" i="0" u="none" strike="noStrike" baseline="0">
                <a:solidFill>
                  <a:srgbClr val="000000"/>
                </a:solidFill>
                <a:latin typeface="Arial"/>
                <a:ea typeface="Arial"/>
                <a:cs typeface="Arial"/>
              </a:defRPr>
            </a:pPr>
            <a:endParaRPr lang="en-US"/>
          </a:p>
        </c:txPr>
        <c:crossAx val="291814776"/>
        <c:crosses val="autoZero"/>
        <c:auto val="1"/>
        <c:lblAlgn val="ctr"/>
        <c:lblOffset val="100"/>
        <c:tickLblSkip val="1"/>
        <c:tickMarkSkip val="1"/>
        <c:noMultiLvlLbl val="0"/>
      </c:catAx>
      <c:valAx>
        <c:axId val="291814776"/>
        <c:scaling>
          <c:orientation val="minMax"/>
        </c:scaling>
        <c:delete val="0"/>
        <c:axPos val="l"/>
        <c:majorGridlines>
          <c:spPr>
            <a:ln w="3175">
              <a:solidFill>
                <a:srgbClr val="000000"/>
              </a:solidFill>
              <a:prstDash val="solid"/>
            </a:ln>
          </c:spPr>
        </c:majorGridlines>
        <c:numFmt formatCode="&quot;$&quot;#,##0.00;\-&quot;$&quot;#,##0.00" sourceLinked="1"/>
        <c:majorTickMark val="out"/>
        <c:minorTickMark val="none"/>
        <c:tickLblPos val="nextTo"/>
        <c:spPr>
          <a:ln w="3175">
            <a:solidFill>
              <a:srgbClr val="000000"/>
            </a:solidFill>
            <a:prstDash val="solid"/>
          </a:ln>
        </c:spPr>
        <c:txPr>
          <a:bodyPr rot="0" vert="horz"/>
          <a:lstStyle/>
          <a:p>
            <a:pPr>
              <a:defRPr sz="925" b="0" i="0" u="none" strike="noStrike" baseline="0">
                <a:solidFill>
                  <a:srgbClr val="000000"/>
                </a:solidFill>
                <a:latin typeface="Arial"/>
                <a:ea typeface="Arial"/>
                <a:cs typeface="Arial"/>
              </a:defRPr>
            </a:pPr>
            <a:endParaRPr lang="en-US"/>
          </a:p>
        </c:txPr>
        <c:crossAx val="291813992"/>
        <c:crosses val="autoZero"/>
        <c:crossBetween val="between"/>
      </c:valAx>
      <c:spPr>
        <a:solidFill>
          <a:srgbClr val="C0C0C0"/>
        </a:solidFill>
        <a:ln w="12700">
          <a:solidFill>
            <a:srgbClr val="808080"/>
          </a:solidFill>
          <a:prstDash val="solid"/>
        </a:ln>
      </c:spPr>
    </c:plotArea>
    <c:legend>
      <c:legendPos val="r"/>
      <c:layout>
        <c:manualLayout>
          <c:xMode val="edge"/>
          <c:yMode val="edge"/>
          <c:x val="0.89900110987791293"/>
          <c:y val="0.47145187601957605"/>
          <c:w val="9.6559378468368581E-2"/>
          <c:h val="6.6884176182707977E-2"/>
        </c:manualLayout>
      </c:layout>
      <c:overlay val="0"/>
      <c:spPr>
        <a:solidFill>
          <a:srgbClr val="FFFFFF"/>
        </a:solidFill>
        <a:ln w="3175">
          <a:solidFill>
            <a:srgbClr val="000000"/>
          </a:solidFill>
          <a:prstDash val="solid"/>
        </a:ln>
      </c:spPr>
      <c:txPr>
        <a:bodyPr/>
        <a:lstStyle/>
        <a:p>
          <a:pPr>
            <a:defRPr sz="850"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800" b="0" i="0" u="none" strike="noStrike" baseline="0">
          <a:solidFill>
            <a:srgbClr val="000000"/>
          </a:solidFill>
          <a:latin typeface="Arial"/>
          <a:ea typeface="Arial"/>
          <a:cs typeface="Arial"/>
        </a:defRPr>
      </a:pPr>
      <a:endParaRPr lang="en-US"/>
    </a:p>
  </c:txPr>
</c:chartSpace>
</file>

<file path=xl/chartsheets/_rels/sheet1.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chartsheets/_rels/sheet2.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chartsheets/sheet1.xml><?xml version="1.0" encoding="utf-8"?>
<chartsheet xmlns="http://schemas.openxmlformats.org/spreadsheetml/2006/main" xmlns:r="http://schemas.openxmlformats.org/officeDocument/2006/relationships" xmlns:xdr="http://schemas.openxmlformats.org/drawingml/2006/spreadsheetDrawing" xmlns:x14="http://schemas.microsoft.com/office/spreadsheetml/2009/9/main">
  <sheetPr codeName="chtSensitivity"/>
  <sheetViews>
    <sheetView zoomScale="116" workbookViewId="0" zoomToFit="1"/>
  </sheetViews>
  <pageMargins left="0.75" right="0.75" top="1" bottom="1" header="0.5" footer="0.5"/>
  <pageSetup orientation="landscape" horizontalDpi="1200" verticalDpi="1200" r:id="rId1"/>
  <headerFooter alignWithMargins="0"/>
  <drawing r:id="rId2"/>
  <legacyDrawing r:id="rId3"/>
</chartsheet>
</file>

<file path=xl/chartsheets/sheet2.xml><?xml version="1.0" encoding="utf-8"?>
<chartsheet xmlns="http://schemas.openxmlformats.org/spreadsheetml/2006/main" xmlns:r="http://schemas.openxmlformats.org/officeDocument/2006/relationships" xmlns:xdr="http://schemas.openxmlformats.org/drawingml/2006/spreadsheetDrawing" xmlns:x14="http://schemas.microsoft.com/office/spreadsheetml/2009/9/main">
  <sheetPr codeName="chtAmortization"/>
  <sheetViews>
    <sheetView zoomScale="116" workbookViewId="0" zoomToFit="1"/>
  </sheetViews>
  <pageMargins left="0.75" right="0.75" top="1" bottom="1" header="0.5" footer="0.5"/>
  <pageSetup orientation="landscape" horizontalDpi="1200" verticalDpi="1200" r:id="rId1"/>
  <headerFooter alignWithMargins="0"/>
  <drawing r:id="rId2"/>
  <legacyDrawing r:id="rId3"/>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1</xdr:col>
      <xdr:colOff>76199</xdr:colOff>
      <xdr:row>3</xdr:row>
      <xdr:rowOff>76200</xdr:rowOff>
    </xdr:from>
    <xdr:to>
      <xdr:col>10</xdr:col>
      <xdr:colOff>342900</xdr:colOff>
      <xdr:row>21</xdr:row>
      <xdr:rowOff>152399</xdr:rowOff>
    </xdr:to>
    <xdr:sp macro="" textlink="">
      <xdr:nvSpPr>
        <xdr:cNvPr id="2050" name="Text Box 2"/>
        <xdr:cNvSpPr txBox="1">
          <a:spLocks noChangeArrowheads="1"/>
        </xdr:cNvSpPr>
      </xdr:nvSpPr>
      <xdr:spPr bwMode="auto">
        <a:xfrm>
          <a:off x="685799" y="657225"/>
          <a:ext cx="5753101" cy="3505199"/>
        </a:xfrm>
        <a:prstGeom prst="roundRect">
          <a:avLst/>
        </a:prstGeom>
        <a:solidFill>
          <a:schemeClr val="bg1">
            <a:shade val="80000"/>
          </a:schemeClr>
        </a:solidFill>
        <a:ln w="9525">
          <a:solidFill>
            <a:schemeClr val="bg1">
              <a:lumMod val="85000"/>
            </a:schemeClr>
          </a:solidFill>
          <a:miter lim="800000"/>
          <a:headEnd/>
          <a:tailEnd/>
        </a:ln>
        <a:effectLst>
          <a:outerShdw blurRad="50800" dist="38100" dir="8100000" algn="tr">
            <a:prstClr val="black">
              <a:alpha val="40000"/>
            </a:prstClr>
          </a:outerShdw>
        </a:effectLst>
      </xdr:spPr>
      <xdr:txBody>
        <a:bodyPr vertOverflow="clip" wrap="square" lIns="27432" tIns="22860" rIns="0" bIns="0" anchor="t" upright="1"/>
        <a:lstStyle/>
        <a:p>
          <a:pPr algn="l" rtl="0">
            <a:defRPr sz="1000"/>
          </a:pPr>
          <a:r>
            <a:rPr lang="en-US" sz="1100" b="0" i="0" strike="noStrike">
              <a:solidFill>
                <a:srgbClr val="000000"/>
              </a:solidFill>
              <a:latin typeface="+mn-lt"/>
              <a:cs typeface="Arial"/>
            </a:rPr>
            <a:t>This application can be used to find the monthly payment for a car loan.  This payment depends on four inputs: the price of the car, the down payment, the annual interest rate on the loan, and the term (number of monthly payments) of the loan.  It uses the PMT function (in the Model sheet) to calculate the monthly payment as a function of these inputs, and it also calculates the total interest paid on the loan.</a:t>
          </a:r>
        </a:p>
        <a:p>
          <a:pPr algn="l" rtl="0">
            <a:defRPr sz="1000"/>
          </a:pPr>
          <a:endParaRPr lang="en-US" sz="1100" b="0" i="0" strike="noStrike">
            <a:solidFill>
              <a:srgbClr val="000000"/>
            </a:solidFill>
            <a:latin typeface="+mn-lt"/>
            <a:cs typeface="Arial"/>
          </a:endParaRPr>
        </a:p>
        <a:p>
          <a:pPr algn="l" rtl="0">
            <a:defRPr sz="1000"/>
          </a:pPr>
          <a:r>
            <a:rPr lang="en-US" sz="1100" b="0" i="0" strike="noStrike">
              <a:solidFill>
                <a:srgbClr val="000000"/>
              </a:solidFill>
              <a:latin typeface="+mn-lt"/>
              <a:cs typeface="Arial"/>
            </a:rPr>
            <a:t>The application provides the user with three options:</a:t>
          </a:r>
        </a:p>
        <a:p>
          <a:pPr algn="l" rtl="0">
            <a:defRPr sz="1000"/>
          </a:pPr>
          <a:endParaRPr lang="en-US" sz="1100" b="0" i="0" strike="noStrike">
            <a:solidFill>
              <a:srgbClr val="000000"/>
            </a:solidFill>
            <a:latin typeface="+mn-lt"/>
            <a:cs typeface="Arial"/>
          </a:endParaRPr>
        </a:p>
        <a:p>
          <a:pPr algn="l" rtl="0">
            <a:defRPr sz="1000"/>
          </a:pPr>
          <a:r>
            <a:rPr lang="en-US" sz="1100" b="0" i="0" strike="noStrike">
              <a:solidFill>
                <a:srgbClr val="000000"/>
              </a:solidFill>
              <a:latin typeface="+mn-lt"/>
              <a:cs typeface="Arial"/>
            </a:rPr>
            <a:t>1.  It calculates the monthly payment and total interest paid and reports these in a message box.</a:t>
          </a:r>
        </a:p>
        <a:p>
          <a:pPr algn="l" rtl="0">
            <a:defRPr sz="1000"/>
          </a:pPr>
          <a:endParaRPr lang="en-US" sz="1100" b="0" i="0" strike="noStrike">
            <a:solidFill>
              <a:srgbClr val="000000"/>
            </a:solidFill>
            <a:latin typeface="+mn-lt"/>
            <a:cs typeface="Arial"/>
          </a:endParaRPr>
        </a:p>
        <a:p>
          <a:pPr algn="l" rtl="0">
            <a:defRPr sz="1000"/>
          </a:pPr>
          <a:r>
            <a:rPr lang="en-US" sz="1100" b="0" i="0" strike="noStrike">
              <a:solidFill>
                <a:srgbClr val="000000"/>
              </a:solidFill>
              <a:latin typeface="+mn-lt"/>
              <a:cs typeface="Arial"/>
            </a:rPr>
            <a:t>2.  It performs a sensitivity analysis on any of the four inputs and reports the results in tabular form (in the Sensitivity sheet) and in graphical form (on the SensitivityChart sheet).</a:t>
          </a:r>
        </a:p>
        <a:p>
          <a:pPr algn="l" rtl="0">
            <a:defRPr sz="1000"/>
          </a:pPr>
          <a:endParaRPr lang="en-US" sz="1100" b="0" i="0" strike="noStrike">
            <a:solidFill>
              <a:srgbClr val="000000"/>
            </a:solidFill>
            <a:latin typeface="+mn-lt"/>
            <a:cs typeface="Arial"/>
          </a:endParaRPr>
        </a:p>
        <a:p>
          <a:pPr algn="l" rtl="0">
            <a:defRPr sz="1000"/>
          </a:pPr>
          <a:r>
            <a:rPr lang="en-US" sz="1100" b="0" i="0" strike="noStrike">
              <a:solidFill>
                <a:srgbClr val="000000"/>
              </a:solidFill>
              <a:latin typeface="+mn-lt"/>
              <a:cs typeface="Arial"/>
            </a:rPr>
            <a:t>3.  It creates an amortization table in the Amortization sheet and shows graphically (in the AmortizationChart sheet) how the amount of principal and the amount of interest in each payment vary through time.</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276225</xdr:colOff>
          <xdr:row>3</xdr:row>
          <xdr:rowOff>0</xdr:rowOff>
        </xdr:from>
        <xdr:to>
          <xdr:col>4</xdr:col>
          <xdr:colOff>9525</xdr:colOff>
          <xdr:row>4</xdr:row>
          <xdr:rowOff>123825</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View Sensitivity Chart</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276225</xdr:colOff>
          <xdr:row>5</xdr:row>
          <xdr:rowOff>28575</xdr:rowOff>
        </xdr:from>
        <xdr:to>
          <xdr:col>4</xdr:col>
          <xdr:colOff>9525</xdr:colOff>
          <xdr:row>6</xdr:row>
          <xdr:rowOff>152400</xdr:rowOff>
        </xdr:to>
        <xdr:sp macro="" textlink="">
          <xdr:nvSpPr>
            <xdr:cNvPr id="4098" name="Button 2" hidden="1">
              <a:extLst>
                <a:ext uri="{63B3BB69-23CF-44E3-9099-C40C66FF867C}">
                  <a14:compatExt spid="_x0000_s409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View Explanation Sheet</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absoluteAnchor>
    <xdr:pos x="0" y="0"/>
    <xdr:ext cx="8572500" cy="5829957"/>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876300</xdr:colOff>
          <xdr:row>2</xdr:row>
          <xdr:rowOff>38100</xdr:rowOff>
        </xdr:from>
        <xdr:to>
          <xdr:col>5</xdr:col>
          <xdr:colOff>504825</xdr:colOff>
          <xdr:row>3</xdr:row>
          <xdr:rowOff>152400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View Amortization Chart</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876300</xdr:colOff>
          <xdr:row>4</xdr:row>
          <xdr:rowOff>66675</xdr:rowOff>
        </xdr:from>
        <xdr:to>
          <xdr:col>5</xdr:col>
          <xdr:colOff>504825</xdr:colOff>
          <xdr:row>6</xdr:row>
          <xdr:rowOff>19050</xdr:rowOff>
        </xdr:to>
        <xdr:sp macro="" textlink="">
          <xdr:nvSpPr>
            <xdr:cNvPr id="10242" name="Button 2" hidden="1">
              <a:extLst>
                <a:ext uri="{63B3BB69-23CF-44E3-9099-C40C66FF867C}">
                  <a14:compatExt spid="_x0000_s1024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View Explanation Sheet</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xdr:absoluteAnchor>
    <xdr:pos x="0" y="0"/>
    <xdr:ext cx="8572500" cy="5829957"/>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sExplanation">
    <pageSetUpPr fitToPage="1"/>
  </sheetPr>
  <dimension ref="C2:I2"/>
  <sheetViews>
    <sheetView showGridLines="0" showRowColHeaders="0" tabSelected="1" workbookViewId="0">
      <selection activeCell="F9" sqref="F9"/>
    </sheetView>
  </sheetViews>
  <sheetFormatPr defaultRowHeight="15" x14ac:dyDescent="0.25"/>
  <cols>
    <col min="1" max="16384" width="9.140625" style="21"/>
  </cols>
  <sheetData>
    <row r="2" spans="3:9" ht="15.75" x14ac:dyDescent="0.25">
      <c r="C2" s="30" t="s">
        <v>22</v>
      </c>
      <c r="D2" s="30"/>
      <c r="E2" s="30"/>
      <c r="F2" s="30"/>
      <c r="G2" s="30"/>
      <c r="H2" s="30"/>
      <c r="I2" s="30"/>
    </row>
  </sheetData>
  <mergeCells count="1">
    <mergeCell ref="C2:I2"/>
  </mergeCells>
  <phoneticPr fontId="0" type="noConversion"/>
  <pageMargins left="0.75" right="0.75" top="1" bottom="1" header="0.5" footer="0.5"/>
  <pageSetup scale="88"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sModel">
    <pageSetUpPr fitToPage="1"/>
  </sheetPr>
  <dimension ref="A1:B12"/>
  <sheetViews>
    <sheetView workbookViewId="0">
      <selection activeCell="A2" sqref="A2"/>
    </sheetView>
  </sheetViews>
  <sheetFormatPr defaultRowHeight="15" x14ac:dyDescent="0.25"/>
  <cols>
    <col min="1" max="1" width="22" customWidth="1"/>
    <col min="2" max="2" width="10.7109375" customWidth="1"/>
  </cols>
  <sheetData>
    <row r="1" spans="1:2" x14ac:dyDescent="0.25">
      <c r="A1" s="1" t="s">
        <v>9</v>
      </c>
    </row>
    <row r="3" spans="1:2" x14ac:dyDescent="0.25">
      <c r="A3" s="1" t="s">
        <v>0</v>
      </c>
    </row>
    <row r="4" spans="1:2" x14ac:dyDescent="0.25">
      <c r="A4" t="s">
        <v>1</v>
      </c>
      <c r="B4" s="18">
        <v>30000</v>
      </c>
    </row>
    <row r="5" spans="1:2" x14ac:dyDescent="0.25">
      <c r="A5" t="s">
        <v>2</v>
      </c>
      <c r="B5" s="18">
        <v>6000</v>
      </c>
    </row>
    <row r="6" spans="1:2" x14ac:dyDescent="0.25">
      <c r="A6" t="s">
        <v>3</v>
      </c>
      <c r="B6" s="19">
        <v>5.5E-2</v>
      </c>
    </row>
    <row r="7" spans="1:2" x14ac:dyDescent="0.25">
      <c r="A7" t="s">
        <v>4</v>
      </c>
      <c r="B7" s="20">
        <v>24</v>
      </c>
    </row>
    <row r="9" spans="1:2" x14ac:dyDescent="0.25">
      <c r="A9" s="1" t="s">
        <v>5</v>
      </c>
    </row>
    <row r="10" spans="1:2" x14ac:dyDescent="0.25">
      <c r="A10" t="s">
        <v>6</v>
      </c>
      <c r="B10" s="2">
        <f>Price-DownPayment</f>
        <v>24000</v>
      </c>
    </row>
    <row r="11" spans="1:2" x14ac:dyDescent="0.25">
      <c r="A11" t="s">
        <v>7</v>
      </c>
      <c r="B11" s="7">
        <f>PMT(InterestRate/12,Term,-Loan)</f>
        <v>1058.2957477952787</v>
      </c>
    </row>
    <row r="12" spans="1:2" x14ac:dyDescent="0.25">
      <c r="A12" t="s">
        <v>8</v>
      </c>
      <c r="B12" s="7">
        <f>Term*Payment-Loan</f>
        <v>1399.0979470866878</v>
      </c>
    </row>
  </sheetData>
  <phoneticPr fontId="0" type="noConversion"/>
  <printOptions headings="1" gridLines="1"/>
  <pageMargins left="0.75" right="0.75" top="1" bottom="1" header="0.5" footer="0.5"/>
  <pageSetup orientation="portrait" horizontalDpi="300" verticalDpi="300" r:id="rId1"/>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sSensitivity">
    <pageSetUpPr fitToPage="1"/>
  </sheetPr>
  <dimension ref="B1:D27"/>
  <sheetViews>
    <sheetView showGridLines="0" workbookViewId="0">
      <selection activeCell="B1" sqref="B1:D1"/>
    </sheetView>
  </sheetViews>
  <sheetFormatPr defaultRowHeight="15" x14ac:dyDescent="0.25"/>
  <cols>
    <col min="1" max="1" width="17.7109375" customWidth="1"/>
    <col min="2" max="2" width="19" style="9" customWidth="1"/>
    <col min="3" max="3" width="22.7109375" style="11" customWidth="1"/>
    <col min="4" max="4" width="27.28515625" style="11" customWidth="1"/>
  </cols>
  <sheetData>
    <row r="1" spans="2:4" ht="26.25" customHeight="1" thickBot="1" x14ac:dyDescent="0.3">
      <c r="B1" s="31" t="s">
        <v>10</v>
      </c>
      <c r="C1" s="32"/>
      <c r="D1" s="33"/>
    </row>
    <row r="2" spans="2:4" ht="15.75" thickBot="1" x14ac:dyDescent="0.3">
      <c r="B2"/>
      <c r="C2" s="2"/>
      <c r="D2" s="2"/>
    </row>
    <row r="3" spans="2:4" ht="15.75" thickBot="1" x14ac:dyDescent="0.3">
      <c r="B3" s="34" t="s">
        <v>11</v>
      </c>
      <c r="C3" s="35"/>
      <c r="D3" s="2"/>
    </row>
    <row r="4" spans="2:4" x14ac:dyDescent="0.25">
      <c r="B4" s="4" t="s">
        <v>1</v>
      </c>
      <c r="C4" s="5">
        <f>Price</f>
        <v>30000</v>
      </c>
      <c r="D4" s="2"/>
    </row>
    <row r="5" spans="2:4" x14ac:dyDescent="0.25">
      <c r="B5" s="4" t="s">
        <v>2</v>
      </c>
      <c r="C5" s="5">
        <f>DownPayment</f>
        <v>6000</v>
      </c>
      <c r="D5" s="2"/>
    </row>
    <row r="6" spans="2:4" x14ac:dyDescent="0.25">
      <c r="B6" s="4" t="s">
        <v>3</v>
      </c>
      <c r="C6" s="6">
        <f>InterestRate</f>
        <v>5.5E-2</v>
      </c>
      <c r="D6" s="2"/>
    </row>
    <row r="7" spans="2:4" x14ac:dyDescent="0.25">
      <c r="B7" s="4" t="s">
        <v>4</v>
      </c>
      <c r="C7" s="17">
        <f>Term</f>
        <v>24</v>
      </c>
      <c r="D7" s="2"/>
    </row>
    <row r="8" spans="2:4" ht="15.75" thickBot="1" x14ac:dyDescent="0.3">
      <c r="B8"/>
      <c r="C8" s="2"/>
      <c r="D8" s="2"/>
    </row>
    <row r="9" spans="2:4" ht="15.75" thickBot="1" x14ac:dyDescent="0.3">
      <c r="B9" s="28" t="s">
        <v>12</v>
      </c>
      <c r="C9" s="29" t="s">
        <v>21</v>
      </c>
      <c r="D9" s="2"/>
    </row>
    <row r="10" spans="2:4" ht="15.75" thickBot="1" x14ac:dyDescent="0.3">
      <c r="B10" s="3"/>
      <c r="C10" s="2"/>
      <c r="D10" s="2"/>
    </row>
    <row r="11" spans="2:4" s="12" customFormat="1" ht="15.75" thickBot="1" x14ac:dyDescent="0.3">
      <c r="B11" s="23" t="s">
        <v>21</v>
      </c>
      <c r="C11" s="22" t="s">
        <v>7</v>
      </c>
      <c r="D11" s="25" t="s">
        <v>13</v>
      </c>
    </row>
    <row r="12" spans="2:4" x14ac:dyDescent="0.25">
      <c r="B12" s="8">
        <v>15000</v>
      </c>
      <c r="C12" s="8">
        <v>396.86</v>
      </c>
      <c r="D12" s="8">
        <v>524.66</v>
      </c>
    </row>
    <row r="13" spans="2:4" x14ac:dyDescent="0.25">
      <c r="B13" s="8">
        <v>18000</v>
      </c>
      <c r="C13" s="8">
        <v>529.15</v>
      </c>
      <c r="D13" s="8">
        <v>699.55</v>
      </c>
    </row>
    <row r="14" spans="2:4" x14ac:dyDescent="0.25">
      <c r="B14" s="8">
        <v>21000</v>
      </c>
      <c r="C14" s="8">
        <v>661.43</v>
      </c>
      <c r="D14" s="8">
        <v>874.44</v>
      </c>
    </row>
    <row r="15" spans="2:4" x14ac:dyDescent="0.25">
      <c r="B15" s="8">
        <v>24000</v>
      </c>
      <c r="C15" s="8">
        <v>793.72</v>
      </c>
      <c r="D15" s="8">
        <v>1049.32</v>
      </c>
    </row>
    <row r="16" spans="2:4" x14ac:dyDescent="0.25">
      <c r="B16" s="8">
        <v>27000</v>
      </c>
      <c r="C16" s="8">
        <v>926.01</v>
      </c>
      <c r="D16" s="8">
        <v>1224.21</v>
      </c>
    </row>
    <row r="17" spans="2:4" x14ac:dyDescent="0.25">
      <c r="B17" s="8">
        <v>30000</v>
      </c>
      <c r="C17" s="8">
        <v>1058.3</v>
      </c>
      <c r="D17" s="8">
        <v>1399.1</v>
      </c>
    </row>
    <row r="18" spans="2:4" x14ac:dyDescent="0.25">
      <c r="B18" s="8">
        <v>33000</v>
      </c>
      <c r="C18" s="8">
        <v>1190.58</v>
      </c>
      <c r="D18" s="8">
        <v>1573.99</v>
      </c>
    </row>
    <row r="19" spans="2:4" x14ac:dyDescent="0.25">
      <c r="B19" s="8">
        <v>36000</v>
      </c>
      <c r="C19" s="8">
        <v>1322.87</v>
      </c>
      <c r="D19" s="8">
        <v>1748.87</v>
      </c>
    </row>
    <row r="20" spans="2:4" x14ac:dyDescent="0.25">
      <c r="B20" s="8">
        <v>39000</v>
      </c>
      <c r="C20" s="8">
        <v>1455.16</v>
      </c>
      <c r="D20" s="8">
        <v>1923.76</v>
      </c>
    </row>
    <row r="21" spans="2:4" x14ac:dyDescent="0.25">
      <c r="B21" s="8">
        <v>42000</v>
      </c>
      <c r="C21" s="8">
        <v>1587.44</v>
      </c>
      <c r="D21" s="8">
        <v>2098.65</v>
      </c>
    </row>
    <row r="22" spans="2:4" x14ac:dyDescent="0.25">
      <c r="B22" s="8">
        <v>45000</v>
      </c>
      <c r="C22" s="8">
        <v>1719.73</v>
      </c>
      <c r="D22" s="8">
        <v>2273.5300000000002</v>
      </c>
    </row>
    <row r="23" spans="2:4" x14ac:dyDescent="0.25">
      <c r="B23" s="8">
        <v>48000</v>
      </c>
      <c r="C23" s="8">
        <v>1852.02</v>
      </c>
      <c r="D23" s="8">
        <v>2448.42</v>
      </c>
    </row>
    <row r="24" spans="2:4" s="12" customFormat="1" x14ac:dyDescent="0.25">
      <c r="B24" s="8">
        <v>51000</v>
      </c>
      <c r="C24" s="8">
        <v>1984.3</v>
      </c>
      <c r="D24" s="8">
        <v>2623.31</v>
      </c>
    </row>
    <row r="25" spans="2:4" x14ac:dyDescent="0.25">
      <c r="B25" s="16">
        <v>54000</v>
      </c>
      <c r="C25" s="16">
        <v>2116.59</v>
      </c>
      <c r="D25" s="16">
        <v>2798.2</v>
      </c>
    </row>
    <row r="26" spans="2:4" x14ac:dyDescent="0.25">
      <c r="B26" s="16">
        <v>57000</v>
      </c>
      <c r="C26" s="16">
        <v>2248.88</v>
      </c>
      <c r="D26" s="16">
        <v>2973.08</v>
      </c>
    </row>
    <row r="27" spans="2:4" x14ac:dyDescent="0.25">
      <c r="B27" s="16">
        <v>60000</v>
      </c>
      <c r="C27" s="16">
        <v>2381.17</v>
      </c>
      <c r="D27" s="16">
        <v>3147.97</v>
      </c>
    </row>
  </sheetData>
  <mergeCells count="2">
    <mergeCell ref="B1:D1"/>
    <mergeCell ref="B3:C3"/>
  </mergeCells>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autoFill="0" autoPict="0" macro="[0]!ViewSensitivityChart">
                <anchor moveWithCells="1" sizeWithCells="1">
                  <from>
                    <xdr:col>3</xdr:col>
                    <xdr:colOff>276225</xdr:colOff>
                    <xdr:row>3</xdr:row>
                    <xdr:rowOff>0</xdr:rowOff>
                  </from>
                  <to>
                    <xdr:col>4</xdr:col>
                    <xdr:colOff>9525</xdr:colOff>
                    <xdr:row>4</xdr:row>
                    <xdr:rowOff>123825</xdr:rowOff>
                  </to>
                </anchor>
              </controlPr>
            </control>
          </mc:Choice>
        </mc:AlternateContent>
        <mc:AlternateContent xmlns:mc="http://schemas.openxmlformats.org/markup-compatibility/2006">
          <mc:Choice Requires="x14">
            <control shapeId="4098" r:id="rId5" name="Button 2">
              <controlPr defaultSize="0" autoFill="0" autoPict="0" macro="[0]!ViewExplanation">
                <anchor moveWithCells="1" sizeWithCells="1">
                  <from>
                    <xdr:col>3</xdr:col>
                    <xdr:colOff>276225</xdr:colOff>
                    <xdr:row>5</xdr:row>
                    <xdr:rowOff>28575</xdr:rowOff>
                  </from>
                  <to>
                    <xdr:col>4</xdr:col>
                    <xdr:colOff>9525</xdr:colOff>
                    <xdr:row>6</xdr:row>
                    <xdr:rowOff>152400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sAmortization">
    <pageSetUpPr fitToPage="1"/>
  </sheetPr>
  <dimension ref="B1:G60"/>
  <sheetViews>
    <sheetView showGridLines="0" workbookViewId="0">
      <selection activeCell="B1" sqref="B1:G1"/>
    </sheetView>
  </sheetViews>
  <sheetFormatPr defaultRowHeight="15" x14ac:dyDescent="0.25"/>
  <cols>
    <col min="1" max="1" width="6.5703125" customWidth="1"/>
    <col min="2" max="2" width="19" style="15" customWidth="1"/>
    <col min="3" max="3" width="19.5703125" style="9" customWidth="1"/>
    <col min="4" max="6" width="15.85546875" style="9" customWidth="1"/>
    <col min="7" max="7" width="16.28515625" style="9" customWidth="1"/>
  </cols>
  <sheetData>
    <row r="1" spans="2:7" ht="25.5" customHeight="1" thickBot="1" x14ac:dyDescent="0.3">
      <c r="B1" s="31" t="s">
        <v>14</v>
      </c>
      <c r="C1" s="32"/>
      <c r="D1" s="32"/>
      <c r="E1" s="32"/>
      <c r="F1" s="32"/>
      <c r="G1" s="33"/>
    </row>
    <row r="2" spans="2:7" ht="15.75" thickBot="1" x14ac:dyDescent="0.3">
      <c r="B2"/>
      <c r="C2"/>
      <c r="D2"/>
      <c r="E2"/>
      <c r="F2"/>
      <c r="G2"/>
    </row>
    <row r="3" spans="2:7" ht="15.75" thickBot="1" x14ac:dyDescent="0.3">
      <c r="B3" s="34" t="s">
        <v>11</v>
      </c>
      <c r="C3" s="35"/>
      <c r="D3"/>
      <c r="E3"/>
      <c r="F3"/>
      <c r="G3"/>
    </row>
    <row r="4" spans="2:7" x14ac:dyDescent="0.25">
      <c r="B4" s="4" t="s">
        <v>1</v>
      </c>
      <c r="C4" s="5">
        <f>Price</f>
        <v>30000</v>
      </c>
      <c r="D4"/>
      <c r="E4"/>
      <c r="F4"/>
      <c r="G4"/>
    </row>
    <row r="5" spans="2:7" x14ac:dyDescent="0.25">
      <c r="B5" s="4" t="s">
        <v>2</v>
      </c>
      <c r="C5" s="5">
        <f>DownPayment</f>
        <v>6000</v>
      </c>
      <c r="D5"/>
      <c r="E5"/>
      <c r="F5"/>
      <c r="G5"/>
    </row>
    <row r="6" spans="2:7" x14ac:dyDescent="0.25">
      <c r="B6" s="4" t="s">
        <v>3</v>
      </c>
      <c r="C6" s="6">
        <f>InterestRate</f>
        <v>5.5E-2</v>
      </c>
      <c r="D6"/>
      <c r="E6"/>
      <c r="F6"/>
      <c r="G6"/>
    </row>
    <row r="7" spans="2:7" x14ac:dyDescent="0.25">
      <c r="B7" s="4" t="s">
        <v>4</v>
      </c>
      <c r="C7" s="17">
        <f>Term</f>
        <v>24</v>
      </c>
      <c r="D7"/>
      <c r="E7"/>
      <c r="F7"/>
      <c r="G7"/>
    </row>
    <row r="8" spans="2:7" ht="15.75" thickBot="1" x14ac:dyDescent="0.3">
      <c r="B8"/>
      <c r="C8"/>
      <c r="D8"/>
      <c r="E8"/>
      <c r="F8"/>
      <c r="G8"/>
    </row>
    <row r="9" spans="2:7" s="12" customFormat="1" ht="15.75" thickBot="1" x14ac:dyDescent="0.3">
      <c r="B9" s="26" t="s">
        <v>15</v>
      </c>
      <c r="C9" s="24" t="s">
        <v>20</v>
      </c>
      <c r="D9" s="24" t="s">
        <v>16</v>
      </c>
      <c r="E9" s="24" t="s">
        <v>17</v>
      </c>
      <c r="F9" s="24" t="s">
        <v>18</v>
      </c>
      <c r="G9" s="27" t="s">
        <v>19</v>
      </c>
    </row>
    <row r="10" spans="2:7" x14ac:dyDescent="0.25">
      <c r="B10" s="13">
        <v>1</v>
      </c>
      <c r="C10" s="10">
        <f>C4-C5</f>
        <v>24000</v>
      </c>
      <c r="D10" s="10">
        <f t="shared" ref="D10:D33" si="0">Payment</f>
        <v>1058.2957477952787</v>
      </c>
      <c r="E10" s="10">
        <f>D10-F10</f>
        <v>948.29574779527866</v>
      </c>
      <c r="F10" s="10">
        <f t="shared" ref="F10" si="1">InterestRate/12*C10</f>
        <v>110</v>
      </c>
      <c r="G10" s="10">
        <f>C10-E10</f>
        <v>23051.70425220472</v>
      </c>
    </row>
    <row r="11" spans="2:7" x14ac:dyDescent="0.25">
      <c r="B11" s="13">
        <v>2</v>
      </c>
      <c r="C11" s="10">
        <f>G10</f>
        <v>23051.70425220472</v>
      </c>
      <c r="D11" s="10">
        <f t="shared" si="0"/>
        <v>1058.2957477952787</v>
      </c>
      <c r="E11" s="10">
        <f t="shared" ref="E11:E33" si="2">D11-F11</f>
        <v>952.64210330600702</v>
      </c>
      <c r="F11" s="10">
        <f t="shared" ref="F11:F33" si="3">InterestRate/12*C11</f>
        <v>105.65364448927163</v>
      </c>
      <c r="G11" s="10">
        <f t="shared" ref="G11:G33" si="4">C11-E11</f>
        <v>22099.062148898713</v>
      </c>
    </row>
    <row r="12" spans="2:7" x14ac:dyDescent="0.25">
      <c r="B12" s="13">
        <v>3</v>
      </c>
      <c r="C12" s="10">
        <f t="shared" ref="C12:C33" si="5">G11</f>
        <v>22099.062148898713</v>
      </c>
      <c r="D12" s="10">
        <f t="shared" si="0"/>
        <v>1058.2957477952787</v>
      </c>
      <c r="E12" s="10">
        <f t="shared" si="2"/>
        <v>957.00837961282627</v>
      </c>
      <c r="F12" s="10">
        <f t="shared" si="3"/>
        <v>101.28736818245244</v>
      </c>
      <c r="G12" s="10">
        <f t="shared" si="4"/>
        <v>21142.053769285885</v>
      </c>
    </row>
    <row r="13" spans="2:7" x14ac:dyDescent="0.25">
      <c r="B13" s="13">
        <v>4</v>
      </c>
      <c r="C13" s="10">
        <f t="shared" si="5"/>
        <v>21142.053769285885</v>
      </c>
      <c r="D13" s="10">
        <f t="shared" si="0"/>
        <v>1058.2957477952787</v>
      </c>
      <c r="E13" s="10">
        <f t="shared" si="2"/>
        <v>961.39466801938499</v>
      </c>
      <c r="F13" s="10">
        <f t="shared" si="3"/>
        <v>96.901079775893635</v>
      </c>
      <c r="G13" s="10">
        <f t="shared" si="4"/>
        <v>20180.659101266501</v>
      </c>
    </row>
    <row r="14" spans="2:7" x14ac:dyDescent="0.25">
      <c r="B14" s="13">
        <v>5</v>
      </c>
      <c r="C14" s="10">
        <f t="shared" si="5"/>
        <v>20180.659101266501</v>
      </c>
      <c r="D14" s="10">
        <f t="shared" si="0"/>
        <v>1058.2957477952787</v>
      </c>
      <c r="E14" s="10">
        <f t="shared" si="2"/>
        <v>965.80106024780719</v>
      </c>
      <c r="F14" s="10">
        <f t="shared" si="3"/>
        <v>92.494687547471457</v>
      </c>
      <c r="G14" s="10">
        <f t="shared" si="4"/>
        <v>19214.858041018695</v>
      </c>
    </row>
    <row r="15" spans="2:7" x14ac:dyDescent="0.25">
      <c r="B15" s="13">
        <v>6</v>
      </c>
      <c r="C15" s="10">
        <f t="shared" si="5"/>
        <v>19214.858041018695</v>
      </c>
      <c r="D15" s="10">
        <f t="shared" si="0"/>
        <v>1058.2957477952787</v>
      </c>
      <c r="E15" s="10">
        <f t="shared" si="2"/>
        <v>970.22764844060964</v>
      </c>
      <c r="F15" s="10">
        <f t="shared" si="3"/>
        <v>88.068099354669016</v>
      </c>
      <c r="G15" s="10">
        <f t="shared" si="4"/>
        <v>18244.630392578085</v>
      </c>
    </row>
    <row r="16" spans="2:7" x14ac:dyDescent="0.25">
      <c r="B16" s="13">
        <v>7</v>
      </c>
      <c r="C16" s="10">
        <f t="shared" si="5"/>
        <v>18244.630392578085</v>
      </c>
      <c r="D16" s="10">
        <f t="shared" si="0"/>
        <v>1058.2957477952787</v>
      </c>
      <c r="E16" s="10">
        <f t="shared" si="2"/>
        <v>974.67452516262915</v>
      </c>
      <c r="F16" s="10">
        <f t="shared" si="3"/>
        <v>83.621222632649562</v>
      </c>
      <c r="G16" s="10">
        <f t="shared" si="4"/>
        <v>17269.955867415454</v>
      </c>
    </row>
    <row r="17" spans="2:7" x14ac:dyDescent="0.25">
      <c r="B17" s="13">
        <v>8</v>
      </c>
      <c r="C17" s="10">
        <f t="shared" si="5"/>
        <v>17269.955867415454</v>
      </c>
      <c r="D17" s="10">
        <f t="shared" si="0"/>
        <v>1058.2957477952787</v>
      </c>
      <c r="E17" s="10">
        <f t="shared" si="2"/>
        <v>979.1417834029578</v>
      </c>
      <c r="F17" s="10">
        <f t="shared" si="3"/>
        <v>79.15396439232083</v>
      </c>
      <c r="G17" s="10">
        <f t="shared" si="4"/>
        <v>16290.814084012496</v>
      </c>
    </row>
    <row r="18" spans="2:7" x14ac:dyDescent="0.25">
      <c r="B18" s="13">
        <v>9</v>
      </c>
      <c r="C18" s="10">
        <f t="shared" si="5"/>
        <v>16290.814084012496</v>
      </c>
      <c r="D18" s="10">
        <f t="shared" si="0"/>
        <v>1058.2957477952787</v>
      </c>
      <c r="E18" s="10">
        <f t="shared" si="2"/>
        <v>983.62951657688802</v>
      </c>
      <c r="F18" s="10">
        <f t="shared" si="3"/>
        <v>74.666231218390607</v>
      </c>
      <c r="G18" s="10">
        <f t="shared" si="4"/>
        <v>15307.184567435608</v>
      </c>
    </row>
    <row r="19" spans="2:7" x14ac:dyDescent="0.25">
      <c r="B19" s="13">
        <v>10</v>
      </c>
      <c r="C19" s="10">
        <f t="shared" si="5"/>
        <v>15307.184567435608</v>
      </c>
      <c r="D19" s="10">
        <f t="shared" si="0"/>
        <v>1058.2957477952787</v>
      </c>
      <c r="E19" s="10">
        <f t="shared" si="2"/>
        <v>988.13781852786542</v>
      </c>
      <c r="F19" s="10">
        <f t="shared" si="3"/>
        <v>70.157929267413209</v>
      </c>
      <c r="G19" s="10">
        <f t="shared" si="4"/>
        <v>14319.046748907742</v>
      </c>
    </row>
    <row r="20" spans="2:7" x14ac:dyDescent="0.25">
      <c r="B20" s="13">
        <v>11</v>
      </c>
      <c r="C20" s="10">
        <f t="shared" si="5"/>
        <v>14319.046748907742</v>
      </c>
      <c r="D20" s="10">
        <f t="shared" si="0"/>
        <v>1058.2957477952787</v>
      </c>
      <c r="E20" s="10">
        <f t="shared" si="2"/>
        <v>992.66678352945155</v>
      </c>
      <c r="F20" s="10">
        <f t="shared" si="3"/>
        <v>65.62896426582715</v>
      </c>
      <c r="G20" s="10">
        <f t="shared" si="4"/>
        <v>13326.37996537829</v>
      </c>
    </row>
    <row r="21" spans="2:7" x14ac:dyDescent="0.25">
      <c r="B21" s="13">
        <v>12</v>
      </c>
      <c r="C21" s="10">
        <f t="shared" si="5"/>
        <v>13326.37996537829</v>
      </c>
      <c r="D21" s="10">
        <f t="shared" si="0"/>
        <v>1058.2957477952787</v>
      </c>
      <c r="E21" s="10">
        <f t="shared" si="2"/>
        <v>997.21650628729481</v>
      </c>
      <c r="F21" s="10">
        <f t="shared" si="3"/>
        <v>61.079241507983831</v>
      </c>
      <c r="G21" s="10">
        <f t="shared" si="4"/>
        <v>12329.163459090994</v>
      </c>
    </row>
    <row r="22" spans="2:7" x14ac:dyDescent="0.25">
      <c r="B22" s="13">
        <v>13</v>
      </c>
      <c r="C22" s="10">
        <f t="shared" si="5"/>
        <v>12329.163459090994</v>
      </c>
      <c r="D22" s="10">
        <f t="shared" si="0"/>
        <v>1058.2957477952787</v>
      </c>
      <c r="E22" s="10">
        <f t="shared" si="2"/>
        <v>1001.7870819411116</v>
      </c>
      <c r="F22" s="10">
        <f t="shared" si="3"/>
        <v>56.508665854167056</v>
      </c>
      <c r="G22" s="10">
        <f t="shared" si="4"/>
        <v>11327.376377149883</v>
      </c>
    </row>
    <row r="23" spans="2:7" x14ac:dyDescent="0.25">
      <c r="B23" s="13">
        <v>14</v>
      </c>
      <c r="C23" s="10">
        <f t="shared" si="5"/>
        <v>11327.376377149883</v>
      </c>
      <c r="D23" s="10">
        <f t="shared" si="0"/>
        <v>1058.2957477952787</v>
      </c>
      <c r="E23" s="10">
        <f t="shared" si="2"/>
        <v>1006.378606066675</v>
      </c>
      <c r="F23" s="10">
        <f t="shared" si="3"/>
        <v>51.917141728603632</v>
      </c>
      <c r="G23" s="10">
        <f t="shared" si="4"/>
        <v>10320.997771083208</v>
      </c>
    </row>
    <row r="24" spans="2:7" x14ac:dyDescent="0.25">
      <c r="B24" s="13">
        <v>15</v>
      </c>
      <c r="C24" s="10">
        <f t="shared" si="5"/>
        <v>10320.997771083208</v>
      </c>
      <c r="D24" s="10">
        <f t="shared" si="0"/>
        <v>1058.2957477952787</v>
      </c>
      <c r="E24" s="10">
        <f t="shared" si="2"/>
        <v>1010.991174677814</v>
      </c>
      <c r="F24" s="10">
        <f t="shared" si="3"/>
        <v>47.304573117464706</v>
      </c>
      <c r="G24" s="10">
        <f t="shared" si="4"/>
        <v>9310.0065964053938</v>
      </c>
    </row>
    <row r="25" spans="2:7" x14ac:dyDescent="0.25">
      <c r="B25" s="13">
        <v>16</v>
      </c>
      <c r="C25" s="10">
        <f t="shared" si="5"/>
        <v>9310.0065964053938</v>
      </c>
      <c r="D25" s="10">
        <f t="shared" si="0"/>
        <v>1058.2957477952787</v>
      </c>
      <c r="E25" s="10">
        <f t="shared" si="2"/>
        <v>1015.6248842284206</v>
      </c>
      <c r="F25" s="10">
        <f t="shared" si="3"/>
        <v>42.670863566858053</v>
      </c>
      <c r="G25" s="10">
        <f t="shared" si="4"/>
        <v>8294.3817121769735</v>
      </c>
    </row>
    <row r="26" spans="2:7" x14ac:dyDescent="0.25">
      <c r="B26" s="13">
        <v>17</v>
      </c>
      <c r="C26" s="10">
        <f t="shared" si="5"/>
        <v>8294.3817121769735</v>
      </c>
      <c r="D26" s="10">
        <f t="shared" si="0"/>
        <v>1058.2957477952787</v>
      </c>
      <c r="E26" s="10">
        <f t="shared" si="2"/>
        <v>1020.2798316144675</v>
      </c>
      <c r="F26" s="10">
        <f t="shared" si="3"/>
        <v>38.015916180811125</v>
      </c>
      <c r="G26" s="10">
        <f t="shared" si="4"/>
        <v>7274.1018805625063</v>
      </c>
    </row>
    <row r="27" spans="2:7" x14ac:dyDescent="0.25">
      <c r="B27" s="13">
        <v>18</v>
      </c>
      <c r="C27" s="10">
        <f t="shared" si="5"/>
        <v>7274.1018805625063</v>
      </c>
      <c r="D27" s="10">
        <f t="shared" si="0"/>
        <v>1058.2957477952787</v>
      </c>
      <c r="E27" s="10">
        <f t="shared" si="2"/>
        <v>1024.9561141760339</v>
      </c>
      <c r="F27" s="10">
        <f t="shared" si="3"/>
        <v>33.339633619244822</v>
      </c>
      <c r="G27" s="10">
        <f t="shared" si="4"/>
        <v>6249.1457663864721</v>
      </c>
    </row>
    <row r="28" spans="2:7" x14ac:dyDescent="0.25">
      <c r="B28" s="13">
        <v>19</v>
      </c>
      <c r="C28" s="10">
        <f t="shared" si="5"/>
        <v>6249.1457663864721</v>
      </c>
      <c r="D28" s="10">
        <f t="shared" si="0"/>
        <v>1058.2957477952787</v>
      </c>
      <c r="E28" s="10">
        <f t="shared" si="2"/>
        <v>1029.6538296993406</v>
      </c>
      <c r="F28" s="10">
        <f t="shared" si="3"/>
        <v>28.641918095937996</v>
      </c>
      <c r="G28" s="10">
        <f t="shared" si="4"/>
        <v>5219.4919366871318</v>
      </c>
    </row>
    <row r="29" spans="2:7" x14ac:dyDescent="0.25">
      <c r="B29" s="13">
        <v>20</v>
      </c>
      <c r="C29" s="10">
        <f t="shared" si="5"/>
        <v>5219.4919366871318</v>
      </c>
      <c r="D29" s="10">
        <f t="shared" si="0"/>
        <v>1058.2957477952787</v>
      </c>
      <c r="E29" s="10">
        <f t="shared" si="2"/>
        <v>1034.373076418796</v>
      </c>
      <c r="F29" s="10">
        <f t="shared" si="3"/>
        <v>23.922671376482686</v>
      </c>
      <c r="G29" s="10">
        <f t="shared" si="4"/>
        <v>4185.118860268336</v>
      </c>
    </row>
    <row r="30" spans="2:7" x14ac:dyDescent="0.25">
      <c r="B30" s="13">
        <v>21</v>
      </c>
      <c r="C30" s="10">
        <f t="shared" si="5"/>
        <v>4185.118860268336</v>
      </c>
      <c r="D30" s="10">
        <f t="shared" si="0"/>
        <v>1058.2957477952787</v>
      </c>
      <c r="E30" s="10">
        <f t="shared" si="2"/>
        <v>1039.1139530190487</v>
      </c>
      <c r="F30" s="10">
        <f t="shared" si="3"/>
        <v>19.181794776229875</v>
      </c>
      <c r="G30" s="10">
        <f t="shared" si="4"/>
        <v>3146.0049072492875</v>
      </c>
    </row>
    <row r="31" spans="2:7" x14ac:dyDescent="0.25">
      <c r="B31" s="13">
        <v>22</v>
      </c>
      <c r="C31" s="10">
        <f t="shared" si="5"/>
        <v>3146.0049072492875</v>
      </c>
      <c r="D31" s="10">
        <f t="shared" si="0"/>
        <v>1058.2957477952787</v>
      </c>
      <c r="E31" s="10">
        <f t="shared" si="2"/>
        <v>1043.8765586370528</v>
      </c>
      <c r="F31" s="10">
        <f t="shared" si="3"/>
        <v>14.419189158225901</v>
      </c>
      <c r="G31" s="10">
        <f t="shared" si="4"/>
        <v>2102.1283486122347</v>
      </c>
    </row>
    <row r="32" spans="2:7" x14ac:dyDescent="0.25">
      <c r="B32" s="13">
        <v>23</v>
      </c>
      <c r="C32" s="10">
        <f t="shared" si="5"/>
        <v>2102.1283486122347</v>
      </c>
      <c r="D32" s="10">
        <f t="shared" si="0"/>
        <v>1058.2957477952787</v>
      </c>
      <c r="E32" s="10">
        <f t="shared" si="2"/>
        <v>1048.6609928641392</v>
      </c>
      <c r="F32" s="10">
        <f t="shared" si="3"/>
        <v>9.6347549311394101</v>
      </c>
      <c r="G32" s="10">
        <f t="shared" si="4"/>
        <v>1053.4673557480955</v>
      </c>
    </row>
    <row r="33" spans="2:7" s="12" customFormat="1" x14ac:dyDescent="0.25">
      <c r="B33" s="13">
        <v>24</v>
      </c>
      <c r="C33" s="10">
        <f t="shared" si="5"/>
        <v>1053.4673557480955</v>
      </c>
      <c r="D33" s="10">
        <f t="shared" si="0"/>
        <v>1058.2957477952787</v>
      </c>
      <c r="E33" s="10">
        <f t="shared" si="2"/>
        <v>1053.4673557480999</v>
      </c>
      <c r="F33" s="10">
        <f t="shared" si="3"/>
        <v>4.8283920471787711</v>
      </c>
      <c r="G33" s="10">
        <f t="shared" si="4"/>
        <v>-4.3200998334214091E-12</v>
      </c>
    </row>
    <row r="34" spans="2:7" x14ac:dyDescent="0.25">
      <c r="B34" s="13"/>
      <c r="C34" s="10"/>
      <c r="D34" s="10"/>
      <c r="E34" s="10"/>
      <c r="F34" s="10"/>
      <c r="G34" s="10"/>
    </row>
    <row r="35" spans="2:7" x14ac:dyDescent="0.25">
      <c r="B35" s="13"/>
      <c r="C35" s="10"/>
      <c r="D35" s="10"/>
      <c r="E35" s="10"/>
      <c r="F35" s="10"/>
      <c r="G35" s="10"/>
    </row>
    <row r="36" spans="2:7" x14ac:dyDescent="0.25">
      <c r="B36" s="13"/>
      <c r="C36" s="10"/>
      <c r="D36" s="10"/>
      <c r="E36" s="10"/>
      <c r="F36" s="10"/>
      <c r="G36" s="10"/>
    </row>
    <row r="37" spans="2:7" x14ac:dyDescent="0.25">
      <c r="B37" s="13"/>
      <c r="C37" s="10"/>
      <c r="D37" s="10"/>
      <c r="E37" s="10"/>
      <c r="F37" s="10"/>
      <c r="G37" s="10"/>
    </row>
    <row r="38" spans="2:7" x14ac:dyDescent="0.25">
      <c r="B38" s="13"/>
      <c r="C38" s="10"/>
      <c r="D38" s="10"/>
      <c r="E38" s="10"/>
      <c r="F38" s="10"/>
      <c r="G38" s="10"/>
    </row>
    <row r="39" spans="2:7" x14ac:dyDescent="0.25">
      <c r="B39" s="13"/>
      <c r="C39" s="10"/>
      <c r="D39" s="10"/>
      <c r="E39" s="10"/>
      <c r="F39" s="10"/>
      <c r="G39" s="10"/>
    </row>
    <row r="40" spans="2:7" x14ac:dyDescent="0.25">
      <c r="B40" s="13"/>
      <c r="C40" s="10"/>
      <c r="D40" s="10"/>
      <c r="E40" s="10"/>
      <c r="F40" s="10"/>
      <c r="G40" s="10"/>
    </row>
    <row r="41" spans="2:7" x14ac:dyDescent="0.25">
      <c r="B41" s="13"/>
      <c r="C41" s="10"/>
      <c r="D41" s="10"/>
      <c r="E41" s="10"/>
      <c r="F41" s="10"/>
      <c r="G41" s="10"/>
    </row>
    <row r="42" spans="2:7" x14ac:dyDescent="0.25">
      <c r="B42" s="13"/>
      <c r="C42" s="10"/>
      <c r="D42" s="10"/>
      <c r="E42" s="10"/>
      <c r="F42" s="10"/>
      <c r="G42" s="10"/>
    </row>
    <row r="43" spans="2:7" x14ac:dyDescent="0.25">
      <c r="B43" s="13"/>
      <c r="C43" s="10"/>
      <c r="D43" s="10"/>
      <c r="E43" s="10"/>
      <c r="F43" s="10"/>
      <c r="G43" s="10"/>
    </row>
    <row r="44" spans="2:7" x14ac:dyDescent="0.25">
      <c r="B44" s="13"/>
      <c r="C44" s="10"/>
      <c r="D44" s="10"/>
      <c r="E44" s="10"/>
      <c r="F44" s="10"/>
      <c r="G44" s="10"/>
    </row>
    <row r="45" spans="2:7" x14ac:dyDescent="0.25">
      <c r="B45" s="13"/>
      <c r="C45" s="10"/>
      <c r="D45" s="10"/>
      <c r="E45" s="10"/>
      <c r="F45" s="10"/>
      <c r="G45" s="10"/>
    </row>
    <row r="46" spans="2:7" x14ac:dyDescent="0.25">
      <c r="B46" s="13"/>
      <c r="C46" s="10"/>
      <c r="D46" s="10"/>
      <c r="E46" s="10"/>
      <c r="F46" s="10"/>
      <c r="G46" s="10"/>
    </row>
    <row r="47" spans="2:7" x14ac:dyDescent="0.25">
      <c r="B47" s="13"/>
      <c r="C47" s="10"/>
      <c r="D47" s="10"/>
      <c r="E47" s="10"/>
      <c r="F47" s="10"/>
      <c r="G47" s="10"/>
    </row>
    <row r="48" spans="2:7" x14ac:dyDescent="0.25">
      <c r="B48" s="13"/>
      <c r="C48" s="10"/>
      <c r="D48" s="10"/>
      <c r="E48" s="10"/>
      <c r="F48" s="10"/>
      <c r="G48" s="10"/>
    </row>
    <row r="49" spans="2:7" x14ac:dyDescent="0.25">
      <c r="B49" s="13"/>
      <c r="C49" s="10"/>
      <c r="D49" s="10"/>
      <c r="E49" s="10"/>
      <c r="F49" s="10"/>
      <c r="G49" s="10"/>
    </row>
    <row r="50" spans="2:7" x14ac:dyDescent="0.25">
      <c r="B50" s="13"/>
      <c r="C50" s="10"/>
      <c r="D50" s="10"/>
      <c r="E50" s="10"/>
      <c r="F50" s="10"/>
      <c r="G50" s="10"/>
    </row>
    <row r="51" spans="2:7" x14ac:dyDescent="0.25">
      <c r="B51" s="13"/>
      <c r="C51" s="10"/>
      <c r="D51" s="10"/>
      <c r="E51" s="10"/>
      <c r="F51" s="10"/>
      <c r="G51" s="10"/>
    </row>
    <row r="52" spans="2:7" x14ac:dyDescent="0.25">
      <c r="B52" s="13"/>
      <c r="C52" s="10"/>
      <c r="D52" s="10"/>
      <c r="E52" s="10"/>
      <c r="F52" s="10"/>
      <c r="G52" s="10"/>
    </row>
    <row r="53" spans="2:7" x14ac:dyDescent="0.25">
      <c r="B53" s="13"/>
      <c r="C53" s="10"/>
      <c r="D53" s="10"/>
      <c r="E53" s="10"/>
      <c r="F53" s="10"/>
      <c r="G53" s="10"/>
    </row>
    <row r="54" spans="2:7" x14ac:dyDescent="0.25">
      <c r="B54" s="13"/>
      <c r="C54" s="10"/>
      <c r="D54" s="10"/>
      <c r="E54" s="10"/>
      <c r="F54" s="10"/>
      <c r="G54" s="10"/>
    </row>
    <row r="55" spans="2:7" x14ac:dyDescent="0.25">
      <c r="B55" s="13"/>
      <c r="C55" s="10"/>
      <c r="D55" s="10"/>
      <c r="E55" s="10"/>
      <c r="F55" s="10"/>
      <c r="G55" s="10"/>
    </row>
    <row r="56" spans="2:7" x14ac:dyDescent="0.25">
      <c r="B56" s="13"/>
      <c r="C56" s="10"/>
      <c r="D56" s="10"/>
      <c r="E56" s="10"/>
      <c r="F56" s="10"/>
      <c r="G56" s="10"/>
    </row>
    <row r="57" spans="2:7" s="12" customFormat="1" x14ac:dyDescent="0.25">
      <c r="B57" s="13"/>
      <c r="C57" s="10"/>
      <c r="D57" s="10"/>
      <c r="E57" s="10"/>
      <c r="F57" s="10"/>
      <c r="G57" s="10"/>
    </row>
    <row r="58" spans="2:7" x14ac:dyDescent="0.25">
      <c r="B58" s="14"/>
    </row>
    <row r="59" spans="2:7" x14ac:dyDescent="0.25">
      <c r="B59" s="14"/>
    </row>
    <row r="60" spans="2:7" x14ac:dyDescent="0.25">
      <c r="B60" s="14"/>
    </row>
  </sheetData>
  <mergeCells count="2">
    <mergeCell ref="B1:G1"/>
    <mergeCell ref="B3:C3"/>
  </mergeCells>
  <phoneticPr fontId="0" type="noConversion"/>
  <pageMargins left="0.75" right="0.75" top="1" bottom="1" header="0.5" footer="0.5"/>
  <pageSetup scale="86"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autoFill="0" autoPict="0" macro="[0]!ViewAmortizationChart">
                <anchor moveWithCells="1" sizeWithCells="1">
                  <from>
                    <xdr:col>3</xdr:col>
                    <xdr:colOff>876300</xdr:colOff>
                    <xdr:row>2</xdr:row>
                    <xdr:rowOff>38100</xdr:rowOff>
                  </from>
                  <to>
                    <xdr:col>5</xdr:col>
                    <xdr:colOff>504825</xdr:colOff>
                    <xdr:row>3</xdr:row>
                    <xdr:rowOff>152400</xdr:rowOff>
                  </to>
                </anchor>
              </controlPr>
            </control>
          </mc:Choice>
        </mc:AlternateContent>
        <mc:AlternateContent xmlns:mc="http://schemas.openxmlformats.org/markup-compatibility/2006">
          <mc:Choice Requires="x14">
            <control shapeId="10242" r:id="rId5" name="Button 2">
              <controlPr defaultSize="0" autoFill="0" autoPict="0" macro="[0]!ViewExplanation">
                <anchor moveWithCells="1" sizeWithCells="1">
                  <from>
                    <xdr:col>3</xdr:col>
                    <xdr:colOff>876300</xdr:colOff>
                    <xdr:row>4</xdr:row>
                    <xdr:rowOff>66675</xdr:rowOff>
                  </from>
                  <to>
                    <xdr:col>5</xdr:col>
                    <xdr:colOff>504825</xdr:colOff>
                    <xdr:row>6</xdr:row>
                    <xdr:rowOff>19050</xdr:rowOff>
                  </to>
                </anchor>
              </controlPr>
            </control>
          </mc:Choice>
        </mc:AlternateContent>
      </controls>
    </mc:Choice>
  </mc:AlternateContent>
</worksheet>
</file>

<file path=customUI/customUI14.xml><?xml version="1.0" encoding="utf-8"?>
<customUI xmlns="http://schemas.microsoft.com/office/2009/07/customui">
  <ribbon startFromScratch="true">
    <tabs>
      <tab id="CL" label="Car Loan">
        <group id="PO" label="Monthly Payment">
          <button id="PY" label="Calc Payment" onAction="PaymentOnly"/>
        </group>
        <group id="SE" label="Sensitivity Analysis">
          <button id="PR" label="To Price" onAction="PriceSensitivity"/>
          <button id="DP" label="To Down Payment" onAction="DownPaymentSensitivity" enabled="false"/>
          <button id="IR" label="To Interest Rate" onAction="InterestRateSensitivity" enabled="false"/>
          <button id="TRM" label="To Term" onAction="TermSensitivity" enabled="false"/>
        </group>
        <group id="AM" label="Amortization Table">
          <button id="ART" label="Create Table and Chart" onAction="Amortization"/>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4</vt:i4>
      </vt:variant>
      <vt:variant>
        <vt:lpstr>Charts</vt:lpstr>
      </vt:variant>
      <vt:variant>
        <vt:i4>2</vt:i4>
      </vt:variant>
      <vt:variant>
        <vt:lpstr>Named Ranges</vt:lpstr>
      </vt:variant>
      <vt:variant>
        <vt:i4>11</vt:i4>
      </vt:variant>
    </vt:vector>
  </HeadingPairs>
  <TitlesOfParts>
    <vt:vector size="17" baseType="lpstr">
      <vt:lpstr>Explanation</vt:lpstr>
      <vt:lpstr>Model</vt:lpstr>
      <vt:lpstr>Sensitivity</vt:lpstr>
      <vt:lpstr>Amortization</vt:lpstr>
      <vt:lpstr>SensitivityChart</vt:lpstr>
      <vt:lpstr>AmortizationChart</vt:lpstr>
      <vt:lpstr>DownPayment</vt:lpstr>
      <vt:lpstr>InterestRate</vt:lpstr>
      <vt:lpstr>Loan</vt:lpstr>
      <vt:lpstr>Payment</vt:lpstr>
      <vt:lpstr>Price</vt:lpstr>
      <vt:lpstr>Amortization!Print_Area</vt:lpstr>
      <vt:lpstr>Explanation!Print_Area</vt:lpstr>
      <vt:lpstr>Model!Print_Area</vt:lpstr>
      <vt:lpstr>Sensitivity!Print_Area</vt:lpstr>
      <vt:lpstr>Term</vt:lpstr>
      <vt:lpstr>TotalInterest</vt:lpstr>
    </vt:vector>
  </TitlesOfParts>
  <Company>Kelley School of Business</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 Albright</dc:creator>
  <cp:lastModifiedBy>Chris Albright</cp:lastModifiedBy>
  <cp:lastPrinted>2008-10-29T00:40:25Z</cp:lastPrinted>
  <dcterms:created xsi:type="dcterms:W3CDTF">2000-05-12T19:21:55Z</dcterms:created>
  <dcterms:modified xsi:type="dcterms:W3CDTF">2014-08-13T17:50:27Z</dcterms:modified>
</cp:coreProperties>
</file>