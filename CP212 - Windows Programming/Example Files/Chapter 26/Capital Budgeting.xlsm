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VBA 5e\Example Files\Chapter 26\"/>
    </mc:Choice>
  </mc:AlternateContent>
  <bookViews>
    <workbookView xWindow="120" yWindow="120" windowWidth="9360" windowHeight="4695"/>
  </bookViews>
  <sheets>
    <sheet name="Explanation" sheetId="1" r:id="rId1"/>
    <sheet name="Model" sheetId="2" state="hidden" r:id="rId2"/>
    <sheet name="Report" sheetId="3" state="hidden" r:id="rId3"/>
    <sheet name="Interesting" sheetId="6" state="hidden" r:id="rId4"/>
    <sheet name="Module1" sheetId="4" state="veryHidden" r:id=""/>
  </sheets>
  <definedNames>
    <definedName name="Budget" localSheetId="3">Interesting!$D$12</definedName>
    <definedName name="Budget" localSheetId="1">Model!$D$11</definedName>
    <definedName name="Cost" localSheetId="3">Interesting!$B$8:$AE$8</definedName>
    <definedName name="InvCost" localSheetId="1">Model!$B$7:$Z$7</definedName>
    <definedName name="InvestHeur" localSheetId="2">Report!$C$10</definedName>
    <definedName name="InvestOpt" localSheetId="2">Report!$C$4</definedName>
    <definedName name="InvLevel" localSheetId="1">Model!$B$5:$Z$5</definedName>
    <definedName name="LeftoverHeur" localSheetId="2">Report!$C$11</definedName>
    <definedName name="LeftoverOpt" localSheetId="2">Report!$C$5</definedName>
    <definedName name="Level" localSheetId="3">Interesting!$B$5:$AE$5</definedName>
    <definedName name="NPV" localSheetId="3">Interesting!$B$7:$AE$7</definedName>
    <definedName name="NPV" localSheetId="1">Model!$B$6:$Z$6</definedName>
    <definedName name="_xlnm.Print_Area" localSheetId="1">Model!$A$1:$AE$18</definedName>
    <definedName name="solver_adj" localSheetId="3" hidden="1">Interesting!$B$5:$AE$5</definedName>
    <definedName name="solver_adj" localSheetId="1" hidden="1">Model!$B$5:$Z$5</definedName>
    <definedName name="solver_cvg" localSheetId="3" hidden="1">0.001</definedName>
    <definedName name="solver_cvg" localSheetId="1" hidden="1">0.0001</definedName>
    <definedName name="solver_drv" localSheetId="3" hidden="1">1</definedName>
    <definedName name="solver_drv" localSheetId="1" hidden="1">1</definedName>
    <definedName name="solver_eng" localSheetId="0" hidden="1">1</definedName>
    <definedName name="solver_eng" localSheetId="3" hidden="1">2</definedName>
    <definedName name="solver_eng" localSheetId="1" hidden="1">1</definedName>
    <definedName name="solver_est" localSheetId="3" hidden="1">1</definedName>
    <definedName name="solver_est" localSheetId="1" hidden="1">1</definedName>
    <definedName name="solver_ibd" localSheetId="1" hidden="1">2</definedName>
    <definedName name="solver_itr" localSheetId="3" hidden="1">100</definedName>
    <definedName name="solver_itr" localSheetId="1" hidden="1">100</definedName>
    <definedName name="solver_lhs1" localSheetId="3" hidden="1">Interesting!$B$12</definedName>
    <definedName name="solver_lhs1" localSheetId="1" hidden="1">Model!$B$11</definedName>
    <definedName name="solver_lhs2" localSheetId="3" hidden="1">Interesting!$B$5:$AE$5</definedName>
    <definedName name="solver_lhs2" localSheetId="1" hidden="1">Model!$B$5:$Z$5</definedName>
    <definedName name="solver_lhs3" localSheetId="3" hidden="1">Interesting!$B$12</definedName>
    <definedName name="solver_lhs3" localSheetId="1" hidden="1">Model!$B$5:$Z$5</definedName>
    <definedName name="solver_lhs4" localSheetId="3" hidden="1">Interesting!$B$5:$K$5</definedName>
    <definedName name="solver_lhs4" localSheetId="1" hidden="1">Model!$B$5:$K$5</definedName>
    <definedName name="solver_lin" localSheetId="3" hidden="1">1</definedName>
    <definedName name="solver_lin" localSheetId="1" hidden="1">1</definedName>
    <definedName name="solver_lva" localSheetId="1" hidden="1">2</definedName>
    <definedName name="solver_mip" localSheetId="3" hidden="1">2147483647</definedName>
    <definedName name="solver_mip" localSheetId="1" hidden="1">5000</definedName>
    <definedName name="solver_mni" localSheetId="3" hidden="1">30</definedName>
    <definedName name="solver_mni" localSheetId="1" hidden="1">30</definedName>
    <definedName name="solver_mrt" localSheetId="3" hidden="1">0.075</definedName>
    <definedName name="solver_mrt" localSheetId="1" hidden="1">0.075</definedName>
    <definedName name="solver_msl" localSheetId="3" hidden="1">2</definedName>
    <definedName name="solver_msl" localSheetId="1" hidden="1">2</definedName>
    <definedName name="solver_neg" localSheetId="0" hidden="1">1</definedName>
    <definedName name="solver_neg" localSheetId="3" hidden="1">2</definedName>
    <definedName name="solver_neg" localSheetId="1" hidden="1">1</definedName>
    <definedName name="solver_nod" localSheetId="3" hidden="1">2147483647</definedName>
    <definedName name="solver_nod" localSheetId="1" hidden="1">5000</definedName>
    <definedName name="solver_num" localSheetId="0" hidden="1">0</definedName>
    <definedName name="solver_num" localSheetId="3" hidden="1">2</definedName>
    <definedName name="solver_num" localSheetId="1" hidden="1">2</definedName>
    <definedName name="solver_nwt" localSheetId="3" hidden="1">1</definedName>
    <definedName name="solver_nwt" localSheetId="1" hidden="1">1</definedName>
    <definedName name="solver_ofx" localSheetId="1" hidden="1">2</definedName>
    <definedName name="solver_oldadj1" localSheetId="3" hidden="1">0</definedName>
    <definedName name="solver_oldadj1" localSheetId="1" hidden="1">0</definedName>
    <definedName name="solver_oldadj10" localSheetId="3" hidden="1">1</definedName>
    <definedName name="solver_oldadj10" localSheetId="1" hidden="1">1</definedName>
    <definedName name="solver_oldadj2" localSheetId="3" hidden="1">0</definedName>
    <definedName name="solver_oldadj2" localSheetId="1" hidden="1">0</definedName>
    <definedName name="solver_oldadj3" localSheetId="3" hidden="1">0</definedName>
    <definedName name="solver_oldadj3" localSheetId="1" hidden="1">0</definedName>
    <definedName name="solver_oldadj4" localSheetId="3" hidden="1">1</definedName>
    <definedName name="solver_oldadj4" localSheetId="1" hidden="1">1</definedName>
    <definedName name="solver_oldadj5" localSheetId="3" hidden="1">0</definedName>
    <definedName name="solver_oldadj5" localSheetId="1" hidden="1">0</definedName>
    <definedName name="solver_oldadj6" localSheetId="3" hidden="1">1</definedName>
    <definedName name="solver_oldadj6" localSheetId="1" hidden="1">1</definedName>
    <definedName name="solver_oldadj7" localSheetId="3" hidden="1">1</definedName>
    <definedName name="solver_oldadj7" localSheetId="1" hidden="1">1</definedName>
    <definedName name="solver_oldadj8" localSheetId="3" hidden="1">1.69118052895101E-11</definedName>
    <definedName name="solver_oldadj8" localSheetId="1" hidden="1">1.69118052895101E-11</definedName>
    <definedName name="solver_oldadj9" localSheetId="3" hidden="1">1</definedName>
    <definedName name="solver_oldadj9" localSheetId="1" hidden="1">1</definedName>
    <definedName name="solver_oldobj" localSheetId="3" hidden="1">114900.000000477</definedName>
    <definedName name="solver_oldobj" localSheetId="1" hidden="1">114900.000000477</definedName>
    <definedName name="solver_opt" localSheetId="0" hidden="1">Explanation!$F$4</definedName>
    <definedName name="solver_opt" localSheetId="3" hidden="1">Interesting!$B$14</definedName>
    <definedName name="solver_opt" localSheetId="1" hidden="1">Model!$B$13</definedName>
    <definedName name="solver_piv" localSheetId="1" hidden="1">0.000001</definedName>
    <definedName name="solver_pre" localSheetId="3" hidden="1">0.000001</definedName>
    <definedName name="solver_pre" localSheetId="1" hidden="1">0.000001</definedName>
    <definedName name="solver_pro" localSheetId="1" hidden="1">2</definedName>
    <definedName name="solver_rbv" localSheetId="3" hidden="1">1</definedName>
    <definedName name="solver_rbv" localSheetId="1" hidden="1">1</definedName>
    <definedName name="solver_red" localSheetId="1" hidden="1">0.000001</definedName>
    <definedName name="solver_rel1" localSheetId="3" hidden="1">1</definedName>
    <definedName name="solver_rel1" localSheetId="1" hidden="1">1</definedName>
    <definedName name="solver_rel2" localSheetId="3" hidden="1">5</definedName>
    <definedName name="solver_rel2" localSheetId="1" hidden="1">5</definedName>
    <definedName name="solver_rel3" localSheetId="3" hidden="1">1</definedName>
    <definedName name="solver_rel3" localSheetId="1" hidden="1">1</definedName>
    <definedName name="solver_rel4" localSheetId="3" hidden="1">3</definedName>
    <definedName name="solver_rel4" localSheetId="1" hidden="1">3</definedName>
    <definedName name="solver_reo" localSheetId="1" hidden="1">2</definedName>
    <definedName name="solver_rep" localSheetId="1" hidden="1">2</definedName>
    <definedName name="solver_rhs1" localSheetId="3" hidden="1">Interesting!$D$12</definedName>
    <definedName name="solver_rhs1" localSheetId="1" hidden="1">Model!Budget</definedName>
    <definedName name="solver_rhs2" localSheetId="3" hidden="1">binary</definedName>
    <definedName name="solver_rhs2" localSheetId="1" hidden="1">binary</definedName>
    <definedName name="solver_rhs3" localSheetId="3" hidden="1">Interesting!Budget</definedName>
    <definedName name="solver_rhs3" localSheetId="1" hidden="1">1</definedName>
    <definedName name="solver_rhs4" localSheetId="3" hidden="1">0</definedName>
    <definedName name="solver_rhs4" localSheetId="1" hidden="1">0</definedName>
    <definedName name="solver_rlx" localSheetId="3" hidden="1">2</definedName>
    <definedName name="solver_rlx" localSheetId="1" hidden="1">2</definedName>
    <definedName name="solver_rsd" localSheetId="3" hidden="1">0</definedName>
    <definedName name="solver_rsd" localSheetId="1" hidden="1">0</definedName>
    <definedName name="solver_scl" localSheetId="3" hidden="1">2</definedName>
    <definedName name="solver_scl" localSheetId="1" hidden="1">2</definedName>
    <definedName name="solver_sho" localSheetId="3" hidden="1">2</definedName>
    <definedName name="solver_sho" localSheetId="1" hidden="1">2</definedName>
    <definedName name="solver_ssz" localSheetId="3" hidden="1">100</definedName>
    <definedName name="solver_ssz" localSheetId="1" hidden="1">100</definedName>
    <definedName name="solver_std" localSheetId="1" hidden="1">1</definedName>
    <definedName name="solver_tim" localSheetId="3" hidden="1">100</definedName>
    <definedName name="solver_tim" localSheetId="1" hidden="1">100</definedName>
    <definedName name="solver_tmp" localSheetId="3" hidden="1">0</definedName>
    <definedName name="solver_tmp" localSheetId="1" hidden="1">0</definedName>
    <definedName name="solver_tol" localSheetId="3" hidden="1">0.05</definedName>
    <definedName name="solver_tol" localSheetId="1" hidden="1">0</definedName>
    <definedName name="solver_typ" localSheetId="0" hidden="1">1</definedName>
    <definedName name="solver_typ" localSheetId="3" hidden="1">1</definedName>
    <definedName name="solver_typ" localSheetId="1" hidden="1">1</definedName>
    <definedName name="solver_val" localSheetId="0" hidden="1">0</definedName>
    <definedName name="solver_val" localSheetId="3" hidden="1">0</definedName>
    <definedName name="solver_val" localSheetId="1" hidden="1">0</definedName>
    <definedName name="solver_ver" localSheetId="0" hidden="1">3</definedName>
    <definedName name="solver_ver" localSheetId="3" hidden="1">3</definedName>
    <definedName name="solver_ver" localSheetId="1" hidden="1">3</definedName>
    <definedName name="SortRange" localSheetId="3">Interesting!$B$7:$AE$9</definedName>
    <definedName name="TotCost" localSheetId="3">Interesting!$B$12</definedName>
    <definedName name="TotCost" localSheetId="1">Model!$B$11</definedName>
    <definedName name="TotNPV" localSheetId="3">Interesting!$B$14</definedName>
    <definedName name="TotNPV" localSheetId="1">Model!$B$13</definedName>
    <definedName name="TotNPVHeur" localSheetId="2">Report!$C$12</definedName>
    <definedName name="TotNPVOpt" localSheetId="2">Report!$C$6</definedName>
  </definedNames>
  <calcPr calcId="152511"/>
</workbook>
</file>

<file path=xl/calcChain.xml><?xml version="1.0" encoding="utf-8"?>
<calcChain xmlns="http://schemas.openxmlformats.org/spreadsheetml/2006/main">
  <c r="B13" i="2" l="1"/>
  <c r="B11" i="2"/>
  <c r="C8" i="2"/>
  <c r="M8" i="2"/>
  <c r="I8" i="2"/>
  <c r="H8" i="2"/>
  <c r="T8" i="2"/>
  <c r="Q8" i="2"/>
  <c r="W8" i="2"/>
  <c r="S8" i="2"/>
  <c r="P8" i="2"/>
  <c r="X8" i="2"/>
  <c r="L8" i="2" l="1"/>
  <c r="D8" i="2"/>
  <c r="V8" i="2"/>
  <c r="O8" i="2"/>
  <c r="B8" i="2"/>
  <c r="N8" i="2"/>
  <c r="G8" i="2"/>
  <c r="F8" i="2"/>
  <c r="U8" i="2"/>
  <c r="Z8" i="2"/>
  <c r="E8" i="2"/>
  <c r="Y8" i="2"/>
  <c r="R8" i="2"/>
  <c r="J8" i="2"/>
  <c r="W9" i="6"/>
  <c r="AB9" i="6"/>
  <c r="B9" i="6"/>
  <c r="N9" i="6"/>
  <c r="I9" i="6"/>
  <c r="Y9" i="6"/>
  <c r="F9" i="6"/>
  <c r="T9" i="6"/>
  <c r="AD9" i="6"/>
  <c r="G9" i="6"/>
  <c r="K9" i="6"/>
  <c r="J9" i="6"/>
  <c r="O9" i="6"/>
  <c r="AE9" i="6"/>
  <c r="X9" i="6"/>
  <c r="S9" i="6"/>
  <c r="E9" i="6"/>
  <c r="C9" i="6"/>
  <c r="V9" i="6"/>
  <c r="Q9" i="6"/>
  <c r="B12" i="6"/>
  <c r="AA9" i="6"/>
  <c r="R9" i="6"/>
  <c r="P9" i="6"/>
  <c r="L9" i="6"/>
  <c r="H9" i="6"/>
  <c r="AC9" i="6"/>
  <c r="D9" i="6"/>
  <c r="U9" i="6"/>
  <c r="Z9" i="6"/>
  <c r="M9" i="6"/>
  <c r="B14" i="6"/>
  <c r="C15" i="3"/>
  <c r="K8" i="2" l="1"/>
</calcChain>
</file>

<file path=xl/sharedStrings.xml><?xml version="1.0" encoding="utf-8"?>
<sst xmlns="http://schemas.openxmlformats.org/spreadsheetml/2006/main" count="36" uniqueCount="22">
  <si>
    <t>Investment</t>
  </si>
  <si>
    <t>Investment level</t>
  </si>
  <si>
    <t>NPV</t>
  </si>
  <si>
    <t>Investment cost</t>
  </si>
  <si>
    <t>Bang-for-buck</t>
  </si>
  <si>
    <t>Budget constraint</t>
  </si>
  <si>
    <t>Spent</t>
  </si>
  <si>
    <t>Available</t>
  </si>
  <si>
    <t>&lt;=</t>
  </si>
  <si>
    <t>Total NPV</t>
  </si>
  <si>
    <t>Optimal Investment Policy</t>
  </si>
  <si>
    <t>Investments</t>
  </si>
  <si>
    <t>Leftover cash</t>
  </si>
  <si>
    <t>Suboptimal NPV as a % of optimal NPV</t>
  </si>
  <si>
    <t>Capital Budgeting Problem -- Solver doesn't get the correct solution!</t>
  </si>
  <si>
    <t>Capital Budgeting Model</t>
  </si>
  <si>
    <t>Investment Policy from Heuristic Policy</t>
  </si>
  <si>
    <t>Model</t>
  </si>
  <si>
    <t>Capital Budgeting Application</t>
  </si>
  <si>
    <t>Note that the Solver Integer Optimality setting has been set to 0.</t>
  </si>
  <si>
    <t>2,3,4,5,7,8,9,10,11,12,13,14,15,16,17,18,19,20,21,22,23,24,25</t>
  </si>
  <si>
    <t>3,4,5,6,7,8,9,10,11,12,13,14,15,16,17,18,19,20,21,22,23,24,25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</si>
</sst>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quot;$&quot;#,##0;\-&quot;$&quot;#,##0"/>
    <numFmt numFmtId="165" formatCode="&quot;$&quot;#,##0.00;\-&quot;$&quot;#,##0.00"/>
  </numFmts>
  <fonts count="6" x14ac:knownFonts="1">
    <font>
      <sz val="10"/>
      <name val="Arial"/>
    </font>
    <font>
      <sz val="10"/>
      <name val="Arial"/>
      <family val="2"/>
    </font>
    <font>
      <b/>
      <sz val="14"/>
      <name val="Calibri"/>
      <family val="2"/>
      <scheme val="minor"/>
    </font>
    <font>
      <sz val="11"/>
      <name val="Calibri"/>
      <family val="2"/>
      <scheme val="minor"/>
    </font>
    <font>
      <b/>
      <sz val="1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30">
    <xf numFmtId="0" fontId="0" fillId="0" borderId="0" xfId="0"/>
    <xf numFmtId="0" fontId="3" fillId="0" borderId="0" xfId="0" applyFont="1" applyFill="1"/>
    <xf numFmtId="0" fontId="4" fillId="0" borderId="0" xfId="0" applyFont="1" applyFill="1"/>
    <xf numFmtId="0" fontId="3" fillId="0" borderId="0" xfId="0" applyFont="1" applyFill="1" applyAlignment="1">
      <alignment horizontal="right"/>
    </xf>
    <xf numFmtId="164" fontId="3" fillId="0" borderId="0" xfId="0" applyNumberFormat="1" applyFont="1" applyFill="1"/>
    <xf numFmtId="10" fontId="3" fillId="0" borderId="0" xfId="1" applyNumberFormat="1" applyFont="1" applyFill="1"/>
    <xf numFmtId="0" fontId="4" fillId="0" borderId="0" xfId="0" applyFont="1"/>
    <xf numFmtId="0" fontId="3" fillId="0" borderId="0" xfId="0" applyFont="1"/>
    <xf numFmtId="0" fontId="3" fillId="0" borderId="0" xfId="0" applyFont="1" applyAlignment="1">
      <alignment horizontal="left"/>
    </xf>
    <xf numFmtId="0" fontId="3" fillId="0" borderId="0" xfId="0" applyFont="1" applyAlignment="1">
      <alignment horizontal="centerContinuous"/>
    </xf>
    <xf numFmtId="1" fontId="3" fillId="0" borderId="0" xfId="0" applyNumberFormat="1" applyFont="1" applyBorder="1"/>
    <xf numFmtId="164" fontId="3" fillId="0" borderId="0" xfId="0" applyNumberFormat="1" applyFont="1" applyBorder="1"/>
    <xf numFmtId="0" fontId="3" fillId="0" borderId="0" xfId="0" applyFont="1" applyBorder="1"/>
    <xf numFmtId="165" fontId="3" fillId="0" borderId="0" xfId="0" applyNumberFormat="1" applyFont="1"/>
    <xf numFmtId="0" fontId="3" fillId="0" borderId="0" xfId="0" applyFont="1" applyAlignment="1">
      <alignment horizontal="right"/>
    </xf>
    <xf numFmtId="164" fontId="3" fillId="0" borderId="0" xfId="0" applyNumberFormat="1" applyFont="1"/>
    <xf numFmtId="0" fontId="3" fillId="0" borderId="0" xfId="0" applyFont="1" applyAlignment="1">
      <alignment horizontal="center"/>
    </xf>
    <xf numFmtId="0" fontId="4" fillId="0" borderId="0" xfId="0" applyFont="1" applyFill="1" applyBorder="1"/>
    <xf numFmtId="0" fontId="3" fillId="0" borderId="0" xfId="0" applyFont="1" applyFill="1" applyBorder="1"/>
    <xf numFmtId="1" fontId="3" fillId="0" borderId="0" xfId="0" applyNumberFormat="1" applyFont="1" applyFill="1" applyBorder="1"/>
    <xf numFmtId="164" fontId="3" fillId="0" borderId="0" xfId="0" applyNumberFormat="1" applyFont="1" applyFill="1" applyBorder="1"/>
    <xf numFmtId="165" fontId="3" fillId="0" borderId="0" xfId="0" applyNumberFormat="1" applyFont="1" applyFill="1" applyBorder="1"/>
    <xf numFmtId="0" fontId="3" fillId="0" borderId="0" xfId="0" applyFont="1" applyFill="1" applyBorder="1" applyAlignment="1">
      <alignment horizontal="right"/>
    </xf>
    <xf numFmtId="0" fontId="3" fillId="0" borderId="0" xfId="0" applyFont="1" applyFill="1" applyBorder="1" applyAlignment="1">
      <alignment horizontal="center"/>
    </xf>
    <xf numFmtId="0" fontId="3" fillId="0" borderId="0" xfId="0" applyFont="1" applyFill="1" applyBorder="1" applyAlignment="1">
      <alignment horizontal="left"/>
    </xf>
    <xf numFmtId="0" fontId="3" fillId="0" borderId="0" xfId="0" applyNumberFormat="1" applyFont="1"/>
    <xf numFmtId="0" fontId="3" fillId="0" borderId="0" xfId="0" applyNumberFormat="1" applyFont="1" applyAlignment="1"/>
    <xf numFmtId="0" fontId="3" fillId="0" borderId="0" xfId="0" applyNumberFormat="1" applyFont="1" applyAlignment="1">
      <alignment horizontal="left"/>
    </xf>
    <xf numFmtId="0" fontId="3" fillId="0" borderId="0" xfId="0" applyNumberFormat="1" applyFont="1" applyFill="1"/>
    <xf numFmtId="0" fontId="2" fillId="0" borderId="0" xfId="0" applyFont="1" applyFill="1" applyAlignment="1">
      <alignment horizontal="center"/>
    </xf>
  </cellXfs>
  <cellStyles count="2">
    <cellStyle name="Normal" xfId="0" builtinId="0"/>
    <cellStyle name="Percent" xfId="1"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460375</xdr:colOff>
      <xdr:row>5</xdr:row>
      <xdr:rowOff>88899</xdr:rowOff>
    </xdr:from>
    <xdr:to>
      <xdr:col>9</xdr:col>
      <xdr:colOff>381000</xdr:colOff>
      <xdr:row>22</xdr:row>
      <xdr:rowOff>47625</xdr:rowOff>
    </xdr:to>
    <xdr:sp macro="" textlink="">
      <xdr:nvSpPr>
        <xdr:cNvPr id="3" name="TextBox 2"/>
        <xdr:cNvSpPr txBox="1"/>
      </xdr:nvSpPr>
      <xdr:spPr>
        <a:xfrm>
          <a:off x="1069975" y="1089024"/>
          <a:ext cx="4797425" cy="3197226"/>
        </a:xfrm>
        <a:prstGeom prst="roundRect">
          <a:avLst/>
        </a:prstGeom>
        <a:solidFill>
          <a:schemeClr val="bg1">
            <a:lumMod val="95000"/>
          </a:schemeClr>
        </a:solidFill>
        <a:ln>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horz" rtlCol="0" anchor="t"/>
        <a:lstStyle/>
        <a:p>
          <a:r>
            <a:rPr lang="en-US" sz="1100"/>
            <a:t>This purpose of this application is to examine a capital budgeting model and see how close a simple heuristic solution is to the optimal solution using integer (0-1) programming. To do this, the application randomly generates the inputs to a model (NPVs, costs, and budget) with 30 possible capital budgeting projects. It then solves the problem using two methods.  The first method uses Solver to find the optimal 0-1 solution. The second method is a simple heuristic. Here the investments are ranked in decreasing order of the NPV-to-unit-cost ratio. Starting at the top of this list and working down, a project is included as long as the remaining budget permits. The application shows that this heuristic is not always optimal, but that it is usually very close to optimal.
To find the optimal Solver solution, the Solver's Integer Optimality setting is set to 0. This guarantees an optimal solution (if one exists). See the Interesting sheet for an example where Solver solution is not optimal (because an Integer Optimality setting  of 5% was used).</a:t>
          </a:r>
        </a:p>
      </xdr:txBody>
    </xdr:sp>
    <xdr:clientData/>
  </xdr:twoCellAnchor>
  <mc:AlternateContent xmlns:mc="http://schemas.openxmlformats.org/markup-compatibility/2006">
    <mc:Choice xmlns:a14="http://schemas.microsoft.com/office/drawing/2010/main" Requires="a14">
      <xdr:twoCellAnchor>
        <xdr:from>
          <xdr:col>4</xdr:col>
          <xdr:colOff>152400</xdr:colOff>
          <xdr:row>2</xdr:row>
          <xdr:rowOff>76200</xdr:rowOff>
        </xdr:from>
        <xdr:to>
          <xdr:col>6</xdr:col>
          <xdr:colOff>495300</xdr:colOff>
          <xdr:row>4</xdr:row>
          <xdr:rowOff>38100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the application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15</xdr:row>
          <xdr:rowOff>114300</xdr:rowOff>
        </xdr:from>
        <xdr:to>
          <xdr:col>4</xdr:col>
          <xdr:colOff>571500</xdr:colOff>
          <xdr:row>17</xdr:row>
          <xdr:rowOff>66675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Return to the Report sheet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15</xdr:row>
          <xdr:rowOff>76200</xdr:rowOff>
        </xdr:from>
        <xdr:to>
          <xdr:col>2</xdr:col>
          <xdr:colOff>1657350</xdr:colOff>
          <xdr:row>17</xdr:row>
          <xdr:rowOff>114300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another problem with new inputs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1743075</xdr:colOff>
          <xdr:row>15</xdr:row>
          <xdr:rowOff>76200</xdr:rowOff>
        </xdr:from>
        <xdr:to>
          <xdr:col>2</xdr:col>
          <xdr:colOff>3143250</xdr:colOff>
          <xdr:row>17</xdr:row>
          <xdr:rowOff>114300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Model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3248025</xdr:colOff>
          <xdr:row>15</xdr:row>
          <xdr:rowOff>76200</xdr:rowOff>
        </xdr:from>
        <xdr:to>
          <xdr:col>2</xdr:col>
          <xdr:colOff>4762500</xdr:colOff>
          <xdr:row>17</xdr:row>
          <xdr:rowOff>114300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Interesting sheet</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38100</xdr:colOff>
      <xdr:row>10</xdr:row>
      <xdr:rowOff>107950</xdr:rowOff>
    </xdr:from>
    <xdr:to>
      <xdr:col>10</xdr:col>
      <xdr:colOff>561339</xdr:colOff>
      <xdr:row>15</xdr:row>
      <xdr:rowOff>94615</xdr:rowOff>
    </xdr:to>
    <xdr:sp macro="" textlink="">
      <xdr:nvSpPr>
        <xdr:cNvPr id="3" name="TextBox 2"/>
        <xdr:cNvSpPr txBox="1"/>
      </xdr:nvSpPr>
      <xdr:spPr>
        <a:xfrm>
          <a:off x="4114800" y="1727200"/>
          <a:ext cx="2961639" cy="796290"/>
        </a:xfrm>
        <a:prstGeom prst="roundRect">
          <a:avLst/>
        </a:prstGeom>
        <a:solidFill>
          <a:schemeClr val="bg1">
            <a:lumMod val="85000"/>
          </a:schemeClr>
        </a:solidFill>
        <a:ln>
          <a:solidFill>
            <a:schemeClr val="bg1">
              <a:lumMod val="75000"/>
            </a:schemeClr>
          </a:solidFill>
        </a:ln>
      </xdr:spPr>
      <xdr:style>
        <a:lnRef idx="2">
          <a:schemeClr val="accent1"/>
        </a:lnRef>
        <a:fillRef idx="1">
          <a:schemeClr val="lt1"/>
        </a:fillRef>
        <a:effectRef idx="0">
          <a:schemeClr val="accent1"/>
        </a:effectRef>
        <a:fontRef idx="minor">
          <a:schemeClr val="dk1"/>
        </a:fontRef>
      </xdr:style>
      <xdr:txBody>
        <a:bodyPr vert="horz" rtlCol="0" anchor="t"/>
        <a:lstStyle/>
        <a:p>
          <a:r>
            <a:rPr lang="en-US" sz="1100"/>
            <a:t>The Solver Integer Optimality</a:t>
          </a:r>
          <a:r>
            <a:rPr lang="en-US" sz="1100" baseline="0"/>
            <a:t> setting</a:t>
          </a:r>
          <a:r>
            <a:rPr lang="en-US" sz="1100"/>
            <a:t> is set to 5% in this sheet. Solver gets the wrong answer -- its NPV is </a:t>
          </a:r>
          <a:r>
            <a:rPr lang="en-US" sz="1100" i="1"/>
            <a:t>less</a:t>
          </a:r>
          <a:r>
            <a:rPr lang="en-US" sz="1100"/>
            <a:t> than for marginal analysis (invest in 13 through 30).</a:t>
          </a:r>
        </a:p>
      </xdr:txBody>
    </xdr:sp>
    <xdr:clientData/>
  </xdr:twoCellAnchor>
  <mc:AlternateContent xmlns:mc="http://schemas.openxmlformats.org/markup-compatibility/2006">
    <mc:Choice xmlns:a14="http://schemas.microsoft.com/office/drawing/2010/main" Requires="a14">
      <xdr:twoCellAnchor>
        <xdr:from>
          <xdr:col>0</xdr:col>
          <xdr:colOff>914400</xdr:colOff>
          <xdr:row>15</xdr:row>
          <xdr:rowOff>104775</xdr:rowOff>
        </xdr:from>
        <xdr:to>
          <xdr:col>4</xdr:col>
          <xdr:colOff>257175</xdr:colOff>
          <xdr:row>17</xdr:row>
          <xdr:rowOff>57150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Return to the Report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Explanation">
    <pageSetUpPr fitToPage="1"/>
  </sheetPr>
  <dimension ref="C2:I2"/>
  <sheetViews>
    <sheetView showGridLines="0" showRowColHeaders="0" tabSelected="1" workbookViewId="0"/>
  </sheetViews>
  <sheetFormatPr defaultRowHeight="15" x14ac:dyDescent="0.25"/>
  <cols>
    <col min="1" max="16384" width="9.140625" style="1"/>
  </cols>
  <sheetData>
    <row r="2" spans="3:9" ht="18.75" x14ac:dyDescent="0.3">
      <c r="C2" s="29" t="s">
        <v>18</v>
      </c>
      <c r="D2" s="29"/>
      <c r="E2" s="29"/>
      <c r="F2" s="29"/>
      <c r="G2" s="29"/>
      <c r="H2" s="29"/>
      <c r="I2" s="29"/>
    </row>
  </sheetData>
  <mergeCells count="1">
    <mergeCell ref="C2:I2"/>
  </mergeCells>
  <phoneticPr fontId="0" type="noConversion"/>
  <pageMargins left="0.75" right="0.75" top="1" bottom="1" header="0.5" footer="0.5"/>
  <pageSetup scale="9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Line="0" autoPict="0" macro="[0]!MainCapitalBudgeting">
                <anchor moveWithCells="1" sizeWithCells="1">
                  <from>
                    <xdr:col>4</xdr:col>
                    <xdr:colOff>152400</xdr:colOff>
                    <xdr:row>2</xdr:row>
                    <xdr:rowOff>76200</xdr:rowOff>
                  </from>
                  <to>
                    <xdr:col>6</xdr:col>
                    <xdr:colOff>495300</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Model">
    <pageSetUpPr fitToPage="1"/>
  </sheetPr>
  <dimension ref="A1:AE22"/>
  <sheetViews>
    <sheetView workbookViewId="0"/>
  </sheetViews>
  <sheetFormatPr defaultRowHeight="15" x14ac:dyDescent="0.25"/>
  <cols>
    <col min="1" max="1" width="17" style="7" customWidth="1"/>
    <col min="2" max="6" width="9.140625" style="7"/>
    <col min="7" max="29" width="9.140625" style="7" customWidth="1"/>
    <col min="30" max="16384" width="9.140625" style="7"/>
  </cols>
  <sheetData>
    <row r="1" spans="1:31" x14ac:dyDescent="0.25">
      <c r="A1" s="6" t="s">
        <v>15</v>
      </c>
    </row>
    <row r="3" spans="1:31" x14ac:dyDescent="0.25">
      <c r="A3" s="7" t="s">
        <v>17</v>
      </c>
      <c r="B3" s="8"/>
      <c r="C3" s="9"/>
      <c r="D3" s="9"/>
      <c r="G3" s="9"/>
      <c r="H3" s="9"/>
      <c r="I3" s="9"/>
      <c r="J3" s="9"/>
      <c r="K3" s="9"/>
    </row>
    <row r="4" spans="1:31" x14ac:dyDescent="0.25">
      <c r="A4" s="7" t="s">
        <v>0</v>
      </c>
      <c r="B4" s="7">
        <v>1</v>
      </c>
      <c r="C4" s="7">
        <v>2</v>
      </c>
      <c r="D4" s="7">
        <v>3</v>
      </c>
      <c r="E4" s="7">
        <v>4</v>
      </c>
      <c r="F4" s="7">
        <v>5</v>
      </c>
      <c r="G4" s="7">
        <v>6</v>
      </c>
      <c r="H4" s="7">
        <v>7</v>
      </c>
      <c r="I4" s="7">
        <v>8</v>
      </c>
      <c r="J4" s="7">
        <v>9</v>
      </c>
      <c r="K4" s="7">
        <v>10</v>
      </c>
      <c r="L4" s="7">
        <v>11</v>
      </c>
      <c r="M4" s="7">
        <v>12</v>
      </c>
      <c r="N4" s="7">
        <v>13</v>
      </c>
      <c r="O4" s="7">
        <v>14</v>
      </c>
      <c r="P4" s="7">
        <v>15</v>
      </c>
      <c r="Q4" s="7">
        <v>16</v>
      </c>
      <c r="R4" s="7">
        <v>17</v>
      </c>
      <c r="S4" s="7">
        <v>18</v>
      </c>
      <c r="T4" s="7">
        <v>19</v>
      </c>
      <c r="U4" s="7">
        <v>20</v>
      </c>
      <c r="V4" s="7">
        <v>21</v>
      </c>
      <c r="W4" s="7">
        <v>22</v>
      </c>
      <c r="X4" s="7">
        <v>23</v>
      </c>
      <c r="Y4" s="7">
        <v>24</v>
      </c>
      <c r="Z4" s="7">
        <v>25</v>
      </c>
    </row>
    <row r="5" spans="1:31" x14ac:dyDescent="0.25">
      <c r="A5" s="18" t="s">
        <v>1</v>
      </c>
      <c r="B5" s="10">
        <v>0</v>
      </c>
      <c r="C5" s="10">
        <v>1</v>
      </c>
      <c r="D5" s="10">
        <v>1</v>
      </c>
      <c r="E5" s="10">
        <v>1</v>
      </c>
      <c r="F5" s="10">
        <v>1</v>
      </c>
      <c r="G5" s="10">
        <v>0</v>
      </c>
      <c r="H5" s="10">
        <v>1</v>
      </c>
      <c r="I5" s="10">
        <v>1</v>
      </c>
      <c r="J5" s="10">
        <v>1</v>
      </c>
      <c r="K5" s="10">
        <v>1</v>
      </c>
      <c r="L5" s="10">
        <v>1</v>
      </c>
      <c r="M5" s="10">
        <v>1</v>
      </c>
      <c r="N5" s="10">
        <v>1</v>
      </c>
      <c r="O5" s="10">
        <v>1</v>
      </c>
      <c r="P5" s="10">
        <v>1</v>
      </c>
      <c r="Q5" s="10">
        <v>1</v>
      </c>
      <c r="R5" s="10">
        <v>1</v>
      </c>
      <c r="S5" s="10">
        <v>1</v>
      </c>
      <c r="T5" s="10">
        <v>1</v>
      </c>
      <c r="U5" s="10">
        <v>1</v>
      </c>
      <c r="V5" s="10">
        <v>1</v>
      </c>
      <c r="W5" s="10">
        <v>1</v>
      </c>
      <c r="X5" s="10">
        <v>1</v>
      </c>
      <c r="Y5" s="10">
        <v>1</v>
      </c>
      <c r="Z5" s="10">
        <v>1</v>
      </c>
      <c r="AA5" s="10"/>
      <c r="AB5" s="10"/>
      <c r="AC5" s="10"/>
      <c r="AD5" s="10"/>
      <c r="AE5" s="10"/>
    </row>
    <row r="6" spans="1:31" x14ac:dyDescent="0.25">
      <c r="A6" s="18" t="s">
        <v>2</v>
      </c>
      <c r="B6" s="11">
        <v>25000</v>
      </c>
      <c r="C6" s="12">
        <v>28000</v>
      </c>
      <c r="D6" s="12">
        <v>22900</v>
      </c>
      <c r="E6" s="12">
        <v>22600</v>
      </c>
      <c r="F6" s="12">
        <v>21100</v>
      </c>
      <c r="G6" s="12">
        <v>17000</v>
      </c>
      <c r="H6" s="11">
        <v>29900</v>
      </c>
      <c r="I6" s="12">
        <v>17200</v>
      </c>
      <c r="J6" s="11">
        <v>33600</v>
      </c>
      <c r="K6" s="11">
        <v>20900</v>
      </c>
      <c r="L6" s="11">
        <v>23600</v>
      </c>
      <c r="M6" s="12">
        <v>15600</v>
      </c>
      <c r="N6" s="12">
        <v>26800</v>
      </c>
      <c r="O6" s="11">
        <v>24600</v>
      </c>
      <c r="P6" s="12">
        <v>25100</v>
      </c>
      <c r="Q6" s="12">
        <v>36700</v>
      </c>
      <c r="R6" s="12">
        <v>29800</v>
      </c>
      <c r="S6" s="12">
        <v>19900</v>
      </c>
      <c r="T6" s="12">
        <v>28000</v>
      </c>
      <c r="U6" s="12">
        <v>21600</v>
      </c>
      <c r="V6" s="12">
        <v>25000</v>
      </c>
      <c r="W6" s="12">
        <v>28200</v>
      </c>
      <c r="X6" s="12">
        <v>22500</v>
      </c>
      <c r="Y6" s="11">
        <v>19500</v>
      </c>
      <c r="Z6" s="11">
        <v>25200</v>
      </c>
      <c r="AA6" s="12"/>
      <c r="AB6" s="11"/>
      <c r="AC6" s="12"/>
      <c r="AD6" s="11"/>
      <c r="AE6" s="12"/>
    </row>
    <row r="7" spans="1:31" x14ac:dyDescent="0.25">
      <c r="A7" s="18" t="s">
        <v>3</v>
      </c>
      <c r="B7" s="11">
        <v>10000</v>
      </c>
      <c r="C7" s="12">
        <v>9600</v>
      </c>
      <c r="D7" s="12">
        <v>7800</v>
      </c>
      <c r="E7" s="12">
        <v>7100</v>
      </c>
      <c r="F7" s="12">
        <v>6400</v>
      </c>
      <c r="G7" s="12">
        <v>5100</v>
      </c>
      <c r="H7" s="11">
        <v>8300</v>
      </c>
      <c r="I7" s="12">
        <v>4500</v>
      </c>
      <c r="J7" s="11">
        <v>8700</v>
      </c>
      <c r="K7" s="11">
        <v>5400</v>
      </c>
      <c r="L7" s="11">
        <v>5900</v>
      </c>
      <c r="M7" s="12">
        <v>3700</v>
      </c>
      <c r="N7" s="12">
        <v>5900</v>
      </c>
      <c r="O7" s="11">
        <v>4900</v>
      </c>
      <c r="P7" s="12">
        <v>4900</v>
      </c>
      <c r="Q7" s="12">
        <v>6900</v>
      </c>
      <c r="R7" s="12">
        <v>5300</v>
      </c>
      <c r="S7" s="12">
        <v>3500</v>
      </c>
      <c r="T7" s="12">
        <v>4700</v>
      </c>
      <c r="U7" s="12">
        <v>3200</v>
      </c>
      <c r="V7" s="12">
        <v>3500</v>
      </c>
      <c r="W7" s="12">
        <v>3900</v>
      </c>
      <c r="X7" s="12">
        <v>2900</v>
      </c>
      <c r="Y7" s="11">
        <v>2500</v>
      </c>
      <c r="Z7" s="11">
        <v>3000</v>
      </c>
      <c r="AA7" s="12"/>
      <c r="AB7" s="11"/>
      <c r="AC7" s="12"/>
      <c r="AD7" s="11"/>
      <c r="AE7" s="12"/>
    </row>
    <row r="8" spans="1:31" x14ac:dyDescent="0.25">
      <c r="A8" s="18" t="s">
        <v>4</v>
      </c>
      <c r="B8" s="13">
        <f t="shared" ref="B8:Z8" si="0">B6/B7</f>
        <v>2.5</v>
      </c>
      <c r="C8" s="13">
        <f t="shared" si="0"/>
        <v>2.9166666666666665</v>
      </c>
      <c r="D8" s="13">
        <f t="shared" si="0"/>
        <v>2.9358974358974357</v>
      </c>
      <c r="E8" s="13">
        <f t="shared" si="0"/>
        <v>3.183098591549296</v>
      </c>
      <c r="F8" s="13">
        <f t="shared" si="0"/>
        <v>3.296875</v>
      </c>
      <c r="G8" s="13">
        <f t="shared" si="0"/>
        <v>3.3333333333333335</v>
      </c>
      <c r="H8" s="13">
        <f t="shared" si="0"/>
        <v>3.6024096385542168</v>
      </c>
      <c r="I8" s="13">
        <f t="shared" si="0"/>
        <v>3.8222222222222224</v>
      </c>
      <c r="J8" s="13">
        <f t="shared" si="0"/>
        <v>3.8620689655172415</v>
      </c>
      <c r="K8" s="13">
        <f t="shared" si="0"/>
        <v>3.8703703703703702</v>
      </c>
      <c r="L8" s="13">
        <f t="shared" si="0"/>
        <v>4</v>
      </c>
      <c r="M8" s="13">
        <f t="shared" si="0"/>
        <v>4.2162162162162158</v>
      </c>
      <c r="N8" s="13">
        <f t="shared" si="0"/>
        <v>4.5423728813559325</v>
      </c>
      <c r="O8" s="13">
        <f t="shared" si="0"/>
        <v>5.0204081632653059</v>
      </c>
      <c r="P8" s="13">
        <f t="shared" si="0"/>
        <v>5.1224489795918364</v>
      </c>
      <c r="Q8" s="13">
        <f t="shared" si="0"/>
        <v>5.3188405797101446</v>
      </c>
      <c r="R8" s="13">
        <f t="shared" si="0"/>
        <v>5.6226415094339623</v>
      </c>
      <c r="S8" s="13">
        <f t="shared" si="0"/>
        <v>5.6857142857142859</v>
      </c>
      <c r="T8" s="13">
        <f t="shared" si="0"/>
        <v>5.957446808510638</v>
      </c>
      <c r="U8" s="13">
        <f t="shared" si="0"/>
        <v>6.75</v>
      </c>
      <c r="V8" s="13">
        <f t="shared" si="0"/>
        <v>7.1428571428571432</v>
      </c>
      <c r="W8" s="13">
        <f t="shared" si="0"/>
        <v>7.2307692307692308</v>
      </c>
      <c r="X8" s="13">
        <f t="shared" si="0"/>
        <v>7.7586206896551726</v>
      </c>
      <c r="Y8" s="13">
        <f t="shared" si="0"/>
        <v>7.8</v>
      </c>
      <c r="Z8" s="13">
        <f t="shared" si="0"/>
        <v>8.4</v>
      </c>
      <c r="AA8" s="13"/>
      <c r="AB8" s="13"/>
      <c r="AC8" s="13"/>
      <c r="AD8" s="13"/>
      <c r="AE8" s="13"/>
    </row>
    <row r="9" spans="1:31" x14ac:dyDescent="0.25">
      <c r="B9" s="11"/>
      <c r="C9" s="11"/>
      <c r="D9" s="11"/>
      <c r="E9" s="11"/>
      <c r="F9" s="11"/>
      <c r="G9" s="11"/>
      <c r="H9" s="11"/>
      <c r="I9" s="11"/>
      <c r="J9" s="11"/>
      <c r="K9" s="11"/>
    </row>
    <row r="10" spans="1:31" x14ac:dyDescent="0.25">
      <c r="A10" s="7" t="s">
        <v>5</v>
      </c>
      <c r="B10" s="14" t="s">
        <v>6</v>
      </c>
      <c r="C10" s="14"/>
      <c r="D10" s="14" t="s">
        <v>7</v>
      </c>
    </row>
    <row r="11" spans="1:31" x14ac:dyDescent="0.25">
      <c r="B11" s="15">
        <f>SUMPRODUCT(InvCost,InvLevel)</f>
        <v>122500</v>
      </c>
      <c r="C11" s="16" t="s">
        <v>8</v>
      </c>
      <c r="D11" s="11">
        <v>123600</v>
      </c>
    </row>
    <row r="13" spans="1:31" x14ac:dyDescent="0.25">
      <c r="A13" s="8" t="s">
        <v>9</v>
      </c>
      <c r="B13" s="11">
        <f>SUMPRODUCT(NPV,InvLevel)</f>
        <v>568300</v>
      </c>
    </row>
    <row r="15" spans="1:31" x14ac:dyDescent="0.25">
      <c r="A15" s="7" t="s">
        <v>19</v>
      </c>
    </row>
    <row r="19" spans="1:2" x14ac:dyDescent="0.25">
      <c r="A19" s="6"/>
    </row>
    <row r="20" spans="1:2" x14ac:dyDescent="0.25">
      <c r="A20" s="27"/>
      <c r="B20" s="25"/>
    </row>
    <row r="21" spans="1:2" x14ac:dyDescent="0.25">
      <c r="A21" s="27"/>
      <c r="B21" s="26"/>
    </row>
    <row r="22" spans="1:2" x14ac:dyDescent="0.25">
      <c r="A22" s="27"/>
      <c r="B22" s="25"/>
    </row>
  </sheetData>
  <sortState columnSort="1" ref="B5:Z8">
    <sortCondition ref="B8"/>
  </sortState>
  <phoneticPr fontId="0" type="noConversion"/>
  <printOptions headings="1" gridLines="1"/>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autoFill="0" autoPict="0" macro="[0]!ViewReport">
                <anchor moveWithCells="1" sizeWithCells="1">
                  <from>
                    <xdr:col>1</xdr:col>
                    <xdr:colOff>200025</xdr:colOff>
                    <xdr:row>15</xdr:row>
                    <xdr:rowOff>114300</xdr:rowOff>
                  </from>
                  <to>
                    <xdr:col>4</xdr:col>
                    <xdr:colOff>571500</xdr:colOff>
                    <xdr:row>17</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Report">
    <pageSetUpPr fitToPage="1"/>
  </sheetPr>
  <dimension ref="B2:C26"/>
  <sheetViews>
    <sheetView showGridLines="0" workbookViewId="0"/>
  </sheetViews>
  <sheetFormatPr defaultRowHeight="15" x14ac:dyDescent="0.25"/>
  <cols>
    <col min="1" max="1" width="9.140625" style="1"/>
    <col min="2" max="2" width="12.85546875" style="1" customWidth="1"/>
    <col min="3" max="3" width="74.7109375" style="1" customWidth="1"/>
    <col min="4" max="4" width="14.42578125" style="1" customWidth="1"/>
    <col min="5" max="16384" width="9.140625" style="1"/>
  </cols>
  <sheetData>
    <row r="2" spans="2:3" x14ac:dyDescent="0.25">
      <c r="B2" s="2" t="s">
        <v>10</v>
      </c>
    </row>
    <row r="4" spans="2:3" x14ac:dyDescent="0.25">
      <c r="B4" s="1" t="s">
        <v>11</v>
      </c>
      <c r="C4" s="3" t="s">
        <v>20</v>
      </c>
    </row>
    <row r="5" spans="2:3" x14ac:dyDescent="0.25">
      <c r="B5" s="1" t="s">
        <v>12</v>
      </c>
      <c r="C5" s="4">
        <v>1100</v>
      </c>
    </row>
    <row r="6" spans="2:3" x14ac:dyDescent="0.25">
      <c r="B6" s="1" t="s">
        <v>9</v>
      </c>
      <c r="C6" s="4">
        <v>568300</v>
      </c>
    </row>
    <row r="8" spans="2:3" x14ac:dyDescent="0.25">
      <c r="B8" s="2" t="s">
        <v>16</v>
      </c>
    </row>
    <row r="10" spans="2:3" x14ac:dyDescent="0.25">
      <c r="B10" s="1" t="s">
        <v>11</v>
      </c>
      <c r="C10" s="3" t="s">
        <v>21</v>
      </c>
    </row>
    <row r="11" spans="2:3" x14ac:dyDescent="0.25">
      <c r="B11" s="1" t="s">
        <v>12</v>
      </c>
      <c r="C11" s="4">
        <v>5600</v>
      </c>
    </row>
    <row r="12" spans="2:3" x14ac:dyDescent="0.25">
      <c r="B12" s="1" t="s">
        <v>9</v>
      </c>
      <c r="C12" s="4">
        <v>557300</v>
      </c>
    </row>
    <row r="14" spans="2:3" x14ac:dyDescent="0.25">
      <c r="B14" s="2" t="s">
        <v>13</v>
      </c>
    </row>
    <row r="15" spans="2:3" x14ac:dyDescent="0.25">
      <c r="C15" s="5">
        <f>TotNPVHeur/TotNPVOpt</f>
        <v>0.98064402604258316</v>
      </c>
    </row>
    <row r="20" spans="2:3" x14ac:dyDescent="0.25">
      <c r="B20" s="2"/>
    </row>
    <row r="21" spans="2:3" x14ac:dyDescent="0.25">
      <c r="B21" s="28"/>
      <c r="C21" s="28"/>
    </row>
    <row r="22" spans="2:3" x14ac:dyDescent="0.25">
      <c r="B22" s="28"/>
      <c r="C22" s="28"/>
    </row>
    <row r="23" spans="2:3" x14ac:dyDescent="0.25">
      <c r="B23" s="28"/>
      <c r="C23" s="28"/>
    </row>
    <row r="24" spans="2:3" x14ac:dyDescent="0.25">
      <c r="B24" s="28"/>
      <c r="C24" s="28"/>
    </row>
    <row r="25" spans="2:3" x14ac:dyDescent="0.25">
      <c r="B25" s="28"/>
      <c r="C25" s="28"/>
    </row>
    <row r="26" spans="2:3" x14ac:dyDescent="0.25">
      <c r="B26" s="28"/>
      <c r="C26" s="28"/>
    </row>
  </sheetData>
  <phoneticPr fontId="0" type="noConversion"/>
  <printOptions headings="1"/>
  <pageMargins left="0.75" right="0.75" top="1" bottom="1" header="0.5" footer="0.5"/>
  <pageSetup scale="9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autoFill="0" autoLine="0" autoPict="0" macro="[0]!MainCapitalBudgeting">
                <anchor moveWithCells="1" sizeWithCells="1">
                  <from>
                    <xdr:col>1</xdr:col>
                    <xdr:colOff>9525</xdr:colOff>
                    <xdr:row>15</xdr:row>
                    <xdr:rowOff>76200</xdr:rowOff>
                  </from>
                  <to>
                    <xdr:col>2</xdr:col>
                    <xdr:colOff>1657350</xdr:colOff>
                    <xdr:row>17</xdr:row>
                    <xdr:rowOff>114300</xdr:rowOff>
                  </to>
                </anchor>
              </controlPr>
            </control>
          </mc:Choice>
        </mc:AlternateContent>
        <mc:AlternateContent xmlns:mc="http://schemas.openxmlformats.org/markup-compatibility/2006">
          <mc:Choice Requires="x14">
            <control shapeId="2050" r:id="rId5" name="Button 2">
              <controlPr defaultSize="0" autoFill="0" autoLine="0" autoPict="0" macro="[0]!ViewModel">
                <anchor moveWithCells="1" sizeWithCells="1">
                  <from>
                    <xdr:col>2</xdr:col>
                    <xdr:colOff>1743075</xdr:colOff>
                    <xdr:row>15</xdr:row>
                    <xdr:rowOff>76200</xdr:rowOff>
                  </from>
                  <to>
                    <xdr:col>2</xdr:col>
                    <xdr:colOff>3143250</xdr:colOff>
                    <xdr:row>17</xdr:row>
                    <xdr:rowOff>114300</xdr:rowOff>
                  </to>
                </anchor>
              </controlPr>
            </control>
          </mc:Choice>
        </mc:AlternateContent>
        <mc:AlternateContent xmlns:mc="http://schemas.openxmlformats.org/markup-compatibility/2006">
          <mc:Choice Requires="x14">
            <control shapeId="2051" r:id="rId6" name="Button 3">
              <controlPr defaultSize="0" autoFill="0" autoLine="0" autoPict="0" macro="[0]!ViewInteresting">
                <anchor moveWithCells="1" sizeWithCells="1">
                  <from>
                    <xdr:col>2</xdr:col>
                    <xdr:colOff>3248025</xdr:colOff>
                    <xdr:row>15</xdr:row>
                    <xdr:rowOff>76200</xdr:rowOff>
                  </from>
                  <to>
                    <xdr:col>2</xdr:col>
                    <xdr:colOff>4762500</xdr:colOff>
                    <xdr:row>17</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Interesting"/>
  <dimension ref="A1:AE14"/>
  <sheetViews>
    <sheetView workbookViewId="0"/>
  </sheetViews>
  <sheetFormatPr defaultRowHeight="15" x14ac:dyDescent="0.25"/>
  <cols>
    <col min="1" max="1" width="18.28515625" style="18" customWidth="1"/>
    <col min="2" max="16384" width="9.140625" style="18"/>
  </cols>
  <sheetData>
    <row r="1" spans="1:31" x14ac:dyDescent="0.25">
      <c r="A1" s="17" t="s">
        <v>14</v>
      </c>
    </row>
    <row r="3" spans="1:31" x14ac:dyDescent="0.25">
      <c r="C3" s="23"/>
      <c r="D3" s="23"/>
      <c r="E3" s="23"/>
      <c r="F3" s="23"/>
      <c r="G3" s="23"/>
      <c r="H3" s="23"/>
      <c r="I3" s="23"/>
      <c r="J3" s="23"/>
      <c r="K3" s="23"/>
    </row>
    <row r="4" spans="1:31" x14ac:dyDescent="0.25">
      <c r="A4" s="24" t="s">
        <v>0</v>
      </c>
      <c r="B4" s="18">
        <v>1</v>
      </c>
      <c r="C4" s="18">
        <v>2</v>
      </c>
      <c r="D4" s="18">
        <v>3</v>
      </c>
      <c r="E4" s="18">
        <v>4</v>
      </c>
      <c r="F4" s="18">
        <v>5</v>
      </c>
      <c r="G4" s="18">
        <v>6</v>
      </c>
      <c r="H4" s="18">
        <v>7</v>
      </c>
      <c r="I4" s="18">
        <v>8</v>
      </c>
      <c r="J4" s="18">
        <v>9</v>
      </c>
      <c r="K4" s="18">
        <v>10</v>
      </c>
      <c r="L4" s="18">
        <v>11</v>
      </c>
      <c r="M4" s="18">
        <v>12</v>
      </c>
      <c r="N4" s="18">
        <v>13</v>
      </c>
      <c r="O4" s="18">
        <v>14</v>
      </c>
      <c r="P4" s="18">
        <v>15</v>
      </c>
      <c r="Q4" s="18">
        <v>16</v>
      </c>
      <c r="R4" s="18">
        <v>17</v>
      </c>
      <c r="S4" s="18">
        <v>18</v>
      </c>
      <c r="T4" s="18">
        <v>19</v>
      </c>
      <c r="U4" s="18">
        <v>20</v>
      </c>
      <c r="V4" s="18">
        <v>21</v>
      </c>
      <c r="W4" s="18">
        <v>22</v>
      </c>
      <c r="X4" s="18">
        <v>23</v>
      </c>
      <c r="Y4" s="18">
        <v>24</v>
      </c>
      <c r="Z4" s="18">
        <v>25</v>
      </c>
      <c r="AA4" s="18">
        <v>26</v>
      </c>
      <c r="AB4" s="18">
        <v>27</v>
      </c>
      <c r="AC4" s="18">
        <v>28</v>
      </c>
      <c r="AD4" s="18">
        <v>29</v>
      </c>
      <c r="AE4" s="18">
        <v>30</v>
      </c>
    </row>
    <row r="5" spans="1:31" x14ac:dyDescent="0.25">
      <c r="A5" s="18" t="s">
        <v>1</v>
      </c>
      <c r="B5" s="19">
        <v>0</v>
      </c>
      <c r="C5" s="19">
        <v>0</v>
      </c>
      <c r="D5" s="19">
        <v>0</v>
      </c>
      <c r="E5" s="19">
        <v>1</v>
      </c>
      <c r="F5" s="19">
        <v>0</v>
      </c>
      <c r="G5" s="19">
        <v>0</v>
      </c>
      <c r="H5" s="19">
        <v>0</v>
      </c>
      <c r="I5" s="19">
        <v>0</v>
      </c>
      <c r="J5" s="19">
        <v>0</v>
      </c>
      <c r="K5" s="19">
        <v>1</v>
      </c>
      <c r="L5" s="19">
        <v>0</v>
      </c>
      <c r="M5" s="19">
        <v>0</v>
      </c>
      <c r="N5" s="19">
        <v>0</v>
      </c>
      <c r="O5" s="19">
        <v>0</v>
      </c>
      <c r="P5" s="19">
        <v>0</v>
      </c>
      <c r="Q5" s="19">
        <v>1</v>
      </c>
      <c r="R5" s="19">
        <v>1</v>
      </c>
      <c r="S5" s="19">
        <v>1</v>
      </c>
      <c r="T5" s="19">
        <v>1</v>
      </c>
      <c r="U5" s="19">
        <v>1</v>
      </c>
      <c r="V5" s="19">
        <v>1</v>
      </c>
      <c r="W5" s="19">
        <v>1</v>
      </c>
      <c r="X5" s="19">
        <v>1</v>
      </c>
      <c r="Y5" s="19">
        <v>1</v>
      </c>
      <c r="Z5" s="19">
        <v>1</v>
      </c>
      <c r="AA5" s="19">
        <v>1</v>
      </c>
      <c r="AB5" s="19">
        <v>1</v>
      </c>
      <c r="AC5" s="19">
        <v>1</v>
      </c>
      <c r="AD5" s="19">
        <v>1</v>
      </c>
      <c r="AE5" s="19">
        <v>1</v>
      </c>
    </row>
    <row r="7" spans="1:31" x14ac:dyDescent="0.25">
      <c r="A7" s="18" t="s">
        <v>2</v>
      </c>
      <c r="B7" s="18">
        <v>31500</v>
      </c>
      <c r="C7" s="18">
        <v>23000</v>
      </c>
      <c r="D7" s="20">
        <v>22600</v>
      </c>
      <c r="E7" s="18">
        <v>25800</v>
      </c>
      <c r="F7" s="18">
        <v>28900</v>
      </c>
      <c r="G7" s="18">
        <v>18200</v>
      </c>
      <c r="H7" s="20">
        <v>27600</v>
      </c>
      <c r="I7" s="18">
        <v>24000</v>
      </c>
      <c r="J7" s="18">
        <v>26500</v>
      </c>
      <c r="K7" s="18">
        <v>30100</v>
      </c>
      <c r="L7" s="20">
        <v>27000</v>
      </c>
      <c r="M7" s="20">
        <v>29500</v>
      </c>
      <c r="N7" s="18">
        <v>25200</v>
      </c>
      <c r="O7" s="18">
        <v>12800</v>
      </c>
      <c r="P7" s="20">
        <v>20900</v>
      </c>
      <c r="Q7" s="18">
        <v>23100</v>
      </c>
      <c r="R7" s="20">
        <v>21200</v>
      </c>
      <c r="S7" s="18">
        <v>23100</v>
      </c>
      <c r="T7" s="18">
        <v>33400</v>
      </c>
      <c r="U7" s="20">
        <v>22600</v>
      </c>
      <c r="V7" s="18">
        <v>27900</v>
      </c>
      <c r="W7" s="18">
        <v>34400</v>
      </c>
      <c r="X7" s="18">
        <v>29000</v>
      </c>
      <c r="Y7" s="18">
        <v>29200</v>
      </c>
      <c r="Z7" s="20">
        <v>25200</v>
      </c>
      <c r="AA7" s="20">
        <v>21800</v>
      </c>
      <c r="AB7" s="18">
        <v>17400</v>
      </c>
      <c r="AC7" s="20">
        <v>22200</v>
      </c>
      <c r="AD7" s="18">
        <v>16200</v>
      </c>
      <c r="AE7" s="18">
        <v>26400</v>
      </c>
    </row>
    <row r="8" spans="1:31" x14ac:dyDescent="0.25">
      <c r="A8" s="18" t="s">
        <v>3</v>
      </c>
      <c r="B8" s="18">
        <v>12400</v>
      </c>
      <c r="C8" s="18">
        <v>9000</v>
      </c>
      <c r="D8" s="20">
        <v>8500</v>
      </c>
      <c r="E8" s="18">
        <v>8500</v>
      </c>
      <c r="F8" s="18">
        <v>9400</v>
      </c>
      <c r="G8" s="18">
        <v>5900</v>
      </c>
      <c r="H8" s="20">
        <v>8600</v>
      </c>
      <c r="I8" s="18">
        <v>7300</v>
      </c>
      <c r="J8" s="18">
        <v>7900</v>
      </c>
      <c r="K8" s="18">
        <v>8600</v>
      </c>
      <c r="L8" s="20">
        <v>7600</v>
      </c>
      <c r="M8" s="20">
        <v>8300</v>
      </c>
      <c r="N8" s="18">
        <v>7000</v>
      </c>
      <c r="O8" s="18">
        <v>2900</v>
      </c>
      <c r="P8" s="20">
        <v>4700</v>
      </c>
      <c r="Q8" s="18">
        <v>5000</v>
      </c>
      <c r="R8" s="20">
        <v>4400</v>
      </c>
      <c r="S8" s="18">
        <v>4700</v>
      </c>
      <c r="T8" s="18">
        <v>6700</v>
      </c>
      <c r="U8" s="20">
        <v>4500</v>
      </c>
      <c r="V8" s="18">
        <v>5100</v>
      </c>
      <c r="W8" s="18">
        <v>6200</v>
      </c>
      <c r="X8" s="18">
        <v>5100</v>
      </c>
      <c r="Y8" s="18">
        <v>5100</v>
      </c>
      <c r="Z8" s="20">
        <v>4300</v>
      </c>
      <c r="AA8" s="20">
        <v>2800</v>
      </c>
      <c r="AB8" s="18">
        <v>2200</v>
      </c>
      <c r="AC8" s="20">
        <v>2700</v>
      </c>
      <c r="AD8" s="18">
        <v>1800</v>
      </c>
      <c r="AE8" s="18">
        <v>2800</v>
      </c>
    </row>
    <row r="9" spans="1:31" x14ac:dyDescent="0.25">
      <c r="A9" s="18" t="s">
        <v>4</v>
      </c>
      <c r="B9" s="21">
        <f t="shared" ref="B9:AE9" si="0">NPV/Cost</f>
        <v>2.5403225806451615</v>
      </c>
      <c r="C9" s="21">
        <f t="shared" si="0"/>
        <v>2.5555555555555554</v>
      </c>
      <c r="D9" s="21">
        <f t="shared" si="0"/>
        <v>2.6588235294117646</v>
      </c>
      <c r="E9" s="21">
        <f t="shared" si="0"/>
        <v>3.0352941176470587</v>
      </c>
      <c r="F9" s="21">
        <f t="shared" si="0"/>
        <v>3.0744680851063828</v>
      </c>
      <c r="G9" s="21">
        <f t="shared" si="0"/>
        <v>3.0847457627118646</v>
      </c>
      <c r="H9" s="21">
        <f t="shared" si="0"/>
        <v>3.2093023255813953</v>
      </c>
      <c r="I9" s="21">
        <f t="shared" si="0"/>
        <v>3.2876712328767121</v>
      </c>
      <c r="J9" s="21">
        <f t="shared" si="0"/>
        <v>3.3544303797468356</v>
      </c>
      <c r="K9" s="21">
        <f t="shared" si="0"/>
        <v>3.5</v>
      </c>
      <c r="L9" s="21">
        <f t="shared" si="0"/>
        <v>3.5526315789473686</v>
      </c>
      <c r="M9" s="21">
        <f t="shared" si="0"/>
        <v>3.5542168674698793</v>
      </c>
      <c r="N9" s="21">
        <f t="shared" si="0"/>
        <v>3.6</v>
      </c>
      <c r="O9" s="21">
        <f t="shared" si="0"/>
        <v>4.4137931034482758</v>
      </c>
      <c r="P9" s="21">
        <f t="shared" si="0"/>
        <v>4.4468085106382977</v>
      </c>
      <c r="Q9" s="21">
        <f t="shared" si="0"/>
        <v>4.62</v>
      </c>
      <c r="R9" s="21">
        <f t="shared" si="0"/>
        <v>4.8181818181818183</v>
      </c>
      <c r="S9" s="21">
        <f t="shared" si="0"/>
        <v>4.9148936170212769</v>
      </c>
      <c r="T9" s="21">
        <f t="shared" si="0"/>
        <v>4.9850746268656714</v>
      </c>
      <c r="U9" s="21">
        <f t="shared" si="0"/>
        <v>5.0222222222222221</v>
      </c>
      <c r="V9" s="21">
        <f t="shared" si="0"/>
        <v>5.4705882352941178</v>
      </c>
      <c r="W9" s="21">
        <f t="shared" si="0"/>
        <v>5.5483870967741939</v>
      </c>
      <c r="X9" s="21">
        <f t="shared" si="0"/>
        <v>5.6862745098039218</v>
      </c>
      <c r="Y9" s="21">
        <f t="shared" si="0"/>
        <v>5.7254901960784315</v>
      </c>
      <c r="Z9" s="21">
        <f t="shared" si="0"/>
        <v>5.8604651162790695</v>
      </c>
      <c r="AA9" s="21">
        <f t="shared" si="0"/>
        <v>7.7857142857142856</v>
      </c>
      <c r="AB9" s="21">
        <f t="shared" si="0"/>
        <v>7.9090909090909092</v>
      </c>
      <c r="AC9" s="21">
        <f t="shared" si="0"/>
        <v>8.2222222222222214</v>
      </c>
      <c r="AD9" s="21">
        <f t="shared" si="0"/>
        <v>9</v>
      </c>
      <c r="AE9" s="21">
        <f t="shared" si="0"/>
        <v>9.4285714285714288</v>
      </c>
    </row>
    <row r="10" spans="1:31" x14ac:dyDescent="0.25">
      <c r="B10" s="20"/>
      <c r="C10" s="20"/>
      <c r="D10" s="20"/>
      <c r="E10" s="20"/>
      <c r="F10" s="20"/>
      <c r="G10" s="20"/>
      <c r="H10" s="20"/>
      <c r="I10" s="20"/>
      <c r="J10" s="20"/>
      <c r="K10" s="20"/>
    </row>
    <row r="11" spans="1:31" x14ac:dyDescent="0.25">
      <c r="A11" s="18" t="s">
        <v>5</v>
      </c>
      <c r="B11" s="22" t="s">
        <v>6</v>
      </c>
      <c r="C11" s="22"/>
      <c r="D11" s="22" t="s">
        <v>7</v>
      </c>
    </row>
    <row r="12" spans="1:31" x14ac:dyDescent="0.25">
      <c r="B12" s="20">
        <f>SUMPRODUCT(Cost,Level)</f>
        <v>80500</v>
      </c>
      <c r="C12" s="23" t="s">
        <v>8</v>
      </c>
      <c r="D12" s="20">
        <v>80500</v>
      </c>
    </row>
    <row r="14" spans="1:31" x14ac:dyDescent="0.25">
      <c r="A14" s="24" t="s">
        <v>9</v>
      </c>
      <c r="B14" s="20">
        <f>SUMPRODUCT(Level,NPV)</f>
        <v>429000</v>
      </c>
    </row>
  </sheetData>
  <phoneticPr fontId="0" type="noConversion"/>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iewReport">
                <anchor moveWithCells="1" sizeWithCells="1">
                  <from>
                    <xdr:col>0</xdr:col>
                    <xdr:colOff>914400</xdr:colOff>
                    <xdr:row>15</xdr:row>
                    <xdr:rowOff>104775</xdr:rowOff>
                  </from>
                  <to>
                    <xdr:col>4</xdr:col>
                    <xdr:colOff>257175</xdr:colOff>
                    <xdr:row>17</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20</vt:i4>
      </vt:variant>
    </vt:vector>
  </HeadingPairs>
  <TitlesOfParts>
    <vt:vector size="24" baseType="lpstr">
      <vt:lpstr>Explanation</vt:lpstr>
      <vt:lpstr>Model</vt:lpstr>
      <vt:lpstr>Report</vt:lpstr>
      <vt:lpstr>Interesting</vt:lpstr>
      <vt:lpstr>Interesting!Budget</vt:lpstr>
      <vt:lpstr>Model!Budget</vt:lpstr>
      <vt:lpstr>Interesting!Cost</vt:lpstr>
      <vt:lpstr>Model!InvCost</vt:lpstr>
      <vt:lpstr>Report!InvestHeur</vt:lpstr>
      <vt:lpstr>Report!InvestOpt</vt:lpstr>
      <vt:lpstr>Model!InvLevel</vt:lpstr>
      <vt:lpstr>Report!LeftoverHeur</vt:lpstr>
      <vt:lpstr>Report!LeftoverOpt</vt:lpstr>
      <vt:lpstr>Interesting!Level</vt:lpstr>
      <vt:lpstr>Interesting!NPV</vt:lpstr>
      <vt:lpstr>Model!NPV</vt:lpstr>
      <vt:lpstr>Model!Print_Area</vt:lpstr>
      <vt:lpstr>Interesting!SortRange</vt:lpstr>
      <vt:lpstr>Interesting!TotCost</vt:lpstr>
      <vt:lpstr>Model!TotCost</vt:lpstr>
      <vt:lpstr>Interesting!TotNPV</vt:lpstr>
      <vt:lpstr>Model!TotNPV</vt:lpstr>
      <vt:lpstr>Report!TotNPVHeur</vt:lpstr>
      <vt:lpstr>Report!TotNPVOpt</vt:lpstr>
    </vt:vector>
  </TitlesOfParts>
  <Company>Indiana University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Chris Albright</cp:lastModifiedBy>
  <cp:lastPrinted>2011-01-25T22:54:59Z</cp:lastPrinted>
  <dcterms:created xsi:type="dcterms:W3CDTF">1996-10-23T20:02:33Z</dcterms:created>
  <dcterms:modified xsi:type="dcterms:W3CDTF">2015-02-09T17:37:25Z</dcterms:modified>
</cp:coreProperties>
</file>