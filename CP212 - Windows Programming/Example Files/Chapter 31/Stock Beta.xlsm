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31\"/>
    </mc:Choice>
  </mc:AlternateContent>
  <bookViews>
    <workbookView xWindow="0" yWindow="2445" windowWidth="12000" windowHeight="5550" activeTab="1"/>
  </bookViews>
  <sheets>
    <sheet name="Explanation" sheetId="485" r:id="rId1"/>
    <sheet name="Model" sheetId="117" r:id="rId2"/>
    <sheet name="TimeSeriesChart" sheetId="486" state="hidden" r:id="rId3"/>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AbsErrs" localSheetId="1">Model!$G$11:$G$70</definedName>
    <definedName name="Alpha" localSheetId="1">Model!$B$4</definedName>
    <definedName name="AlphaBeta" localSheetId="1">Model!$B$4:$B$5</definedName>
    <definedName name="Beta" localSheetId="1">Model!$B$5</definedName>
    <definedName name="Companies" localSheetId="1">Model!$AA$2:$AB$28</definedName>
    <definedName name="Objective" localSheetId="1">Model!$K$11</definedName>
    <definedName name="_xlnm.Print_Area" localSheetId="1">Model!$AA$1:$AB$19</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5</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olver_adj" localSheetId="1" hidden="1">Model!$B$4:$B$5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bd" localSheetId="1" hidden="1">2</definedName>
    <definedName name="solver_itr" localSheetId="1" hidden="1">1000</definedName>
    <definedName name="solver_lin" localSheetId="1" hidden="1">2</definedName>
    <definedName name="solver_lva" localSheetId="1" hidden="1">2</definedName>
    <definedName name="solver_mip" localSheetId="1" hidden="1">1000</definedName>
    <definedName name="solver_mni" localSheetId="1" hidden="1">30</definedName>
    <definedName name="solver_mrt" localSheetId="1" hidden="1">0.075</definedName>
    <definedName name="solver_neg" localSheetId="1" hidden="1">2</definedName>
    <definedName name="solver_nod" localSheetId="1" hidden="1">1000</definedName>
    <definedName name="solver_num" localSheetId="1" hidden="1">0</definedName>
    <definedName name="solver_nwt" localSheetId="1" hidden="1">1</definedName>
    <definedName name="solver_ofx" localSheetId="1" hidden="1">2</definedName>
    <definedName name="solver_opt" localSheetId="1" hidden="1">Model!$K$11</definedName>
    <definedName name="solver_piv" localSheetId="1" hidden="1">0.000001</definedName>
    <definedName name="solver_pre" localSheetId="1" hidden="1">0.000001</definedName>
    <definedName name="solver_pro" localSheetId="1" hidden="1">2</definedName>
    <definedName name="solver_rbv" localSheetId="1" hidden="1">1</definedName>
    <definedName name="solver_red" localSheetId="1" hidden="1">0.000001</definedName>
    <definedName name="solver_reo" localSheetId="1" hidden="1">2</definedName>
    <definedName name="solver_rep" localSheetId="1" hidden="1">2</definedName>
    <definedName name="solver_rlx" localSheetId="1" hidden="1">2</definedName>
    <definedName name="solver_scl" localSheetId="1" hidden="1">2</definedName>
    <definedName name="solver_sho" localSheetId="1" hidden="1">2</definedName>
    <definedName name="solver_ssz" localSheetId="1" hidden="1">100</definedName>
    <definedName name="solver_std" localSheetId="1" hidden="1">0</definedName>
    <definedName name="solver_tim" localSheetId="1" hidden="1">100</definedName>
    <definedName name="solver_tol" localSheetId="1" hidden="1">0.05</definedName>
    <definedName name="solver_typ" localSheetId="1" hidden="1">2</definedName>
    <definedName name="solver_val" localSheetId="1" hidden="1">0</definedName>
    <definedName name="solver_ver" localSheetId="1" hidden="1">3</definedName>
    <definedName name="SqErrs" localSheetId="1">Model!$F$11:$F$70</definedName>
    <definedName name="Weight" localSheetId="1">Model!$B$7</definedName>
    <definedName name="Weights" localSheetId="1">Model!$H$11:$H$58</definedName>
  </definedNames>
  <calcPr calcId="152511"/>
</workbook>
</file>

<file path=xl/calcChain.xml><?xml version="1.0" encoding="utf-8"?>
<calcChain xmlns="http://schemas.openxmlformats.org/spreadsheetml/2006/main">
  <c r="D11" i="117" l="1"/>
  <c r="E11" i="117" s="1"/>
  <c r="D12" i="117"/>
  <c r="E12" i="117" s="1"/>
  <c r="D13" i="117"/>
  <c r="E13" i="117" s="1"/>
  <c r="D14" i="117"/>
  <c r="E14" i="117" s="1"/>
  <c r="D15" i="117"/>
  <c r="E15" i="117" s="1"/>
  <c r="D16" i="117"/>
  <c r="E16" i="117" s="1"/>
  <c r="D17" i="117"/>
  <c r="E17" i="117" s="1"/>
  <c r="F17" i="117" s="1"/>
  <c r="D18" i="117"/>
  <c r="E18" i="117" s="1"/>
  <c r="D19" i="117"/>
  <c r="E19" i="117" s="1"/>
  <c r="D20" i="117"/>
  <c r="E20" i="117" s="1"/>
  <c r="D21" i="117"/>
  <c r="E21" i="117" s="1"/>
  <c r="D22" i="117"/>
  <c r="E22" i="117" s="1"/>
  <c r="D23" i="117"/>
  <c r="E23" i="117" s="1"/>
  <c r="D24" i="117"/>
  <c r="E24" i="117" s="1"/>
  <c r="D25" i="117"/>
  <c r="E25" i="117" s="1"/>
  <c r="F25" i="117" s="1"/>
  <c r="D26" i="117"/>
  <c r="E26" i="117" s="1"/>
  <c r="D27" i="117"/>
  <c r="E27" i="117" s="1"/>
  <c r="D28" i="117"/>
  <c r="E28" i="117" s="1"/>
  <c r="D29" i="117"/>
  <c r="E29" i="117" s="1"/>
  <c r="D30" i="117"/>
  <c r="E30" i="117" s="1"/>
  <c r="D31" i="117"/>
  <c r="E31" i="117" s="1"/>
  <c r="D32" i="117"/>
  <c r="E32" i="117" s="1"/>
  <c r="D33" i="117"/>
  <c r="E33" i="117" s="1"/>
  <c r="F33" i="117" s="1"/>
  <c r="D34" i="117"/>
  <c r="E34" i="117" s="1"/>
  <c r="D35" i="117"/>
  <c r="E35" i="117" s="1"/>
  <c r="D36" i="117"/>
  <c r="E36" i="117" s="1"/>
  <c r="D37" i="117"/>
  <c r="E37" i="117" s="1"/>
  <c r="D38" i="117"/>
  <c r="E38" i="117" s="1"/>
  <c r="D39" i="117"/>
  <c r="E39" i="117" s="1"/>
  <c r="D40" i="117"/>
  <c r="E40" i="117" s="1"/>
  <c r="D41" i="117"/>
  <c r="E41" i="117" s="1"/>
  <c r="D42" i="117"/>
  <c r="E42" i="117" s="1"/>
  <c r="D43" i="117"/>
  <c r="E43" i="117" s="1"/>
  <c r="D44" i="117"/>
  <c r="E44" i="117" s="1"/>
  <c r="D45" i="117"/>
  <c r="E45" i="117" s="1"/>
  <c r="D46" i="117"/>
  <c r="E46" i="117" s="1"/>
  <c r="D47" i="117"/>
  <c r="E47" i="117" s="1"/>
  <c r="D48" i="117"/>
  <c r="E48" i="117" s="1"/>
  <c r="D49" i="117"/>
  <c r="E49" i="117" s="1"/>
  <c r="D50" i="117"/>
  <c r="E50" i="117" s="1"/>
  <c r="D51" i="117"/>
  <c r="E51" i="117" s="1"/>
  <c r="D52" i="117"/>
  <c r="E52" i="117" s="1"/>
  <c r="D53" i="117"/>
  <c r="E53" i="117" s="1"/>
  <c r="D54" i="117"/>
  <c r="E54" i="117" s="1"/>
  <c r="D55" i="117"/>
  <c r="E55" i="117" s="1"/>
  <c r="D56" i="117"/>
  <c r="E56" i="117" s="1"/>
  <c r="D57" i="117"/>
  <c r="E57" i="117" s="1"/>
  <c r="D58" i="117"/>
  <c r="E58" i="117" s="1"/>
  <c r="D59" i="117"/>
  <c r="E59" i="117" s="1"/>
  <c r="D60" i="117"/>
  <c r="E60" i="117" s="1"/>
  <c r="D61" i="117"/>
  <c r="E61" i="117" s="1"/>
  <c r="D62" i="117"/>
  <c r="E62" i="117" s="1"/>
  <c r="D63" i="117"/>
  <c r="E63" i="117" s="1"/>
  <c r="D64" i="117"/>
  <c r="E64" i="117" s="1"/>
  <c r="D65" i="117"/>
  <c r="E65" i="117" s="1"/>
  <c r="D66" i="117"/>
  <c r="E66" i="117" s="1"/>
  <c r="D67" i="117"/>
  <c r="E67" i="117" s="1"/>
  <c r="D68" i="117"/>
  <c r="E68" i="117" s="1"/>
  <c r="D69" i="117"/>
  <c r="E69" i="117" s="1"/>
  <c r="D70" i="117"/>
  <c r="E70" i="117" s="1"/>
  <c r="G36" i="117" l="1"/>
  <c r="F36" i="117"/>
  <c r="G66" i="117"/>
  <c r="F66" i="117"/>
  <c r="G26" i="117"/>
  <c r="F26" i="117"/>
  <c r="F65" i="117"/>
  <c r="G65" i="117"/>
  <c r="F49" i="117"/>
  <c r="G49" i="117"/>
  <c r="F56" i="117"/>
  <c r="G56" i="117"/>
  <c r="F40" i="117"/>
  <c r="G40" i="117"/>
  <c r="G32" i="117"/>
  <c r="F32" i="117"/>
  <c r="F24" i="117"/>
  <c r="G24" i="117"/>
  <c r="G16" i="117"/>
  <c r="F16" i="117"/>
  <c r="G63" i="117"/>
  <c r="F63" i="117"/>
  <c r="F55" i="117"/>
  <c r="G55" i="117"/>
  <c r="G47" i="117"/>
  <c r="F47" i="117"/>
  <c r="F39" i="117"/>
  <c r="G39" i="117"/>
  <c r="G31" i="117"/>
  <c r="F31" i="117"/>
  <c r="F23" i="117"/>
  <c r="G23" i="117"/>
  <c r="G15" i="117"/>
  <c r="F15" i="117"/>
  <c r="G28" i="117"/>
  <c r="F28" i="117"/>
  <c r="G58" i="117"/>
  <c r="F58" i="117"/>
  <c r="G18" i="117"/>
  <c r="F18" i="117"/>
  <c r="F57" i="117"/>
  <c r="G57" i="117"/>
  <c r="G64" i="117"/>
  <c r="F64" i="117"/>
  <c r="G48" i="117"/>
  <c r="F48" i="117"/>
  <c r="F70" i="117"/>
  <c r="G70" i="117"/>
  <c r="F62" i="117"/>
  <c r="G62" i="117"/>
  <c r="F54" i="117"/>
  <c r="G54" i="117"/>
  <c r="F46" i="117"/>
  <c r="G46" i="117"/>
  <c r="F38" i="117"/>
  <c r="G38" i="117"/>
  <c r="F30" i="117"/>
  <c r="G30" i="117"/>
  <c r="F22" i="117"/>
  <c r="G22" i="117"/>
  <c r="F14" i="117"/>
  <c r="G14" i="117"/>
  <c r="G53" i="117"/>
  <c r="F53" i="117"/>
  <c r="G37" i="117"/>
  <c r="F37" i="117"/>
  <c r="G29" i="117"/>
  <c r="F29" i="117"/>
  <c r="G21" i="117"/>
  <c r="F21" i="117"/>
  <c r="G13" i="117"/>
  <c r="F13" i="117"/>
  <c r="F44" i="117"/>
  <c r="G44" i="117"/>
  <c r="F20" i="117"/>
  <c r="G20" i="117"/>
  <c r="G12" i="117"/>
  <c r="F12" i="117"/>
  <c r="G69" i="117"/>
  <c r="F69" i="117"/>
  <c r="G45" i="117"/>
  <c r="F45" i="117"/>
  <c r="G67" i="117"/>
  <c r="F67" i="117"/>
  <c r="G51" i="117"/>
  <c r="F51" i="117"/>
  <c r="F43" i="117"/>
  <c r="G43" i="117"/>
  <c r="G35" i="117"/>
  <c r="F35" i="117"/>
  <c r="F27" i="117"/>
  <c r="G27" i="117"/>
  <c r="G19" i="117"/>
  <c r="F19" i="117"/>
  <c r="F11" i="117"/>
  <c r="G11" i="117"/>
  <c r="G68" i="117"/>
  <c r="F68" i="117"/>
  <c r="G42" i="117"/>
  <c r="F42" i="117"/>
  <c r="G61" i="117"/>
  <c r="F61" i="117"/>
  <c r="G52" i="117"/>
  <c r="F52" i="117"/>
  <c r="F59" i="117"/>
  <c r="G59" i="117"/>
  <c r="G50" i="117"/>
  <c r="F50" i="117"/>
  <c r="F41" i="117"/>
  <c r="G41" i="117"/>
  <c r="F60" i="117"/>
  <c r="G60" i="117"/>
  <c r="G34" i="117"/>
  <c r="F34" i="117"/>
  <c r="G33" i="117"/>
  <c r="G25" i="117"/>
  <c r="G17" i="117"/>
  <c r="K11" i="117" l="1"/>
</calcChain>
</file>

<file path=xl/comments1.xml><?xml version="1.0" encoding="utf-8"?>
<comments xmlns="http://schemas.openxmlformats.org/spreadsheetml/2006/main">
  <authors>
    <author>Chris Albright</author>
  </authors>
  <commentList>
    <comment ref="A7" authorId="0" shapeId="0">
      <text>
        <r>
          <rPr>
            <b/>
            <sz val="8"/>
            <color indexed="81"/>
            <rFont val="Tahoma"/>
            <family val="2"/>
          </rPr>
          <t>Relevant only if weighted sum of squared errors method is used</t>
        </r>
        <r>
          <rPr>
            <sz val="8"/>
            <color indexed="81"/>
            <rFont val="Tahoma"/>
            <family val="2"/>
          </rPr>
          <t xml:space="preserve">
</t>
        </r>
      </text>
    </comment>
  </commentList>
</comments>
</file>

<file path=xl/sharedStrings.xml><?xml version="1.0" encoding="utf-8"?>
<sst xmlns="http://schemas.openxmlformats.org/spreadsheetml/2006/main" count="75" uniqueCount="73">
  <si>
    <t>Date</t>
  </si>
  <si>
    <t>Parameters</t>
  </si>
  <si>
    <t>Alpha</t>
  </si>
  <si>
    <t>Beta</t>
  </si>
  <si>
    <t>Predicted</t>
  </si>
  <si>
    <t>SqError</t>
  </si>
  <si>
    <t>Error</t>
  </si>
  <si>
    <t>AbsError</t>
  </si>
  <si>
    <t>Mkt return</t>
  </si>
  <si>
    <t>Stock return</t>
  </si>
  <si>
    <t>Weighting constant</t>
  </si>
  <si>
    <t>Optimization model</t>
  </si>
  <si>
    <t>Application for Estimating Stock Betas</t>
  </si>
  <si>
    <t>Symbol</t>
  </si>
  <si>
    <t>Name</t>
  </si>
  <si>
    <t>AA</t>
  </si>
  <si>
    <t>Aluminum Company of America</t>
  </si>
  <si>
    <t>AAPL</t>
  </si>
  <si>
    <t>Apple</t>
  </si>
  <si>
    <t>BA</t>
  </si>
  <si>
    <t>Boeing</t>
  </si>
  <si>
    <t>CAT</t>
  </si>
  <si>
    <t>Caterpillar</t>
  </si>
  <si>
    <t>DD</t>
  </si>
  <si>
    <t>DuPont</t>
  </si>
  <si>
    <t>DIS</t>
  </si>
  <si>
    <t>Disney</t>
  </si>
  <si>
    <t>FDX</t>
  </si>
  <si>
    <t>Federal Express</t>
  </si>
  <si>
    <t>GE</t>
  </si>
  <si>
    <t>General Electric</t>
  </si>
  <si>
    <t>IBM</t>
  </si>
  <si>
    <t>JNJ</t>
  </si>
  <si>
    <t>Johnson &amp; Johnson</t>
  </si>
  <si>
    <t>KO</t>
  </si>
  <si>
    <t>Coca Cola</t>
  </si>
  <si>
    <t>MCD</t>
  </si>
  <si>
    <t>MO</t>
  </si>
  <si>
    <t>MRK</t>
  </si>
  <si>
    <t>Merck</t>
  </si>
  <si>
    <t>MSFT</t>
  </si>
  <si>
    <t>Microsoft</t>
  </si>
  <si>
    <t>T</t>
  </si>
  <si>
    <t>AT&amp;T</t>
  </si>
  <si>
    <t>WMT</t>
  </si>
  <si>
    <t>Walmart</t>
  </si>
  <si>
    <t>Objective for optimization</t>
  </si>
  <si>
    <t>AXP</t>
  </si>
  <si>
    <t>American Express</t>
  </si>
  <si>
    <t>CSCO</t>
  </si>
  <si>
    <t>Cisco</t>
  </si>
  <si>
    <t>CVX</t>
  </si>
  <si>
    <t>Chevron</t>
  </si>
  <si>
    <t>GT</t>
  </si>
  <si>
    <t>Goodyear</t>
  </si>
  <si>
    <t>HPQ</t>
  </si>
  <si>
    <t>Hewlett Packard</t>
  </si>
  <si>
    <t>International Business Machines</t>
  </si>
  <si>
    <t>IP</t>
  </si>
  <si>
    <t>International Paper</t>
  </si>
  <si>
    <t>JPM</t>
  </si>
  <si>
    <t>JPMorgan Chase</t>
  </si>
  <si>
    <t>McDonalds</t>
  </si>
  <si>
    <t>MMM</t>
  </si>
  <si>
    <t>3M</t>
  </si>
  <si>
    <t>Altria Group</t>
  </si>
  <si>
    <t>PG</t>
  </si>
  <si>
    <t>Procter &amp; Gamble</t>
  </si>
  <si>
    <t>UTX</t>
  </si>
  <si>
    <t>United Technologies</t>
  </si>
  <si>
    <t>Estimation model for Cisco: period from 01/2009 to 12/2013, sum of squared errors estimation method</t>
  </si>
  <si>
    <t>NA</t>
  </si>
  <si>
    <t>SSE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</si>
</sst>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
    <numFmt numFmtId="165" formatCode="0.0000"/>
    <numFmt numFmtId="166" formatCode="[$-409]mmm\-yy;@"/>
    <numFmt numFmtId="167" formatCode="mmm\-yyyy"/>
  </numFmts>
  <fonts count="8" x14ac:knownFonts="1">
    <font>
      <sz val="11"/>
      <name val="Calibri"/>
      <family val="2"/>
      <scheme val="minor"/>
    </font>
    <font>
      <sz val="8"/>
      <color indexed="81"/>
      <name val="Tahoma"/>
      <family val="2"/>
    </font>
    <font>
      <b/>
      <sz val="8"/>
      <color indexed="81"/>
      <name val="Tahoma"/>
      <family val="2"/>
    </font>
    <font>
      <sz val="10"/>
      <name val="Arial"/>
      <family val="2"/>
    </font>
    <font>
      <sz val="11"/>
      <name val="Calibri"/>
      <family val="2"/>
      <scheme val="minor"/>
    </font>
    <font>
      <b/>
      <sz val="14"/>
      <name val="Calibri"/>
      <family val="2"/>
      <scheme val="minor"/>
    </font>
    <font>
      <b/>
      <sz val="11"/>
      <name val="Calibri"/>
      <family val="2"/>
      <scheme val="minor"/>
    </font>
    <font>
      <sz val="11"/>
      <color rgb="FF000000"/>
      <name val="Calibri"/>
      <family val="2"/>
    </font>
  </fonts>
  <fills count="3">
    <fill>
      <patternFill patternType="none"/>
    </fill>
    <fill>
      <patternFill patternType="gray125"/>
    </fill>
    <fill>
      <patternFill patternType="solid">
        <fgColor theme="5" tint="0.59993285927915285"/>
        <bgColor indexed="64"/>
      </patternFill>
    </fill>
  </fills>
  <borders count="1">
    <border>
      <left/>
      <right/>
      <top/>
      <bottom/>
      <diagonal/>
    </border>
  </borders>
  <cellStyleXfs count="1">
    <xf numFmtId="0" fontId="0" fillId="0" borderId="0"/>
  </cellStyleXfs>
  <cellXfs count="20">
    <xf numFmtId="0" fontId="0" fillId="0" borderId="0" xfId="0"/>
    <xf numFmtId="0" fontId="4" fillId="0" borderId="0" xfId="0" applyFont="1" applyFill="1"/>
    <xf numFmtId="166" fontId="4" fillId="0" borderId="0" xfId="0" applyNumberFormat="1" applyFont="1" applyAlignment="1">
      <alignment horizontal="center"/>
    </xf>
    <xf numFmtId="0" fontId="6" fillId="0" borderId="0" xfId="0" applyFont="1"/>
    <xf numFmtId="0" fontId="4" fillId="0" borderId="0" xfId="0" applyFont="1"/>
    <xf numFmtId="0" fontId="4" fillId="0" borderId="0" xfId="0" applyFont="1" applyAlignment="1">
      <alignment horizontal="left"/>
    </xf>
    <xf numFmtId="165" fontId="4" fillId="0" borderId="0" xfId="0" applyNumberFormat="1" applyFont="1" applyBorder="1"/>
    <xf numFmtId="0" fontId="4" fillId="0" borderId="0" xfId="0" applyFont="1" applyFill="1" applyBorder="1"/>
    <xf numFmtId="0" fontId="4" fillId="0" borderId="0" xfId="0" applyFont="1" applyAlignment="1">
      <alignment horizontal="right"/>
    </xf>
    <xf numFmtId="164" fontId="4" fillId="0" borderId="0" xfId="0" applyNumberFormat="1" applyFont="1" applyBorder="1"/>
    <xf numFmtId="164" fontId="4" fillId="0" borderId="0" xfId="0" applyNumberFormat="1" applyFont="1"/>
    <xf numFmtId="165" fontId="4" fillId="0" borderId="0" xfId="0" applyNumberFormat="1" applyFont="1"/>
    <xf numFmtId="17" fontId="4" fillId="0" borderId="0" xfId="0" applyNumberFormat="1" applyFont="1"/>
    <xf numFmtId="164" fontId="6" fillId="0" borderId="0" xfId="0" applyNumberFormat="1" applyFont="1" applyBorder="1"/>
    <xf numFmtId="0" fontId="4" fillId="0" borderId="0" xfId="0" applyNumberFormat="1" applyFont="1"/>
    <xf numFmtId="167" fontId="0" fillId="0" borderId="0" xfId="0" applyNumberFormat="1" applyFill="1" applyAlignment="1">
      <alignment horizontal="left"/>
    </xf>
    <xf numFmtId="165" fontId="4" fillId="2" borderId="0" xfId="0" applyNumberFormat="1" applyFont="1" applyFill="1" applyBorder="1"/>
    <xf numFmtId="0" fontId="0" fillId="0" borderId="0" xfId="0" applyFont="1"/>
    <xf numFmtId="164" fontId="0" fillId="0" borderId="0" xfId="0" applyNumberFormat="1" applyFont="1" applyBorder="1"/>
    <xf numFmtId="0" fontId="5" fillId="0" borderId="0" xfId="0" applyFont="1" applyFill="1" applyAlignment="1">
      <alignment horizontal="center"/>
    </xf>
  </cellXfs>
  <cellStyles count="1">
    <cellStyle name="Normal" xfId="0" builtinId="0"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en-US" sz="1050"/>
              <a:t>Stock returns and predictions for Cisco from 01/2009 to 12/2013</a:t>
            </a:r>
          </a:p>
        </c:rich>
      </c:tx>
      <c:layout>
        <c:manualLayout>
          <c:xMode val="edge"/>
          <c:yMode val="edge"/>
          <c:x val="0.11098779134295218"/>
          <c:y val="2.2838499184339354E-2"/>
        </c:manualLayout>
      </c:layout>
      <c:overlay val="0"/>
      <c:spPr>
        <a:noFill/>
        <a:ln w="25400">
          <a:noFill/>
        </a:ln>
      </c:spPr>
    </c:title>
    <c:autoTitleDeleted val="0"/>
    <c:plotArea>
      <c:layout>
        <c:manualLayout>
          <c:layoutTarget val="inner"/>
          <c:xMode val="edge"/>
          <c:yMode val="edge"/>
          <c:x val="7.9911209766925714E-2"/>
          <c:y val="0.12071778140293646"/>
          <c:w val="0.78024417314095451"/>
          <c:h val="0.84339314845024449"/>
        </c:manualLayout>
      </c:layout>
      <c:lineChart>
        <c:grouping val="standard"/>
        <c:varyColors val="0"/>
        <c:ser>
          <c:idx val="0"/>
          <c:order val="0"/>
          <c:tx>
            <c:strRef>
              <c:f>Model!$C$10</c:f>
              <c:strCache>
                <c:ptCount val="1"/>
                <c:pt idx="0">
                  <c:v>Stock return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Model!$A$11:$A$70</c:f>
              <c:numCache>
                <c:formatCode>mmm\-yyyy</c:formatCode>
                <c:ptCount val="60"/>
                <c:pt idx="0">
                  <c:v>41609</c:v>
                </c:pt>
                <c:pt idx="1">
                  <c:v>41579</c:v>
                </c:pt>
                <c:pt idx="2">
                  <c:v>41548</c:v>
                </c:pt>
                <c:pt idx="3">
                  <c:v>41518</c:v>
                </c:pt>
                <c:pt idx="4">
                  <c:v>41487</c:v>
                </c:pt>
                <c:pt idx="5">
                  <c:v>41456</c:v>
                </c:pt>
                <c:pt idx="6">
                  <c:v>41426</c:v>
                </c:pt>
                <c:pt idx="7">
                  <c:v>41395</c:v>
                </c:pt>
                <c:pt idx="8">
                  <c:v>41365</c:v>
                </c:pt>
                <c:pt idx="9">
                  <c:v>41334</c:v>
                </c:pt>
                <c:pt idx="10">
                  <c:v>41306</c:v>
                </c:pt>
                <c:pt idx="11">
                  <c:v>41275</c:v>
                </c:pt>
                <c:pt idx="12">
                  <c:v>41244</c:v>
                </c:pt>
                <c:pt idx="13">
                  <c:v>41214</c:v>
                </c:pt>
                <c:pt idx="14">
                  <c:v>41183</c:v>
                </c:pt>
                <c:pt idx="15">
                  <c:v>41153</c:v>
                </c:pt>
                <c:pt idx="16">
                  <c:v>41122</c:v>
                </c:pt>
                <c:pt idx="17">
                  <c:v>41091</c:v>
                </c:pt>
                <c:pt idx="18">
                  <c:v>41061</c:v>
                </c:pt>
                <c:pt idx="19">
                  <c:v>41030</c:v>
                </c:pt>
                <c:pt idx="20">
                  <c:v>41000</c:v>
                </c:pt>
                <c:pt idx="21">
                  <c:v>40969</c:v>
                </c:pt>
                <c:pt idx="22">
                  <c:v>40940</c:v>
                </c:pt>
                <c:pt idx="23">
                  <c:v>40909</c:v>
                </c:pt>
                <c:pt idx="24">
                  <c:v>40878</c:v>
                </c:pt>
                <c:pt idx="25">
                  <c:v>40848</c:v>
                </c:pt>
                <c:pt idx="26">
                  <c:v>40817</c:v>
                </c:pt>
                <c:pt idx="27">
                  <c:v>40787</c:v>
                </c:pt>
                <c:pt idx="28">
                  <c:v>40756</c:v>
                </c:pt>
                <c:pt idx="29">
                  <c:v>40725</c:v>
                </c:pt>
                <c:pt idx="30">
                  <c:v>40695</c:v>
                </c:pt>
                <c:pt idx="31">
                  <c:v>40664</c:v>
                </c:pt>
                <c:pt idx="32">
                  <c:v>40634</c:v>
                </c:pt>
                <c:pt idx="33">
                  <c:v>40603</c:v>
                </c:pt>
                <c:pt idx="34">
                  <c:v>40575</c:v>
                </c:pt>
                <c:pt idx="35">
                  <c:v>40544</c:v>
                </c:pt>
                <c:pt idx="36">
                  <c:v>40513</c:v>
                </c:pt>
                <c:pt idx="37">
                  <c:v>40483</c:v>
                </c:pt>
                <c:pt idx="38">
                  <c:v>40452</c:v>
                </c:pt>
                <c:pt idx="39">
                  <c:v>40422</c:v>
                </c:pt>
                <c:pt idx="40">
                  <c:v>40391</c:v>
                </c:pt>
                <c:pt idx="41">
                  <c:v>40360</c:v>
                </c:pt>
                <c:pt idx="42">
                  <c:v>40330</c:v>
                </c:pt>
                <c:pt idx="43">
                  <c:v>40299</c:v>
                </c:pt>
                <c:pt idx="44">
                  <c:v>40269</c:v>
                </c:pt>
                <c:pt idx="45">
                  <c:v>40238</c:v>
                </c:pt>
                <c:pt idx="46">
                  <c:v>40210</c:v>
                </c:pt>
                <c:pt idx="47">
                  <c:v>40179</c:v>
                </c:pt>
                <c:pt idx="48">
                  <c:v>40148</c:v>
                </c:pt>
                <c:pt idx="49">
                  <c:v>40118</c:v>
                </c:pt>
                <c:pt idx="50">
                  <c:v>40087</c:v>
                </c:pt>
                <c:pt idx="51">
                  <c:v>40057</c:v>
                </c:pt>
                <c:pt idx="52">
                  <c:v>40026</c:v>
                </c:pt>
                <c:pt idx="53">
                  <c:v>39995</c:v>
                </c:pt>
                <c:pt idx="54">
                  <c:v>39965</c:v>
                </c:pt>
                <c:pt idx="55">
                  <c:v>39934</c:v>
                </c:pt>
                <c:pt idx="56">
                  <c:v>39904</c:v>
                </c:pt>
                <c:pt idx="57">
                  <c:v>39873</c:v>
                </c:pt>
                <c:pt idx="58">
                  <c:v>39845</c:v>
                </c:pt>
                <c:pt idx="59">
                  <c:v>39814</c:v>
                </c:pt>
              </c:numCache>
            </c:numRef>
          </c:cat>
          <c:val>
            <c:numRef>
              <c:f>Model!$C$11:$C$70</c:f>
              <c:numCache>
                <c:formatCode>0.00000</c:formatCode>
                <c:ptCount val="60"/>
                <c:pt idx="0">
                  <c:v>-5.647058823529459E-3</c:v>
                </c:pt>
                <c:pt idx="1">
                  <c:v>-5.8067375886524768E-2</c:v>
                </c:pt>
                <c:pt idx="2">
                  <c:v>-3.0094582975064607E-2</c:v>
                </c:pt>
                <c:pt idx="3">
                  <c:v>5.1858254105445548E-3</c:v>
                </c:pt>
                <c:pt idx="4">
                  <c:v>-8.8976377952755828E-2</c:v>
                </c:pt>
                <c:pt idx="5">
                  <c:v>5.877448937057108E-2</c:v>
                </c:pt>
                <c:pt idx="6">
                  <c:v>8.8309503784691872E-3</c:v>
                </c:pt>
                <c:pt idx="7">
                  <c:v>0.15324927255092144</c:v>
                </c:pt>
                <c:pt idx="8">
                  <c:v>8.8062622309197508E-3</c:v>
                </c:pt>
                <c:pt idx="9">
                  <c:v>1.9607843137256229E-3</c:v>
                </c:pt>
                <c:pt idx="10">
                  <c:v>1.3916500994035665E-2</c:v>
                </c:pt>
                <c:pt idx="11">
                  <c:v>4.6826222684703545E-2</c:v>
                </c:pt>
                <c:pt idx="12">
                  <c:v>3.948080043266633E-2</c:v>
                </c:pt>
                <c:pt idx="13">
                  <c:v>0.11051051051051052</c:v>
                </c:pt>
                <c:pt idx="14">
                  <c:v>-9.5108695652173919E-2</c:v>
                </c:pt>
                <c:pt idx="15">
                  <c:v>5.4377379010320877E-4</c:v>
                </c:pt>
                <c:pt idx="16">
                  <c:v>0.19648666232921286</c:v>
                </c:pt>
                <c:pt idx="17">
                  <c:v>-6.6788099574984799E-2</c:v>
                </c:pt>
                <c:pt idx="18">
                  <c:v>5.1724137931034399E-2</c:v>
                </c:pt>
                <c:pt idx="19">
                  <c:v>-0.1902792140641158</c:v>
                </c:pt>
                <c:pt idx="20">
                  <c:v>-4.3047996041563633E-2</c:v>
                </c:pt>
                <c:pt idx="21">
                  <c:v>6.4244339125855851E-2</c:v>
                </c:pt>
                <c:pt idx="22">
                  <c:v>1.1182108626197939E-2</c:v>
                </c:pt>
                <c:pt idx="23">
                  <c:v>9.0592334494773663E-2</c:v>
                </c:pt>
                <c:pt idx="24">
                  <c:v>-2.9859154929577528E-2</c:v>
                </c:pt>
                <c:pt idx="25">
                  <c:v>5.6657223796034804E-3</c:v>
                </c:pt>
                <c:pt idx="26">
                  <c:v>0.20068027210884351</c:v>
                </c:pt>
                <c:pt idx="27">
                  <c:v>-1.0767160161507413E-2</c:v>
                </c:pt>
                <c:pt idx="28">
                  <c:v>-1.9141914191419203E-2</c:v>
                </c:pt>
                <c:pt idx="29">
                  <c:v>2.7118644067796634E-2</c:v>
                </c:pt>
                <c:pt idx="30">
                  <c:v>-7.1158690176322467E-2</c:v>
                </c:pt>
                <c:pt idx="31">
                  <c:v>-4.1062801932367027E-2</c:v>
                </c:pt>
                <c:pt idx="32">
                  <c:v>2.1591610117211463E-2</c:v>
                </c:pt>
                <c:pt idx="33">
                  <c:v>-7.2654462242562903E-2</c:v>
                </c:pt>
                <c:pt idx="34">
                  <c:v>-0.12248995983935748</c:v>
                </c:pt>
                <c:pt idx="35">
                  <c:v>4.5669291338582725E-2</c:v>
                </c:pt>
                <c:pt idx="36">
                  <c:v>5.5986696230598758E-2</c:v>
                </c:pt>
                <c:pt idx="37">
                  <c:v>-0.16209939619136099</c:v>
                </c:pt>
                <c:pt idx="38">
                  <c:v>4.4131910766246368E-2</c:v>
                </c:pt>
                <c:pt idx="39">
                  <c:v>9.5642933049946907E-2</c:v>
                </c:pt>
                <c:pt idx="40">
                  <c:v>-0.13351749539594837</c:v>
                </c:pt>
                <c:pt idx="41">
                  <c:v>8.22122571001494E-2</c:v>
                </c:pt>
                <c:pt idx="42">
                  <c:v>-7.9779917469050832E-2</c:v>
                </c:pt>
                <c:pt idx="43">
                  <c:v>-0.13998422712933756</c:v>
                </c:pt>
                <c:pt idx="44">
                  <c:v>3.4679722562219413E-2</c:v>
                </c:pt>
                <c:pt idx="45">
                  <c:v>6.9838498472282906E-2</c:v>
                </c:pt>
                <c:pt idx="46">
                  <c:v>8.270321361058601E-2</c:v>
                </c:pt>
                <c:pt idx="47">
                  <c:v>-6.1224489795918324E-2</c:v>
                </c:pt>
                <c:pt idx="48">
                  <c:v>2.3150249659555061E-2</c:v>
                </c:pt>
                <c:pt idx="49">
                  <c:v>2.5605214152700218E-2</c:v>
                </c:pt>
                <c:pt idx="50">
                  <c:v>-3.1123139377537266E-2</c:v>
                </c:pt>
                <c:pt idx="51">
                  <c:v>8.9970501474926343E-2</c:v>
                </c:pt>
                <c:pt idx="52">
                  <c:v>-1.8813314037626656E-2</c:v>
                </c:pt>
                <c:pt idx="53">
                  <c:v>0.18052391799544429</c:v>
                </c:pt>
                <c:pt idx="54">
                  <c:v>8.0367393800227904E-3</c:v>
                </c:pt>
                <c:pt idx="55">
                  <c:v>-4.2330951072017564E-2</c:v>
                </c:pt>
                <c:pt idx="56">
                  <c:v>0.15199493350221674</c:v>
                </c:pt>
                <c:pt idx="57">
                  <c:v>0.15087463556851299</c:v>
                </c:pt>
                <c:pt idx="58">
                  <c:v>-2.6950354609929009E-2</c:v>
                </c:pt>
                <c:pt idx="59">
                  <c:v>-8.1433224755700334E-2</c:v>
                </c:pt>
              </c:numCache>
            </c:numRef>
          </c:val>
          <c:smooth val="0"/>
        </c:ser>
        <c:ser>
          <c:idx val="1"/>
          <c:order val="1"/>
          <c:tx>
            <c:strRef>
              <c:f>Model!$D$10</c:f>
              <c:strCache>
                <c:ptCount val="1"/>
                <c:pt idx="0">
                  <c:v>Predicted</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Model!$D$11:$D$70</c:f>
              <c:numCache>
                <c:formatCode>0.0000</c:formatCode>
                <c:ptCount val="60"/>
                <c:pt idx="0">
                  <c:v>1.6200219917571774E-3</c:v>
                </c:pt>
                <c:pt idx="1">
                  <c:v>2.8096475422328411E-2</c:v>
                </c:pt>
                <c:pt idx="2">
                  <c:v>4.8837456947292926E-2</c:v>
                </c:pt>
                <c:pt idx="3">
                  <c:v>3.0227463096097577E-2</c:v>
                </c:pt>
                <c:pt idx="4">
                  <c:v>-4.6296285545145387E-2</c:v>
                </c:pt>
                <c:pt idx="5">
                  <c:v>5.4937485930880978E-2</c:v>
                </c:pt>
                <c:pt idx="6">
                  <c:v>-2.5865687498888283E-2</c:v>
                </c:pt>
                <c:pt idx="7">
                  <c:v>1.8962539109004667E-2</c:v>
                </c:pt>
                <c:pt idx="8">
                  <c:v>1.5606863516799059E-2</c:v>
                </c:pt>
                <c:pt idx="9">
                  <c:v>3.804727667946451E-2</c:v>
                </c:pt>
                <c:pt idx="10">
                  <c:v>6.8007411397960713E-3</c:v>
                </c:pt>
                <c:pt idx="11">
                  <c:v>5.6148318651736265E-2</c:v>
                </c:pt>
                <c:pt idx="12">
                  <c:v>1.796355262156147E-3</c:v>
                </c:pt>
                <c:pt idx="13">
                  <c:v>-3.4954798077377587E-3</c:v>
                </c:pt>
                <c:pt idx="14">
                  <c:v>-3.1870107039655586E-2</c:v>
                </c:pt>
                <c:pt idx="15">
                  <c:v>2.3316370393645036E-2</c:v>
                </c:pt>
                <c:pt idx="16">
                  <c:v>1.7709752033589508E-2</c:v>
                </c:pt>
                <c:pt idx="17">
                  <c:v>8.7274339702849962E-3</c:v>
                </c:pt>
                <c:pt idx="18">
                  <c:v>4.2518706149293192E-2</c:v>
                </c:pt>
                <c:pt idx="19">
                  <c:v>-8.5597213285822898E-2</c:v>
                </c:pt>
                <c:pt idx="20">
                  <c:v>-1.6462057136679281E-2</c:v>
                </c:pt>
                <c:pt idx="21">
                  <c:v>3.2211649054467183E-2</c:v>
                </c:pt>
                <c:pt idx="22">
                  <c:v>4.3815500067616996E-2</c:v>
                </c:pt>
                <c:pt idx="23">
                  <c:v>4.7567969614184726E-2</c:v>
                </c:pt>
                <c:pt idx="24">
                  <c:v>3.632049538160818E-3</c:v>
                </c:pt>
                <c:pt idx="25">
                  <c:v>-1.3404927168949558E-2</c:v>
                </c:pt>
                <c:pt idx="26">
                  <c:v>0.12796824725097308</c:v>
                </c:pt>
                <c:pt idx="27">
                  <c:v>-9.7018387790556812E-2</c:v>
                </c:pt>
                <c:pt idx="28">
                  <c:v>-7.8252168643046405E-2</c:v>
                </c:pt>
                <c:pt idx="29">
                  <c:v>-3.3982315958158836E-2</c:v>
                </c:pt>
                <c:pt idx="30">
                  <c:v>-2.9949858078772956E-2</c:v>
                </c:pt>
                <c:pt idx="31">
                  <c:v>-2.3987428162309039E-2</c:v>
                </c:pt>
                <c:pt idx="32">
                  <c:v>2.8655412277159932E-2</c:v>
                </c:pt>
                <c:pt idx="33">
                  <c:v>-8.3766608923615763E-3</c:v>
                </c:pt>
                <c:pt idx="34">
                  <c:v>3.2994098715394105E-2</c:v>
                </c:pt>
                <c:pt idx="35">
                  <c:v>2.1322659549897531E-2</c:v>
                </c:pt>
                <c:pt idx="36">
                  <c:v>7.4790557135668984E-2</c:v>
                </c:pt>
                <c:pt idx="37">
                  <c:v>-9.934752153325288E-3</c:v>
                </c:pt>
                <c:pt idx="38">
                  <c:v>3.913550258462084E-2</c:v>
                </c:pt>
                <c:pt idx="39">
                  <c:v>0.10268248901788153</c:v>
                </c:pt>
                <c:pt idx="40">
                  <c:v>-6.6541945048317536E-2</c:v>
                </c:pt>
                <c:pt idx="41">
                  <c:v>7.9149971383864981E-2</c:v>
                </c:pt>
                <c:pt idx="42">
                  <c:v>-7.4606052203046974E-2</c:v>
                </c:pt>
                <c:pt idx="43">
                  <c:v>-0.10982163631043917</c:v>
                </c:pt>
                <c:pt idx="44">
                  <c:v>1.1437135638099337E-2</c:v>
                </c:pt>
                <c:pt idx="45">
                  <c:v>6.6638086675572014E-2</c:v>
                </c:pt>
                <c:pt idx="46">
                  <c:v>2.8678396467993771E-2</c:v>
                </c:pt>
                <c:pt idx="47">
                  <c:v>-5.3411530908264476E-2</c:v>
                </c:pt>
                <c:pt idx="48">
                  <c:v>1.5211798888332089E-2</c:v>
                </c:pt>
                <c:pt idx="49">
                  <c:v>6.4842593179068847E-2</c:v>
                </c:pt>
                <c:pt idx="50">
                  <c:v>-3.1835738636383691E-2</c:v>
                </c:pt>
                <c:pt idx="51">
                  <c:v>3.7715828624912705E-2</c:v>
                </c:pt>
                <c:pt idx="52">
                  <c:v>3.5004218729522724E-2</c:v>
                </c:pt>
                <c:pt idx="53">
                  <c:v>8.5873713815620062E-2</c:v>
                </c:pt>
                <c:pt idx="54">
                  <c:v>-6.818373811000031E-3</c:v>
                </c:pt>
                <c:pt idx="55">
                  <c:v>5.9474340654060806E-2</c:v>
                </c:pt>
                <c:pt idx="56">
                  <c:v>0.11067233766495017</c:v>
                </c:pt>
                <c:pt idx="57">
                  <c:v>9.9991705856274829E-2</c:v>
                </c:pt>
                <c:pt idx="58">
                  <c:v>-0.14486394643319611</c:v>
                </c:pt>
                <c:pt idx="59">
                  <c:v>-0.11443635519860391</c:v>
                </c:pt>
              </c:numCache>
            </c:numRef>
          </c:val>
          <c:smooth val="0"/>
        </c:ser>
        <c:dLbls>
          <c:showLegendKey val="0"/>
          <c:showVal val="0"/>
          <c:showCatName val="0"/>
          <c:showSerName val="0"/>
          <c:showPercent val="0"/>
          <c:showBubbleSize val="0"/>
        </c:dLbls>
        <c:marker val="1"/>
        <c:smooth val="0"/>
        <c:axId val="663377328"/>
        <c:axId val="663368704"/>
      </c:lineChart>
      <c:dateAx>
        <c:axId val="663377328"/>
        <c:scaling>
          <c:orientation val="minMax"/>
        </c:scaling>
        <c:delete val="1"/>
        <c:axPos val="b"/>
        <c:numFmt formatCode="mmm\-yyyy" sourceLinked="1"/>
        <c:majorTickMark val="out"/>
        <c:minorTickMark val="none"/>
        <c:tickLblPos val="none"/>
        <c:crossAx val="663368704"/>
        <c:crosses val="autoZero"/>
        <c:auto val="1"/>
        <c:lblOffset val="100"/>
        <c:baseTimeUnit val="months"/>
      </c:dateAx>
      <c:valAx>
        <c:axId val="663368704"/>
        <c:scaling>
          <c:orientation val="minMax"/>
        </c:scaling>
        <c:delete val="0"/>
        <c:axPos val="l"/>
        <c:majorGridlines>
          <c:spPr>
            <a:ln w="3175">
              <a:solidFill>
                <a:srgbClr val="000000"/>
              </a:solidFill>
              <a:prstDash val="solid"/>
            </a:ln>
          </c:spPr>
        </c:majorGridlines>
        <c:numFmt formatCode="0.0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3377328"/>
        <c:crosses val="autoZero"/>
        <c:crossBetween val="between"/>
      </c:valAx>
      <c:spPr>
        <a:solidFill>
          <a:srgbClr val="C0C0C0"/>
        </a:solidFill>
        <a:ln w="12700">
          <a:solidFill>
            <a:srgbClr val="808080"/>
          </a:solidFill>
          <a:prstDash val="solid"/>
        </a:ln>
      </c:spPr>
    </c:plotArea>
    <c:legend>
      <c:legendPos val="r"/>
      <c:layout>
        <c:manualLayout>
          <c:xMode val="edge"/>
          <c:yMode val="edge"/>
          <c:x val="0.87680355160932366"/>
          <c:y val="0.47634584013050568"/>
          <c:w val="0.12208657047724764"/>
          <c:h val="7.0146818923327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TimeSeries"/>
  <sheetViews>
    <sheetView zoomScale="127" workbookViewId="0" zoomToFit="1"/>
  </sheetViews>
  <pageMargins left="0.75" right="0.75" top="1" bottom="1" header="0.5" footer="0.5"/>
  <pageSetup orientation="landscape"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492125</xdr:colOff>
      <xdr:row>5</xdr:row>
      <xdr:rowOff>111125</xdr:rowOff>
    </xdr:from>
    <xdr:to>
      <xdr:col>9</xdr:col>
      <xdr:colOff>333375</xdr:colOff>
      <xdr:row>23</xdr:row>
      <xdr:rowOff>142875</xdr:rowOff>
    </xdr:to>
    <xdr:sp macro="" textlink="">
      <xdr:nvSpPr>
        <xdr:cNvPr id="3" name="TextBox 2"/>
        <xdr:cNvSpPr txBox="1"/>
      </xdr:nvSpPr>
      <xdr:spPr>
        <a:xfrm>
          <a:off x="492125" y="1111250"/>
          <a:ext cx="5327650" cy="3460750"/>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application uses monthly stock return data for several of the largest companies in the U.S. to find their "betas." The stock return data are in a separate file called Stock Data.xlsx, and this file should be in the same folder as the current workbook. The "beta" of the stock can be estimated for any of the companies in the Stock Data file, and it can be based on any period from January 2009 to December 2013 with at least 36 months. There are four possible optimization criteria: (1) sum of squared errors, (2) weighted sum of squared errors, (3) sum of absolute errors, and (4) minimax (minimize the maximum absolute error). Solver performs the appropriate optimization based on the criterion specified.
The Stock Data file is set up so that each company has its own data sheet, with monthly closing prices from December 2008 to December 2013, and corresponding returns from January 2009 to December</a:t>
          </a:r>
          <a:r>
            <a:rPr lang="en-US" sz="1100" baseline="0"/>
            <a:t> 2014</a:t>
          </a:r>
          <a:r>
            <a:rPr lang="en-US" sz="1100"/>
            <a:t>.  Similar sheets for other companies can be added by the user.  Any additional sheet should be named with the company's ticker symbol, and the name of the company should be entered in cell E1 of its sheet.  There is also market data for the same time period in the S&amp;P500 sheet of the Stock Data file.</a:t>
          </a:r>
        </a:p>
      </xdr:txBody>
    </xdr:sp>
    <xdr:clientData/>
  </xdr:twoCellAnchor>
  <mc:AlternateContent xmlns:mc="http://schemas.openxmlformats.org/markup-compatibility/2006">
    <mc:Choice xmlns:a14="http://schemas.microsoft.com/office/drawing/2010/main" Requires="a14">
      <xdr:twoCellAnchor>
        <xdr:from>
          <xdr:col>3</xdr:col>
          <xdr:colOff>514350</xdr:colOff>
          <xdr:row>2</xdr:row>
          <xdr:rowOff>104775</xdr:rowOff>
        </xdr:from>
        <xdr:to>
          <xdr:col>6</xdr:col>
          <xdr:colOff>438150</xdr:colOff>
          <xdr:row>4</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3</xdr:row>
          <xdr:rowOff>28575</xdr:rowOff>
        </xdr:from>
        <xdr:to>
          <xdr:col>4</xdr:col>
          <xdr:colOff>600075</xdr:colOff>
          <xdr:row>4</xdr:row>
          <xdr:rowOff>152400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Time Series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180975</xdr:colOff>
          <xdr:row>3</xdr:row>
          <xdr:rowOff>28575</xdr:rowOff>
        </xdr:from>
        <xdr:to>
          <xdr:col>8</xdr:col>
          <xdr:colOff>38100</xdr:colOff>
          <xdr:row>4</xdr:row>
          <xdr:rowOff>152400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7500" cy="5842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I2"/>
  <sheetViews>
    <sheetView showGridLines="0" showRowColHeaders="0" workbookViewId="0"/>
  </sheetViews>
  <sheetFormatPr defaultRowHeight="15" x14ac:dyDescent="0.25"/>
  <cols>
    <col min="1" max="16384" width="9.140625" style="1"/>
  </cols>
  <sheetData>
    <row r="2" spans="3:9" ht="18.75" x14ac:dyDescent="0.3">
      <c r="C2" s="19" t="s">
        <v>12</v>
      </c>
      <c r="D2" s="19"/>
      <c r="E2" s="19"/>
      <c r="F2" s="19"/>
      <c r="G2" s="19"/>
      <c r="H2" s="19"/>
      <c r="I2" s="19"/>
    </row>
  </sheetData>
  <mergeCells count="1">
    <mergeCell ref="C2:I2"/>
  </mergeCells>
  <phoneticPr fontId="0" type="noConversion"/>
  <pageMargins left="0.75" right="0.75" top="1" bottom="1" header="0.5" footer="0.5"/>
  <pageSetup paperSize="5" scale="9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MainStockBeta">
                <anchor moveWithCells="1" sizeWithCells="1">
                  <from>
                    <xdr:col>3</xdr:col>
                    <xdr:colOff>514350</xdr:colOff>
                    <xdr:row>2</xdr:row>
                    <xdr:rowOff>104775</xdr:rowOff>
                  </from>
                  <to>
                    <xdr:col>6</xdr:col>
                    <xdr:colOff>438150</xdr:colOff>
                    <xdr:row>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BB202"/>
  <sheetViews>
    <sheetView tabSelected="1" zoomScaleNormal="100" workbookViewId="0"/>
  </sheetViews>
  <sheetFormatPr defaultRowHeight="15" x14ac:dyDescent="0.25"/>
  <cols>
    <col min="1" max="1" width="19.28515625" style="4" customWidth="1"/>
    <col min="2" max="2" width="10.42578125" style="10" customWidth="1"/>
    <col min="3" max="3" width="11.7109375" style="10" customWidth="1"/>
    <col min="4" max="4" width="10" style="4" customWidth="1"/>
    <col min="5" max="5" width="9.140625" style="4"/>
    <col min="6" max="6" width="9.5703125" style="4" customWidth="1"/>
    <col min="7" max="7" width="9.7109375" style="4" customWidth="1"/>
    <col min="8" max="9" width="9.140625" style="4"/>
    <col min="10" max="10" width="10.7109375" style="4" customWidth="1"/>
    <col min="11" max="11" width="10.42578125" style="4" customWidth="1"/>
    <col min="12" max="27" width="9.140625" style="4"/>
    <col min="28" max="28" width="29.7109375" style="4" bestFit="1" customWidth="1"/>
    <col min="29" max="29" width="9.140625" style="4"/>
    <col min="30" max="30" width="10.28515625" style="4" customWidth="1"/>
    <col min="31" max="16384" width="9.140625" style="4"/>
  </cols>
  <sheetData>
    <row r="1" spans="1:54" x14ac:dyDescent="0.25">
      <c r="A1" s="3" t="s">
        <v>70</v>
      </c>
      <c r="B1" s="4"/>
      <c r="C1" s="4"/>
      <c r="AA1" s="17" t="s">
        <v>13</v>
      </c>
      <c r="AB1" s="17" t="s">
        <v>14</v>
      </c>
      <c r="BA1" s="4" t="s">
        <v>13</v>
      </c>
      <c r="BB1" s="4" t="s">
        <v>14</v>
      </c>
    </row>
    <row r="2" spans="1:54" x14ac:dyDescent="0.25">
      <c r="B2" s="4"/>
      <c r="C2" s="4"/>
      <c r="AA2" s="4" t="s">
        <v>15</v>
      </c>
      <c r="AB2" s="4" t="s">
        <v>16</v>
      </c>
    </row>
    <row r="3" spans="1:54" x14ac:dyDescent="0.25">
      <c r="A3" s="3" t="s">
        <v>1</v>
      </c>
      <c r="B3" s="4"/>
      <c r="C3" s="4"/>
      <c r="AA3" s="4" t="s">
        <v>17</v>
      </c>
      <c r="AB3" s="4" t="s">
        <v>18</v>
      </c>
    </row>
    <row r="4" spans="1:54" x14ac:dyDescent="0.25">
      <c r="A4" s="5" t="s">
        <v>2</v>
      </c>
      <c r="B4" s="16">
        <v>-7.0638555976133017E-3</v>
      </c>
      <c r="C4" s="4"/>
      <c r="AA4" s="4" t="s">
        <v>47</v>
      </c>
      <c r="AB4" s="4" t="s">
        <v>48</v>
      </c>
    </row>
    <row r="5" spans="1:54" x14ac:dyDescent="0.25">
      <c r="A5" s="5" t="s">
        <v>3</v>
      </c>
      <c r="B5" s="16">
        <v>1.2535118297091219</v>
      </c>
      <c r="C5" s="4"/>
      <c r="AA5" s="4" t="s">
        <v>19</v>
      </c>
      <c r="AB5" s="4" t="s">
        <v>20</v>
      </c>
    </row>
    <row r="6" spans="1:54" x14ac:dyDescent="0.25">
      <c r="A6" s="5"/>
      <c r="B6" s="6"/>
      <c r="C6" s="4"/>
      <c r="AA6" s="4" t="s">
        <v>21</v>
      </c>
      <c r="AB6" s="4" t="s">
        <v>22</v>
      </c>
    </row>
    <row r="7" spans="1:54" x14ac:dyDescent="0.25">
      <c r="A7" s="5" t="s">
        <v>10</v>
      </c>
      <c r="B7" s="7" t="s">
        <v>71</v>
      </c>
      <c r="C7" s="4"/>
      <c r="AA7" s="4" t="s">
        <v>49</v>
      </c>
      <c r="AB7" s="4" t="s">
        <v>50</v>
      </c>
    </row>
    <row r="8" spans="1:54" x14ac:dyDescent="0.25">
      <c r="A8" s="5"/>
      <c r="B8" s="6"/>
      <c r="C8" s="4"/>
      <c r="AA8" s="4" t="s">
        <v>51</v>
      </c>
      <c r="AB8" s="4" t="s">
        <v>52</v>
      </c>
    </row>
    <row r="9" spans="1:54" x14ac:dyDescent="0.25">
      <c r="A9" s="3" t="s">
        <v>11</v>
      </c>
      <c r="B9" s="4"/>
      <c r="C9" s="4"/>
      <c r="AA9" s="4" t="s">
        <v>23</v>
      </c>
      <c r="AB9" s="4" t="s">
        <v>24</v>
      </c>
    </row>
    <row r="10" spans="1:54" s="8" customFormat="1" x14ac:dyDescent="0.25">
      <c r="A10" s="5" t="s">
        <v>0</v>
      </c>
      <c r="B10" s="8" t="s">
        <v>8</v>
      </c>
      <c r="C10" s="8" t="s">
        <v>9</v>
      </c>
      <c r="D10" s="8" t="s">
        <v>4</v>
      </c>
      <c r="E10" s="8" t="s">
        <v>6</v>
      </c>
      <c r="F10" s="8" t="s">
        <v>5</v>
      </c>
      <c r="G10" s="8" t="s">
        <v>7</v>
      </c>
      <c r="J10" s="18" t="s">
        <v>46</v>
      </c>
      <c r="O10" s="4"/>
      <c r="P10" s="4"/>
      <c r="AA10" s="4" t="s">
        <v>25</v>
      </c>
      <c r="AB10" s="5" t="s">
        <v>26</v>
      </c>
      <c r="BA10" s="5"/>
      <c r="BB10" s="5"/>
    </row>
    <row r="11" spans="1:54" x14ac:dyDescent="0.25">
      <c r="A11" s="15">
        <v>41609</v>
      </c>
      <c r="B11" s="10">
        <v>6.9276391203947213E-3</v>
      </c>
      <c r="C11" s="10">
        <v>-5.647058823529459E-3</v>
      </c>
      <c r="D11" s="11">
        <f>Alpha+Beta*B11</f>
        <v>1.6200219917571774E-3</v>
      </c>
      <c r="E11" s="11">
        <f t="shared" ref="E11:E42" si="0">C11-D11</f>
        <v>-7.2670808152866364E-3</v>
      </c>
      <c r="F11" s="10">
        <f t="shared" ref="F11:F42" si="1">E11^2</f>
        <v>5.2810463575907083E-5</v>
      </c>
      <c r="G11" s="11">
        <f t="shared" ref="G11:G42" si="2">ABS(E11)</f>
        <v>7.2670808152866364E-3</v>
      </c>
      <c r="H11" s="11"/>
      <c r="J11" s="9" t="s">
        <v>72</v>
      </c>
      <c r="K11" s="4">
        <f>SUM(SqErrs)</f>
        <v>0.24016989250153223</v>
      </c>
      <c r="AA11" s="4" t="s">
        <v>27</v>
      </c>
      <c r="AB11" s="4" t="s">
        <v>28</v>
      </c>
    </row>
    <row r="12" spans="1:54" x14ac:dyDescent="0.25">
      <c r="A12" s="15">
        <v>41579</v>
      </c>
      <c r="B12" s="10">
        <v>2.804946087194142E-2</v>
      </c>
      <c r="C12" s="10">
        <v>-5.8067375886524768E-2</v>
      </c>
      <c r="D12" s="11">
        <f>Alpha+Beta*B12</f>
        <v>2.8096475422328411E-2</v>
      </c>
      <c r="E12" s="11">
        <f t="shared" si="0"/>
        <v>-8.6163851308853179E-2</v>
      </c>
      <c r="F12" s="10">
        <f t="shared" si="1"/>
        <v>7.4242092723741599E-3</v>
      </c>
      <c r="G12" s="11">
        <f t="shared" si="2"/>
        <v>8.6163851308853179E-2</v>
      </c>
      <c r="H12" s="11"/>
      <c r="J12" s="9"/>
      <c r="AA12" s="4" t="s">
        <v>29</v>
      </c>
      <c r="AB12" s="4" t="s">
        <v>30</v>
      </c>
    </row>
    <row r="13" spans="1:54" x14ac:dyDescent="0.25">
      <c r="A13" s="15">
        <v>41548</v>
      </c>
      <c r="B13" s="10">
        <v>4.4595759864410819E-2</v>
      </c>
      <c r="C13" s="10">
        <v>-3.0094582975064607E-2</v>
      </c>
      <c r="D13" s="11">
        <f>Alpha+Beta*B13</f>
        <v>4.8837456947292926E-2</v>
      </c>
      <c r="E13" s="11">
        <f t="shared" si="0"/>
        <v>-7.8932039922357533E-2</v>
      </c>
      <c r="F13" s="10">
        <f t="shared" si="1"/>
        <v>6.2302669263046432E-3</v>
      </c>
      <c r="G13" s="11">
        <f t="shared" si="2"/>
        <v>7.8932039922357533E-2</v>
      </c>
      <c r="H13" s="11"/>
      <c r="J13" s="13"/>
      <c r="AA13" s="4" t="s">
        <v>53</v>
      </c>
      <c r="AB13" s="4" t="s">
        <v>54</v>
      </c>
    </row>
    <row r="14" spans="1:54" x14ac:dyDescent="0.25">
      <c r="A14" s="15">
        <v>41518</v>
      </c>
      <c r="B14" s="10">
        <v>2.9749474883188257E-2</v>
      </c>
      <c r="C14" s="10">
        <v>5.1858254105445548E-3</v>
      </c>
      <c r="D14" s="11">
        <f>Alpha+Beta*B14</f>
        <v>3.0227463096097577E-2</v>
      </c>
      <c r="E14" s="11">
        <f t="shared" si="0"/>
        <v>-2.5041637685553023E-2</v>
      </c>
      <c r="F14" s="10">
        <f t="shared" si="1"/>
        <v>6.2708361797450931E-4</v>
      </c>
      <c r="G14" s="11">
        <f t="shared" si="2"/>
        <v>2.5041637685553023E-2</v>
      </c>
      <c r="H14" s="11"/>
      <c r="J14" s="14"/>
      <c r="K14" s="14"/>
      <c r="AA14" s="4" t="s">
        <v>55</v>
      </c>
      <c r="AB14" s="4" t="s">
        <v>56</v>
      </c>
    </row>
    <row r="15" spans="1:54" x14ac:dyDescent="0.25">
      <c r="A15" s="15">
        <v>41487</v>
      </c>
      <c r="B15" s="10">
        <v>-3.1298013323604608E-2</v>
      </c>
      <c r="C15" s="10">
        <v>-8.8976377952755828E-2</v>
      </c>
      <c r="D15" s="11">
        <f>Alpha+Beta*B15</f>
        <v>-4.6296285545145387E-2</v>
      </c>
      <c r="E15" s="11">
        <f t="shared" si="0"/>
        <v>-4.2680092407610441E-2</v>
      </c>
      <c r="F15" s="10">
        <f t="shared" si="1"/>
        <v>1.8215902879221665E-3</v>
      </c>
      <c r="G15" s="11">
        <f t="shared" si="2"/>
        <v>4.2680092407610441E-2</v>
      </c>
      <c r="H15" s="11"/>
      <c r="J15" s="14"/>
      <c r="K15" s="14"/>
      <c r="AA15" s="4" t="s">
        <v>31</v>
      </c>
      <c r="AB15" s="4" t="s">
        <v>57</v>
      </c>
    </row>
    <row r="16" spans="1:54" x14ac:dyDescent="0.25">
      <c r="A16" s="15">
        <v>41456</v>
      </c>
      <c r="B16" s="10">
        <v>4.9462111213487092E-2</v>
      </c>
      <c r="C16" s="10">
        <v>5.877448937057108E-2</v>
      </c>
      <c r="D16" s="11">
        <f>Alpha+Beta*B16</f>
        <v>5.4937485930880978E-2</v>
      </c>
      <c r="E16" s="11">
        <f t="shared" si="0"/>
        <v>3.8370034396901023E-3</v>
      </c>
      <c r="F16" s="10">
        <f t="shared" si="1"/>
        <v>1.4722595396193676E-5</v>
      </c>
      <c r="G16" s="11">
        <f t="shared" si="2"/>
        <v>3.8370034396901023E-3</v>
      </c>
      <c r="H16" s="11"/>
      <c r="J16" s="14"/>
      <c r="K16" s="14"/>
      <c r="AA16" s="4" t="s">
        <v>58</v>
      </c>
      <c r="AB16" s="4" t="s">
        <v>59</v>
      </c>
    </row>
    <row r="17" spans="1:28" x14ac:dyDescent="0.25">
      <c r="A17" s="15">
        <v>41426</v>
      </c>
      <c r="B17" s="10">
        <v>-1.4999325459607317E-2</v>
      </c>
      <c r="C17" s="10">
        <v>8.8309503784691872E-3</v>
      </c>
      <c r="D17" s="11">
        <f>Alpha+Beta*B17</f>
        <v>-2.5865687498888283E-2</v>
      </c>
      <c r="E17" s="11">
        <f t="shared" si="0"/>
        <v>3.4696637877357467E-2</v>
      </c>
      <c r="F17" s="10">
        <f t="shared" si="1"/>
        <v>1.2038566799924769E-3</v>
      </c>
      <c r="G17" s="11">
        <f t="shared" si="2"/>
        <v>3.4696637877357467E-2</v>
      </c>
      <c r="H17" s="11"/>
      <c r="J17" s="14"/>
      <c r="K17" s="14"/>
      <c r="AA17" s="4" t="s">
        <v>32</v>
      </c>
      <c r="AB17" s="4" t="s">
        <v>33</v>
      </c>
    </row>
    <row r="18" spans="1:28" x14ac:dyDescent="0.25">
      <c r="A18" s="15">
        <v>41395</v>
      </c>
      <c r="B18" s="10">
        <v>2.0762783477406357E-2</v>
      </c>
      <c r="C18" s="10">
        <v>0.15324927255092144</v>
      </c>
      <c r="D18" s="11">
        <f>Alpha+Beta*B18</f>
        <v>1.8962539109004667E-2</v>
      </c>
      <c r="E18" s="11">
        <f t="shared" si="0"/>
        <v>0.13428673344191677</v>
      </c>
      <c r="F18" s="10">
        <f t="shared" si="1"/>
        <v>1.8032926778500408E-2</v>
      </c>
      <c r="G18" s="11">
        <f t="shared" si="2"/>
        <v>0.13428673344191677</v>
      </c>
      <c r="H18" s="11"/>
      <c r="J18" s="14"/>
      <c r="K18" s="14"/>
      <c r="AA18" s="4" t="s">
        <v>60</v>
      </c>
      <c r="AB18" s="4" t="s">
        <v>61</v>
      </c>
    </row>
    <row r="19" spans="1:28" x14ac:dyDescent="0.25">
      <c r="A19" s="15">
        <v>41365</v>
      </c>
      <c r="B19" s="10">
        <v>1.8085763992887974E-2</v>
      </c>
      <c r="C19" s="10">
        <v>8.8062622309197508E-3</v>
      </c>
      <c r="D19" s="11">
        <f>Alpha+Beta*B19</f>
        <v>1.5606863516799059E-2</v>
      </c>
      <c r="E19" s="11">
        <f t="shared" si="0"/>
        <v>-6.8006012858793079E-3</v>
      </c>
      <c r="F19" s="10">
        <f t="shared" si="1"/>
        <v>4.6248177849503294E-5</v>
      </c>
      <c r="G19" s="11">
        <f t="shared" si="2"/>
        <v>6.8006012858793079E-3</v>
      </c>
      <c r="H19" s="11"/>
      <c r="K19" s="12"/>
      <c r="O19" s="5"/>
      <c r="P19" s="5"/>
      <c r="AA19" s="4" t="s">
        <v>34</v>
      </c>
      <c r="AB19" s="4" t="s">
        <v>35</v>
      </c>
    </row>
    <row r="20" spans="1:28" x14ac:dyDescent="0.25">
      <c r="A20" s="15">
        <v>41334</v>
      </c>
      <c r="B20" s="10">
        <v>3.5987799403174259E-2</v>
      </c>
      <c r="C20" s="10">
        <v>1.9607843137256229E-3</v>
      </c>
      <c r="D20" s="11">
        <f>Alpha+Beta*B20</f>
        <v>3.804727667946451E-2</v>
      </c>
      <c r="E20" s="11">
        <f t="shared" si="0"/>
        <v>-3.6086492365738888E-2</v>
      </c>
      <c r="F20" s="10">
        <f t="shared" si="1"/>
        <v>1.3022349312625311E-3</v>
      </c>
      <c r="G20" s="11">
        <f t="shared" si="2"/>
        <v>3.6086492365738888E-2</v>
      </c>
      <c r="H20" s="11"/>
      <c r="K20" s="12"/>
      <c r="AA20" s="4" t="s">
        <v>36</v>
      </c>
      <c r="AB20" s="4" t="s">
        <v>62</v>
      </c>
    </row>
    <row r="21" spans="1:28" x14ac:dyDescent="0.25">
      <c r="A21" s="15">
        <v>41306</v>
      </c>
      <c r="B21" s="10">
        <v>1.1060603026480141E-2</v>
      </c>
      <c r="C21" s="10">
        <v>1.3916500994035665E-2</v>
      </c>
      <c r="D21" s="11">
        <f>Alpha+Beta*B21</f>
        <v>6.8007411397960713E-3</v>
      </c>
      <c r="E21" s="11">
        <f t="shared" si="0"/>
        <v>7.1157598542395933E-3</v>
      </c>
      <c r="F21" s="10">
        <f t="shared" si="1"/>
        <v>5.0634038303207879E-5</v>
      </c>
      <c r="G21" s="11">
        <f t="shared" si="2"/>
        <v>7.1157598542395933E-3</v>
      </c>
      <c r="H21" s="11"/>
      <c r="K21" s="12"/>
      <c r="AA21" s="4" t="s">
        <v>63</v>
      </c>
      <c r="AB21" s="4" t="s">
        <v>64</v>
      </c>
    </row>
    <row r="22" spans="1:28" x14ac:dyDescent="0.25">
      <c r="A22" s="15">
        <v>41275</v>
      </c>
      <c r="B22" s="10">
        <v>5.0428063581991069E-2</v>
      </c>
      <c r="C22" s="10">
        <v>4.6826222684703545E-2</v>
      </c>
      <c r="D22" s="11">
        <f>Alpha+Beta*B22</f>
        <v>5.6148318651736265E-2</v>
      </c>
      <c r="E22" s="11">
        <f t="shared" si="0"/>
        <v>-9.3220959670327203E-3</v>
      </c>
      <c r="F22" s="10">
        <f t="shared" si="1"/>
        <v>8.6901473218567712E-5</v>
      </c>
      <c r="G22" s="11">
        <f t="shared" si="2"/>
        <v>9.3220959670327203E-3</v>
      </c>
      <c r="H22" s="11"/>
      <c r="K22" s="12"/>
      <c r="AA22" s="4" t="s">
        <v>37</v>
      </c>
      <c r="AB22" s="4" t="s">
        <v>65</v>
      </c>
    </row>
    <row r="23" spans="1:28" x14ac:dyDescent="0.25">
      <c r="A23" s="15">
        <v>41244</v>
      </c>
      <c r="B23" s="10">
        <v>7.0683105254981645E-3</v>
      </c>
      <c r="C23" s="10">
        <v>3.948080043266633E-2</v>
      </c>
      <c r="D23" s="11">
        <f>Alpha+Beta*B23</f>
        <v>1.796355262156147E-3</v>
      </c>
      <c r="E23" s="11">
        <f t="shared" si="0"/>
        <v>3.7684445170510186E-2</v>
      </c>
      <c r="F23" s="10">
        <f t="shared" si="1"/>
        <v>1.4201174078091886E-3</v>
      </c>
      <c r="G23" s="11">
        <f t="shared" si="2"/>
        <v>3.7684445170510186E-2</v>
      </c>
      <c r="H23" s="11"/>
      <c r="K23" s="12"/>
      <c r="AA23" s="4" t="s">
        <v>38</v>
      </c>
      <c r="AB23" s="4" t="s">
        <v>39</v>
      </c>
    </row>
    <row r="24" spans="1:28" x14ac:dyDescent="0.25">
      <c r="A24" s="15">
        <v>41214</v>
      </c>
      <c r="B24" s="10">
        <v>2.8467029231814961E-3</v>
      </c>
      <c r="C24" s="10">
        <v>0.11051051051051052</v>
      </c>
      <c r="D24" s="11">
        <f>Alpha+Beta*B24</f>
        <v>-3.4954798077377587E-3</v>
      </c>
      <c r="E24" s="11">
        <f t="shared" si="0"/>
        <v>0.11400599031824828</v>
      </c>
      <c r="F24" s="10">
        <f t="shared" si="1"/>
        <v>1.299736582844452E-2</v>
      </c>
      <c r="G24" s="11">
        <f t="shared" si="2"/>
        <v>0.11400599031824828</v>
      </c>
      <c r="H24" s="11"/>
      <c r="K24" s="12"/>
      <c r="AA24" s="4" t="s">
        <v>40</v>
      </c>
      <c r="AB24" s="4" t="s">
        <v>41</v>
      </c>
    </row>
    <row r="25" spans="1:28" x14ac:dyDescent="0.25">
      <c r="A25" s="15">
        <v>41183</v>
      </c>
      <c r="B25" s="10">
        <v>-1.9789403541407811E-2</v>
      </c>
      <c r="C25" s="10">
        <v>-9.5108695652173919E-2</v>
      </c>
      <c r="D25" s="11">
        <f>Alpha+Beta*B25</f>
        <v>-3.1870107039655586E-2</v>
      </c>
      <c r="E25" s="11">
        <f t="shared" si="0"/>
        <v>-6.3238588612518326E-2</v>
      </c>
      <c r="F25" s="10">
        <f t="shared" si="1"/>
        <v>3.9991190897033322E-3</v>
      </c>
      <c r="G25" s="11">
        <f t="shared" si="2"/>
        <v>6.3238588612518326E-2</v>
      </c>
      <c r="H25" s="11"/>
      <c r="K25" s="12"/>
      <c r="AA25" s="4" t="s">
        <v>66</v>
      </c>
      <c r="AB25" s="4" t="s">
        <v>67</v>
      </c>
    </row>
    <row r="26" spans="1:28" x14ac:dyDescent="0.25">
      <c r="A26" s="15">
        <v>41153</v>
      </c>
      <c r="B26" s="10">
        <v>2.4236090375236493E-2</v>
      </c>
      <c r="C26" s="10">
        <v>5.4377379010320877E-4</v>
      </c>
      <c r="D26" s="11">
        <f>Alpha+Beta*B26</f>
        <v>2.3316370393645036E-2</v>
      </c>
      <c r="E26" s="11">
        <f t="shared" si="0"/>
        <v>-2.2772596603541827E-2</v>
      </c>
      <c r="F26" s="10">
        <f t="shared" si="1"/>
        <v>5.185911560676447E-4</v>
      </c>
      <c r="G26" s="11">
        <f t="shared" si="2"/>
        <v>2.2772596603541827E-2</v>
      </c>
      <c r="H26" s="11"/>
      <c r="AA26" s="4" t="s">
        <v>42</v>
      </c>
      <c r="AB26" s="4" t="s">
        <v>43</v>
      </c>
    </row>
    <row r="27" spans="1:28" x14ac:dyDescent="0.25">
      <c r="A27" s="15">
        <v>41122</v>
      </c>
      <c r="B27" s="10">
        <v>1.9763361656468401E-2</v>
      </c>
      <c r="C27" s="10">
        <v>0.19648666232921286</v>
      </c>
      <c r="D27" s="11">
        <f>Alpha+Beta*B27</f>
        <v>1.7709752033589508E-2</v>
      </c>
      <c r="E27" s="11">
        <f t="shared" si="0"/>
        <v>0.17877691029562334</v>
      </c>
      <c r="F27" s="10">
        <f t="shared" si="1"/>
        <v>3.1961183654849352E-2</v>
      </c>
      <c r="G27" s="11">
        <f t="shared" si="2"/>
        <v>0.17877691029562334</v>
      </c>
      <c r="H27" s="11"/>
      <c r="AA27" s="4" t="s">
        <v>68</v>
      </c>
      <c r="AB27" s="4" t="s">
        <v>69</v>
      </c>
    </row>
    <row r="28" spans="1:28" x14ac:dyDescent="0.25">
      <c r="A28" s="15">
        <v>41091</v>
      </c>
      <c r="B28" s="10">
        <v>1.259763904387139E-2</v>
      </c>
      <c r="C28" s="10">
        <v>-6.6788099574984799E-2</v>
      </c>
      <c r="D28" s="11">
        <f>Alpha+Beta*B28</f>
        <v>8.7274339702849962E-3</v>
      </c>
      <c r="E28" s="11">
        <f t="shared" si="0"/>
        <v>-7.5515533545269797E-2</v>
      </c>
      <c r="F28" s="10">
        <f t="shared" si="1"/>
        <v>5.7025958066267684E-3</v>
      </c>
      <c r="G28" s="11">
        <f t="shared" si="2"/>
        <v>7.5515533545269797E-2</v>
      </c>
      <c r="H28" s="11"/>
      <c r="AA28" s="4" t="s">
        <v>44</v>
      </c>
      <c r="AB28" s="4" t="s">
        <v>45</v>
      </c>
    </row>
    <row r="29" spans="1:28" x14ac:dyDescent="0.25">
      <c r="A29" s="15">
        <v>41061</v>
      </c>
      <c r="B29" s="10">
        <v>3.955492127937249E-2</v>
      </c>
      <c r="C29" s="10">
        <v>5.1724137931034399E-2</v>
      </c>
      <c r="D29" s="11">
        <f>Alpha+Beta*B29</f>
        <v>4.2518706149293192E-2</v>
      </c>
      <c r="E29" s="11">
        <f t="shared" si="0"/>
        <v>9.2054317817412065E-3</v>
      </c>
      <c r="F29" s="10">
        <f t="shared" si="1"/>
        <v>8.473997428829108E-5</v>
      </c>
      <c r="G29" s="11">
        <f t="shared" si="2"/>
        <v>9.2054317817412065E-3</v>
      </c>
      <c r="H29" s="11"/>
    </row>
    <row r="30" spans="1:28" x14ac:dyDescent="0.25">
      <c r="A30" s="15">
        <v>41030</v>
      </c>
      <c r="B30" s="10">
        <v>-6.2650671359386623E-2</v>
      </c>
      <c r="C30" s="10">
        <v>-0.1902792140641158</v>
      </c>
      <c r="D30" s="11">
        <f>Alpha+Beta*B30</f>
        <v>-8.5597213285822898E-2</v>
      </c>
      <c r="E30" s="11">
        <f t="shared" si="0"/>
        <v>-0.1046820007782929</v>
      </c>
      <c r="F30" s="10">
        <f t="shared" si="1"/>
        <v>1.0958321286946515E-2</v>
      </c>
      <c r="G30" s="11">
        <f t="shared" si="2"/>
        <v>0.1046820007782929</v>
      </c>
      <c r="H30" s="11"/>
    </row>
    <row r="31" spans="1:28" x14ac:dyDescent="0.25">
      <c r="A31" s="15">
        <v>41000</v>
      </c>
      <c r="B31" s="10">
        <v>-7.4974972842871664E-3</v>
      </c>
      <c r="C31" s="10">
        <v>-4.3047996041563633E-2</v>
      </c>
      <c r="D31" s="11">
        <f>Alpha+Beta*B31</f>
        <v>-1.6462057136679281E-2</v>
      </c>
      <c r="E31" s="11">
        <f t="shared" si="0"/>
        <v>-2.6585938904884351E-2</v>
      </c>
      <c r="F31" s="10">
        <f t="shared" si="1"/>
        <v>7.0681214745424339E-4</v>
      </c>
      <c r="G31" s="11">
        <f t="shared" si="2"/>
        <v>2.6585938904884351E-2</v>
      </c>
      <c r="H31" s="11"/>
    </row>
    <row r="32" spans="1:28" x14ac:dyDescent="0.25">
      <c r="A32" s="15">
        <v>40969</v>
      </c>
      <c r="B32" s="10">
        <v>3.1332376545017838E-2</v>
      </c>
      <c r="C32" s="10">
        <v>6.4244339125855851E-2</v>
      </c>
      <c r="D32" s="11">
        <f>Alpha+Beta*B32</f>
        <v>3.2211649054467183E-2</v>
      </c>
      <c r="E32" s="11">
        <f t="shared" si="0"/>
        <v>3.2032690071388668E-2</v>
      </c>
      <c r="F32" s="10">
        <f t="shared" si="1"/>
        <v>1.0260932332096422E-3</v>
      </c>
      <c r="G32" s="11">
        <f t="shared" si="2"/>
        <v>3.2032690071388668E-2</v>
      </c>
      <c r="H32" s="11"/>
    </row>
    <row r="33" spans="1:8" x14ac:dyDescent="0.25">
      <c r="A33" s="15">
        <v>40940</v>
      </c>
      <c r="B33" s="10">
        <v>4.0589449943234185E-2</v>
      </c>
      <c r="C33" s="10">
        <v>1.1182108626197939E-2</v>
      </c>
      <c r="D33" s="11">
        <f>Alpha+Beta*B33</f>
        <v>4.3815500067616996E-2</v>
      </c>
      <c r="E33" s="11">
        <f t="shared" si="0"/>
        <v>-3.2633391441419059E-2</v>
      </c>
      <c r="F33" s="10">
        <f t="shared" si="1"/>
        <v>1.0649382369688827E-3</v>
      </c>
      <c r="G33" s="11">
        <f t="shared" si="2"/>
        <v>3.2633391441419059E-2</v>
      </c>
      <c r="H33" s="11"/>
    </row>
    <row r="34" spans="1:8" x14ac:dyDescent="0.25">
      <c r="A34" s="15">
        <v>40909</v>
      </c>
      <c r="B34" s="10">
        <v>4.3583015267175715E-2</v>
      </c>
      <c r="C34" s="10">
        <v>9.0592334494773663E-2</v>
      </c>
      <c r="D34" s="11">
        <f>Alpha+Beta*B34</f>
        <v>4.7567969614184726E-2</v>
      </c>
      <c r="E34" s="11">
        <f t="shared" si="0"/>
        <v>4.3024364880588938E-2</v>
      </c>
      <c r="F34" s="10">
        <f t="shared" si="1"/>
        <v>1.8510959733780547E-3</v>
      </c>
      <c r="G34" s="11">
        <f t="shared" si="2"/>
        <v>4.3024364880588938E-2</v>
      </c>
      <c r="H34" s="11"/>
    </row>
    <row r="35" spans="1:8" x14ac:dyDescent="0.25">
      <c r="A35" s="15">
        <v>40878</v>
      </c>
      <c r="B35" s="10">
        <v>8.5327516520176047E-3</v>
      </c>
      <c r="C35" s="10">
        <v>-2.9859154929577528E-2</v>
      </c>
      <c r="D35" s="11">
        <f>Alpha+Beta*B35</f>
        <v>3.632049538160818E-3</v>
      </c>
      <c r="E35" s="11">
        <f t="shared" si="0"/>
        <v>-3.3491204467738345E-2</v>
      </c>
      <c r="F35" s="10">
        <f t="shared" si="1"/>
        <v>1.1216607766998568E-3</v>
      </c>
      <c r="G35" s="11">
        <f t="shared" si="2"/>
        <v>3.3491204467738345E-2</v>
      </c>
      <c r="H35" s="11"/>
    </row>
    <row r="36" spans="1:8" x14ac:dyDescent="0.25">
      <c r="A36" s="15">
        <v>40848</v>
      </c>
      <c r="B36" s="10">
        <v>-5.0586451767333585E-3</v>
      </c>
      <c r="C36" s="10">
        <v>5.6657223796034804E-3</v>
      </c>
      <c r="D36" s="11">
        <f>Alpha+Beta*B36</f>
        <v>-1.3404927168949558E-2</v>
      </c>
      <c r="E36" s="11">
        <f t="shared" si="0"/>
        <v>1.9070649548553038E-2</v>
      </c>
      <c r="F36" s="10">
        <f t="shared" si="1"/>
        <v>3.6368967420372621E-4</v>
      </c>
      <c r="G36" s="11">
        <f t="shared" si="2"/>
        <v>1.9070649548553038E-2</v>
      </c>
      <c r="H36" s="11"/>
    </row>
    <row r="37" spans="1:8" x14ac:dyDescent="0.25">
      <c r="A37" s="15">
        <v>40817</v>
      </c>
      <c r="B37" s="10">
        <v>0.10772303830584563</v>
      </c>
      <c r="C37" s="10">
        <v>0.20068027210884351</v>
      </c>
      <c r="D37" s="11">
        <f>Alpha+Beta*B37</f>
        <v>0.12796824725097308</v>
      </c>
      <c r="E37" s="11">
        <f t="shared" si="0"/>
        <v>7.2712024857870428E-2</v>
      </c>
      <c r="F37" s="10">
        <f t="shared" si="1"/>
        <v>5.2870385589315668E-3</v>
      </c>
      <c r="G37" s="11">
        <f t="shared" si="2"/>
        <v>7.2712024857870428E-2</v>
      </c>
      <c r="H37" s="11"/>
    </row>
    <row r="38" spans="1:8" x14ac:dyDescent="0.25">
      <c r="A38" s="15">
        <v>40787</v>
      </c>
      <c r="B38" s="10">
        <v>-7.1762012979021919E-2</v>
      </c>
      <c r="C38" s="10">
        <v>-1.0767160161507413E-2</v>
      </c>
      <c r="D38" s="11">
        <f>Alpha+Beta*B38</f>
        <v>-9.7018387790556812E-2</v>
      </c>
      <c r="E38" s="11">
        <f t="shared" si="0"/>
        <v>8.6251227629049396E-2</v>
      </c>
      <c r="F38" s="10">
        <f t="shared" si="1"/>
        <v>7.4392742675180937E-3</v>
      </c>
      <c r="G38" s="11">
        <f t="shared" si="2"/>
        <v>8.6251227629049396E-2</v>
      </c>
      <c r="H38" s="11"/>
    </row>
    <row r="39" spans="1:8" x14ac:dyDescent="0.25">
      <c r="A39" s="15">
        <v>40756</v>
      </c>
      <c r="B39" s="10">
        <v>-5.679109790447881E-2</v>
      </c>
      <c r="C39" s="10">
        <v>-1.9141914191419203E-2</v>
      </c>
      <c r="D39" s="11">
        <f>Alpha+Beta*B39</f>
        <v>-7.8252168643046405E-2</v>
      </c>
      <c r="E39" s="11">
        <f t="shared" si="0"/>
        <v>5.9110254451627202E-2</v>
      </c>
      <c r="F39" s="10">
        <f t="shared" si="1"/>
        <v>3.4940221813361135E-3</v>
      </c>
      <c r="G39" s="11">
        <f t="shared" si="2"/>
        <v>5.9110254451627202E-2</v>
      </c>
      <c r="H39" s="11"/>
    </row>
    <row r="40" spans="1:8" x14ac:dyDescent="0.25">
      <c r="A40" s="15">
        <v>40725</v>
      </c>
      <c r="B40" s="10">
        <v>-2.1474436636782262E-2</v>
      </c>
      <c r="C40" s="10">
        <v>2.7118644067796634E-2</v>
      </c>
      <c r="D40" s="11">
        <f>Alpha+Beta*B40</f>
        <v>-3.3982315958158836E-2</v>
      </c>
      <c r="E40" s="11">
        <f t="shared" si="0"/>
        <v>6.110096002595547E-2</v>
      </c>
      <c r="F40" s="10">
        <f t="shared" si="1"/>
        <v>3.7333273160934082E-3</v>
      </c>
      <c r="G40" s="11">
        <f t="shared" si="2"/>
        <v>6.110096002595547E-2</v>
      </c>
      <c r="H40" s="11"/>
    </row>
    <row r="41" spans="1:8" x14ac:dyDescent="0.25">
      <c r="A41" s="15">
        <v>40695</v>
      </c>
      <c r="B41" s="10">
        <v>-1.8257508177222676E-2</v>
      </c>
      <c r="C41" s="10">
        <v>-7.1158690176322467E-2</v>
      </c>
      <c r="D41" s="11">
        <f>Alpha+Beta*B41</f>
        <v>-2.9949858078772956E-2</v>
      </c>
      <c r="E41" s="11">
        <f t="shared" si="0"/>
        <v>-4.1208832097549511E-2</v>
      </c>
      <c r="F41" s="10">
        <f t="shared" si="1"/>
        <v>1.6981678428440268E-3</v>
      </c>
      <c r="G41" s="11">
        <f t="shared" si="2"/>
        <v>4.1208832097549511E-2</v>
      </c>
      <c r="H41" s="11"/>
    </row>
    <row r="42" spans="1:8" x14ac:dyDescent="0.25">
      <c r="A42" s="15">
        <v>40664</v>
      </c>
      <c r="B42" s="10">
        <v>-1.3500927684601796E-2</v>
      </c>
      <c r="C42" s="10">
        <v>-4.1062801932367027E-2</v>
      </c>
      <c r="D42" s="11">
        <f>Alpha+Beta*B42</f>
        <v>-2.3987428162309039E-2</v>
      </c>
      <c r="E42" s="11">
        <f t="shared" si="0"/>
        <v>-1.7075373770057987E-2</v>
      </c>
      <c r="F42" s="10">
        <f t="shared" si="1"/>
        <v>2.915683893871843E-4</v>
      </c>
      <c r="G42" s="11">
        <f t="shared" si="2"/>
        <v>1.7075373770057987E-2</v>
      </c>
      <c r="H42" s="11"/>
    </row>
    <row r="43" spans="1:8" x14ac:dyDescent="0.25">
      <c r="A43" s="15">
        <v>40634</v>
      </c>
      <c r="B43" s="10">
        <v>2.8495357625034863E-2</v>
      </c>
      <c r="C43" s="10">
        <v>2.1591610117211463E-2</v>
      </c>
      <c r="D43" s="11">
        <f>Alpha+Beta*B43</f>
        <v>2.8655412277159932E-2</v>
      </c>
      <c r="E43" s="11">
        <f t="shared" ref="E43:E74" si="3">C43-D43</f>
        <v>-7.0638021599484686E-3</v>
      </c>
      <c r="F43" s="10">
        <f t="shared" ref="F43:F74" si="4">E43^2</f>
        <v>4.9897300954892653E-5</v>
      </c>
      <c r="G43" s="11">
        <f t="shared" ref="G43:G70" si="5">ABS(E43)</f>
        <v>7.0638021599484686E-3</v>
      </c>
      <c r="H43" s="11"/>
    </row>
    <row r="44" spans="1:8" x14ac:dyDescent="0.25">
      <c r="A44" s="15">
        <v>40603</v>
      </c>
      <c r="B44" s="10">
        <v>-1.047301879115821E-3</v>
      </c>
      <c r="C44" s="10">
        <v>-7.2654462242562903E-2</v>
      </c>
      <c r="D44" s="11">
        <f>Alpha+Beta*B44</f>
        <v>-8.3766608923615763E-3</v>
      </c>
      <c r="E44" s="11">
        <f t="shared" si="3"/>
        <v>-6.4277801350201322E-2</v>
      </c>
      <c r="F44" s="10">
        <f t="shared" si="4"/>
        <v>4.1316357464159428E-3</v>
      </c>
      <c r="G44" s="11">
        <f t="shared" si="5"/>
        <v>6.4277801350201322E-2</v>
      </c>
      <c r="H44" s="11"/>
    </row>
    <row r="45" spans="1:8" x14ac:dyDescent="0.25">
      <c r="A45" s="15">
        <v>40575</v>
      </c>
      <c r="B45" s="10">
        <v>3.195658258949409E-2</v>
      </c>
      <c r="C45" s="10">
        <v>-0.12248995983935748</v>
      </c>
      <c r="D45" s="11">
        <f>Alpha+Beta*B45</f>
        <v>3.2994098715394105E-2</v>
      </c>
      <c r="E45" s="11">
        <f t="shared" si="3"/>
        <v>-0.15548405855475159</v>
      </c>
      <c r="F45" s="10">
        <f t="shared" si="4"/>
        <v>2.4175292464657421E-2</v>
      </c>
      <c r="G45" s="11">
        <f t="shared" si="5"/>
        <v>0.15548405855475159</v>
      </c>
      <c r="H45" s="11"/>
    </row>
    <row r="46" spans="1:8" x14ac:dyDescent="0.25">
      <c r="A46" s="15">
        <v>40544</v>
      </c>
      <c r="B46" s="10">
        <v>2.2645590152984788E-2</v>
      </c>
      <c r="C46" s="10">
        <v>4.5669291338582725E-2</v>
      </c>
      <c r="D46" s="11">
        <f>Alpha+Beta*B46</f>
        <v>2.1322659549897531E-2</v>
      </c>
      <c r="E46" s="11">
        <f t="shared" si="3"/>
        <v>2.4346631788685194E-2</v>
      </c>
      <c r="F46" s="10">
        <f t="shared" si="4"/>
        <v>5.9275847945381636E-4</v>
      </c>
      <c r="G46" s="11">
        <f t="shared" si="5"/>
        <v>2.4346631788685194E-2</v>
      </c>
      <c r="H46" s="11"/>
    </row>
    <row r="47" spans="1:8" x14ac:dyDescent="0.25">
      <c r="A47" s="15">
        <v>40513</v>
      </c>
      <c r="B47" s="10">
        <v>6.5300072000338952E-2</v>
      </c>
      <c r="C47" s="10">
        <v>5.5986696230598758E-2</v>
      </c>
      <c r="D47" s="11">
        <f>Alpha+Beta*B47</f>
        <v>7.4790557135668984E-2</v>
      </c>
      <c r="E47" s="11">
        <f t="shared" si="3"/>
        <v>-1.8803860905070226E-2</v>
      </c>
      <c r="F47" s="10">
        <f t="shared" si="4"/>
        <v>3.5358518493722846E-4</v>
      </c>
      <c r="G47" s="11">
        <f t="shared" si="5"/>
        <v>1.8803860905070226E-2</v>
      </c>
      <c r="H47" s="11"/>
    </row>
    <row r="48" spans="1:8" x14ac:dyDescent="0.25">
      <c r="A48" s="15">
        <v>40483</v>
      </c>
      <c r="B48" s="10">
        <v>-2.290282778087687E-3</v>
      </c>
      <c r="C48" s="10">
        <v>-0.16209939619136099</v>
      </c>
      <c r="D48" s="11">
        <f>Alpha+Beta*B48</f>
        <v>-9.934752153325288E-3</v>
      </c>
      <c r="E48" s="11">
        <f t="shared" si="3"/>
        <v>-0.1521646440380357</v>
      </c>
      <c r="F48" s="10">
        <f t="shared" si="4"/>
        <v>2.3154078895222113E-2</v>
      </c>
      <c r="G48" s="11">
        <f t="shared" si="5"/>
        <v>0.1521646440380357</v>
      </c>
      <c r="H48" s="11"/>
    </row>
    <row r="49" spans="1:8" x14ac:dyDescent="0.25">
      <c r="A49" s="15">
        <v>40452</v>
      </c>
      <c r="B49" s="10">
        <v>3.6855941114616146E-2</v>
      </c>
      <c r="C49" s="10">
        <v>4.4131910766246368E-2</v>
      </c>
      <c r="D49" s="11">
        <f>Alpha+Beta*B49</f>
        <v>3.913550258462084E-2</v>
      </c>
      <c r="E49" s="11">
        <f t="shared" si="3"/>
        <v>4.9964081816255279E-3</v>
      </c>
      <c r="F49" s="10">
        <f t="shared" si="4"/>
        <v>2.4964094717414515E-5</v>
      </c>
      <c r="G49" s="11">
        <f t="shared" si="5"/>
        <v>4.9964081816255279E-3</v>
      </c>
      <c r="H49" s="11"/>
    </row>
    <row r="50" spans="1:8" x14ac:dyDescent="0.25">
      <c r="A50" s="15">
        <v>40422</v>
      </c>
      <c r="B50" s="10">
        <v>8.7551104037814728E-2</v>
      </c>
      <c r="C50" s="10">
        <v>9.5642933049946907E-2</v>
      </c>
      <c r="D50" s="11">
        <f>Alpha+Beta*B50</f>
        <v>0.10268248901788153</v>
      </c>
      <c r="E50" s="11">
        <f t="shared" si="3"/>
        <v>-7.0395559679346242E-3</v>
      </c>
      <c r="F50" s="10">
        <f t="shared" si="4"/>
        <v>4.9555348225683981E-5</v>
      </c>
      <c r="G50" s="11">
        <f t="shared" si="5"/>
        <v>7.0395559679346242E-3</v>
      </c>
      <c r="H50" s="11"/>
    </row>
    <row r="51" spans="1:8" x14ac:dyDescent="0.25">
      <c r="A51" s="15">
        <v>40391</v>
      </c>
      <c r="B51" s="10">
        <v>-4.7449164851125623E-2</v>
      </c>
      <c r="C51" s="10">
        <v>-0.13351749539594837</v>
      </c>
      <c r="D51" s="11">
        <f>Alpha+Beta*B51</f>
        <v>-6.6541945048317536E-2</v>
      </c>
      <c r="E51" s="11">
        <f t="shared" si="3"/>
        <v>-6.6975550347630836E-2</v>
      </c>
      <c r="F51" s="10">
        <f t="shared" si="4"/>
        <v>4.4857243443680332E-3</v>
      </c>
      <c r="G51" s="11">
        <f t="shared" si="5"/>
        <v>6.6975550347630836E-2</v>
      </c>
      <c r="H51" s="11"/>
    </row>
    <row r="52" spans="1:8" x14ac:dyDescent="0.25">
      <c r="A52" s="15">
        <v>40360</v>
      </c>
      <c r="B52" s="10">
        <v>6.8777832756061225E-2</v>
      </c>
      <c r="C52" s="10">
        <v>8.22122571001494E-2</v>
      </c>
      <c r="D52" s="11">
        <f>Alpha+Beta*B52</f>
        <v>7.9149971383864981E-2</v>
      </c>
      <c r="E52" s="11">
        <f t="shared" si="3"/>
        <v>3.0622857162844186E-3</v>
      </c>
      <c r="F52" s="10">
        <f t="shared" si="4"/>
        <v>9.3775938081595753E-6</v>
      </c>
      <c r="G52" s="11">
        <f t="shared" si="5"/>
        <v>3.0622857162844186E-3</v>
      </c>
      <c r="H52" s="11"/>
    </row>
    <row r="53" spans="1:8" x14ac:dyDescent="0.25">
      <c r="A53" s="15">
        <v>40330</v>
      </c>
      <c r="B53" s="10">
        <v>-5.3882376699314345E-2</v>
      </c>
      <c r="C53" s="10">
        <v>-7.9779917469050832E-2</v>
      </c>
      <c r="D53" s="11">
        <f>Alpha+Beta*B53</f>
        <v>-7.4606052203046974E-2</v>
      </c>
      <c r="E53" s="11">
        <f t="shared" si="3"/>
        <v>-5.1738652660038575E-3</v>
      </c>
      <c r="F53" s="10">
        <f t="shared" si="4"/>
        <v>2.6768881790761169E-5</v>
      </c>
      <c r="G53" s="11">
        <f t="shared" si="5"/>
        <v>5.1738652660038575E-3</v>
      </c>
      <c r="H53" s="11"/>
    </row>
    <row r="54" spans="1:8" x14ac:dyDescent="0.25">
      <c r="A54" s="15">
        <v>40299</v>
      </c>
      <c r="B54" s="10">
        <v>-8.1975916203894841E-2</v>
      </c>
      <c r="C54" s="10">
        <v>-0.13998422712933756</v>
      </c>
      <c r="D54" s="11">
        <f>Alpha+Beta*B54</f>
        <v>-0.10982163631043917</v>
      </c>
      <c r="E54" s="11">
        <f t="shared" si="3"/>
        <v>-3.0162590818898383E-2</v>
      </c>
      <c r="F54" s="10">
        <f t="shared" si="4"/>
        <v>9.0978188490829304E-4</v>
      </c>
      <c r="G54" s="11">
        <f t="shared" si="5"/>
        <v>3.0162590818898383E-2</v>
      </c>
      <c r="H54" s="11"/>
    </row>
    <row r="55" spans="1:8" x14ac:dyDescent="0.25">
      <c r="A55" s="15">
        <v>40269</v>
      </c>
      <c r="B55" s="10">
        <v>1.475932719359003E-2</v>
      </c>
      <c r="C55" s="10">
        <v>3.4679722562219413E-2</v>
      </c>
      <c r="D55" s="11">
        <f>Alpha+Beta*B55</f>
        <v>1.1437135638099337E-2</v>
      </c>
      <c r="E55" s="11">
        <f t="shared" si="3"/>
        <v>2.3242586924120075E-2</v>
      </c>
      <c r="F55" s="10">
        <f t="shared" si="4"/>
        <v>5.4021784692527748E-4</v>
      </c>
      <c r="G55" s="11">
        <f t="shared" si="5"/>
        <v>2.3242586924120075E-2</v>
      </c>
      <c r="H55" s="11"/>
    </row>
    <row r="56" spans="1:8" x14ac:dyDescent="0.25">
      <c r="A56" s="15">
        <v>40238</v>
      </c>
      <c r="B56" s="10">
        <v>5.8796367554255859E-2</v>
      </c>
      <c r="C56" s="10">
        <v>6.9838498472282906E-2</v>
      </c>
      <c r="D56" s="11">
        <f>Alpha+Beta*B56</f>
        <v>6.6638086675572014E-2</v>
      </c>
      <c r="E56" s="11">
        <f t="shared" si="3"/>
        <v>3.2004117967108919E-3</v>
      </c>
      <c r="F56" s="10">
        <f t="shared" si="4"/>
        <v>1.0242635668526239E-5</v>
      </c>
      <c r="G56" s="11">
        <f t="shared" si="5"/>
        <v>3.2004117967108919E-3</v>
      </c>
      <c r="H56" s="11"/>
    </row>
    <row r="57" spans="1:8" x14ac:dyDescent="0.25">
      <c r="A57" s="15">
        <v>40210</v>
      </c>
      <c r="B57" s="10">
        <v>2.8513693463827205E-2</v>
      </c>
      <c r="C57" s="10">
        <v>8.270321361058601E-2</v>
      </c>
      <c r="D57" s="11">
        <f>Alpha+Beta*B57</f>
        <v>2.8678396467993771E-2</v>
      </c>
      <c r="E57" s="11">
        <f t="shared" si="3"/>
        <v>5.4024817142592239E-2</v>
      </c>
      <c r="F57" s="10">
        <f t="shared" si="4"/>
        <v>2.9186808672905283E-3</v>
      </c>
      <c r="G57" s="11">
        <f t="shared" si="5"/>
        <v>5.4024817142592239E-2</v>
      </c>
      <c r="H57" s="11"/>
    </row>
    <row r="58" spans="1:8" x14ac:dyDescent="0.25">
      <c r="A58" s="15">
        <v>40179</v>
      </c>
      <c r="B58" s="10">
        <v>-3.6974262397991231E-2</v>
      </c>
      <c r="C58" s="10">
        <v>-6.1224489795918324E-2</v>
      </c>
      <c r="D58" s="11">
        <f>Alpha+Beta*B58</f>
        <v>-5.3411530908264476E-2</v>
      </c>
      <c r="E58" s="11">
        <f t="shared" si="3"/>
        <v>-7.8129588876538481E-3</v>
      </c>
      <c r="F58" s="10">
        <f t="shared" si="4"/>
        <v>6.1042326580169255E-5</v>
      </c>
      <c r="G58" s="11">
        <f t="shared" si="5"/>
        <v>7.8129588876538481E-3</v>
      </c>
      <c r="H58" s="11"/>
    </row>
    <row r="59" spans="1:8" x14ac:dyDescent="0.25">
      <c r="A59" s="15">
        <v>40148</v>
      </c>
      <c r="B59" s="10">
        <v>1.7770597738287375E-2</v>
      </c>
      <c r="C59" s="10">
        <v>2.3150249659555061E-2</v>
      </c>
      <c r="D59" s="11">
        <f>Alpha+Beta*B59</f>
        <v>1.5211798888332089E-2</v>
      </c>
      <c r="E59" s="11">
        <f t="shared" si="3"/>
        <v>7.9384507712229723E-3</v>
      </c>
      <c r="F59" s="10">
        <f t="shared" si="4"/>
        <v>6.3019000647130598E-5</v>
      </c>
      <c r="G59" s="11">
        <f t="shared" si="5"/>
        <v>7.9384507712229723E-3</v>
      </c>
      <c r="H59" s="11"/>
    </row>
    <row r="60" spans="1:8" x14ac:dyDescent="0.25">
      <c r="A60" s="15">
        <v>40118</v>
      </c>
      <c r="B60" s="10">
        <v>5.7363996950366293E-2</v>
      </c>
      <c r="C60" s="10">
        <v>2.5605214152700218E-2</v>
      </c>
      <c r="D60" s="11">
        <f>Alpha+Beta*B60</f>
        <v>6.4842593179068847E-2</v>
      </c>
      <c r="E60" s="11">
        <f t="shared" si="3"/>
        <v>-3.9237379026368632E-2</v>
      </c>
      <c r="F60" s="10">
        <f t="shared" si="4"/>
        <v>1.539571912858913E-3</v>
      </c>
      <c r="G60" s="11">
        <f t="shared" si="5"/>
        <v>3.9237379026368632E-2</v>
      </c>
      <c r="H60" s="11"/>
    </row>
    <row r="61" spans="1:8" x14ac:dyDescent="0.25">
      <c r="A61" s="15">
        <v>40087</v>
      </c>
      <c r="B61" s="10">
        <v>-1.976198584780705E-2</v>
      </c>
      <c r="C61" s="10">
        <v>-3.1123139377537266E-2</v>
      </c>
      <c r="D61" s="11">
        <f>Alpha+Beta*B61</f>
        <v>-3.1835738636383691E-2</v>
      </c>
      <c r="E61" s="11">
        <f t="shared" si="3"/>
        <v>7.1259925884642472E-4</v>
      </c>
      <c r="F61" s="10">
        <f t="shared" si="4"/>
        <v>5.0779770370847378E-7</v>
      </c>
      <c r="G61" s="11">
        <f t="shared" si="5"/>
        <v>7.1259925884642472E-4</v>
      </c>
      <c r="H61" s="11"/>
    </row>
    <row r="62" spans="1:8" x14ac:dyDescent="0.25">
      <c r="A62" s="15">
        <v>40057</v>
      </c>
      <c r="B62" s="10">
        <v>3.5723383825517749E-2</v>
      </c>
      <c r="C62" s="10">
        <v>8.9970501474926343E-2</v>
      </c>
      <c r="D62" s="11">
        <f>Alpha+Beta*B62</f>
        <v>3.7715828624912705E-2</v>
      </c>
      <c r="E62" s="11">
        <f t="shared" si="3"/>
        <v>5.2254672850013638E-2</v>
      </c>
      <c r="F62" s="10">
        <f t="shared" si="4"/>
        <v>2.7305508346619524E-3</v>
      </c>
      <c r="G62" s="11">
        <f t="shared" si="5"/>
        <v>5.2254672850013638E-2</v>
      </c>
      <c r="H62" s="11"/>
    </row>
    <row r="63" spans="1:8" x14ac:dyDescent="0.25">
      <c r="A63" s="15">
        <v>40026</v>
      </c>
      <c r="B63" s="10">
        <v>3.3560173370599897E-2</v>
      </c>
      <c r="C63" s="10">
        <v>-1.8813314037626656E-2</v>
      </c>
      <c r="D63" s="11">
        <f>Alpha+Beta*B63</f>
        <v>3.5004218729522724E-2</v>
      </c>
      <c r="E63" s="11">
        <f t="shared" si="3"/>
        <v>-5.381753276714938E-2</v>
      </c>
      <c r="F63" s="10">
        <f t="shared" si="4"/>
        <v>2.8963268331431971E-3</v>
      </c>
      <c r="G63" s="11">
        <f t="shared" si="5"/>
        <v>5.381753276714938E-2</v>
      </c>
      <c r="H63" s="11"/>
    </row>
    <row r="64" spans="1:8" x14ac:dyDescent="0.25">
      <c r="A64" s="15">
        <v>39995</v>
      </c>
      <c r="B64" s="10">
        <v>7.4141756950789672E-2</v>
      </c>
      <c r="C64" s="10">
        <v>0.18052391799544429</v>
      </c>
      <c r="D64" s="11">
        <f>Alpha+Beta*B64</f>
        <v>8.5873713815620062E-2</v>
      </c>
      <c r="E64" s="11">
        <f t="shared" si="3"/>
        <v>9.4650204179824227E-2</v>
      </c>
      <c r="F64" s="10">
        <f t="shared" si="4"/>
        <v>8.9586611512824151E-3</v>
      </c>
      <c r="G64" s="11">
        <f t="shared" si="5"/>
        <v>9.4650204179824227E-2</v>
      </c>
      <c r="H64" s="11"/>
    </row>
    <row r="65" spans="1:8" x14ac:dyDescent="0.25">
      <c r="A65" s="15">
        <v>39965</v>
      </c>
      <c r="B65" s="10">
        <v>1.9583523728709844E-4</v>
      </c>
      <c r="C65" s="10">
        <v>8.0367393800227904E-3</v>
      </c>
      <c r="D65" s="11">
        <f>Alpha+Beta*B65</f>
        <v>-6.818373811000031E-3</v>
      </c>
      <c r="E65" s="11">
        <f t="shared" si="3"/>
        <v>1.4855113191022822E-2</v>
      </c>
      <c r="F65" s="10">
        <f t="shared" si="4"/>
        <v>2.2067438791810025E-4</v>
      </c>
      <c r="G65" s="11">
        <f t="shared" si="5"/>
        <v>1.4855113191022822E-2</v>
      </c>
      <c r="H65" s="11"/>
    </row>
    <row r="66" spans="1:8" x14ac:dyDescent="0.25">
      <c r="A66" s="15">
        <v>39934</v>
      </c>
      <c r="B66" s="10">
        <v>5.3081426656431577E-2</v>
      </c>
      <c r="C66" s="10">
        <v>-4.2330951072017564E-2</v>
      </c>
      <c r="D66" s="11">
        <f>Alpha+Beta*B66</f>
        <v>5.9474340654060806E-2</v>
      </c>
      <c r="E66" s="11">
        <f t="shared" si="3"/>
        <v>-0.10180529172607837</v>
      </c>
      <c r="F66" s="10">
        <f t="shared" si="4"/>
        <v>1.0364317423431921E-2</v>
      </c>
      <c r="G66" s="11">
        <f t="shared" si="5"/>
        <v>0.10180529172607837</v>
      </c>
      <c r="H66" s="11"/>
    </row>
    <row r="67" spans="1:8" x14ac:dyDescent="0.25">
      <c r="A67" s="15">
        <v>39904</v>
      </c>
      <c r="B67" s="10">
        <v>9.3925075513554765E-2</v>
      </c>
      <c r="C67" s="10">
        <v>0.15199493350221674</v>
      </c>
      <c r="D67" s="11">
        <f>Alpha+Beta*B67</f>
        <v>0.11067233766495017</v>
      </c>
      <c r="E67" s="11">
        <f t="shared" si="3"/>
        <v>4.1322595837266565E-2</v>
      </c>
      <c r="F67" s="10">
        <f t="shared" si="4"/>
        <v>1.7075569267300801E-3</v>
      </c>
      <c r="G67" s="11">
        <f t="shared" si="5"/>
        <v>4.1322595837266565E-2</v>
      </c>
      <c r="H67" s="11"/>
    </row>
    <row r="68" spans="1:8" x14ac:dyDescent="0.25">
      <c r="A68" s="15">
        <v>39873</v>
      </c>
      <c r="B68" s="10">
        <v>8.5404508291501674E-2</v>
      </c>
      <c r="C68" s="10">
        <v>0.15087463556851299</v>
      </c>
      <c r="D68" s="11">
        <f>Alpha+Beta*B68</f>
        <v>9.9991705856274829E-2</v>
      </c>
      <c r="E68" s="11">
        <f t="shared" si="3"/>
        <v>5.0882929712238165E-2</v>
      </c>
      <c r="F68" s="10">
        <f t="shared" si="4"/>
        <v>2.5890725361005693E-3</v>
      </c>
      <c r="G68" s="11">
        <f t="shared" si="5"/>
        <v>5.0882929712238165E-2</v>
      </c>
      <c r="H68" s="11"/>
    </row>
    <row r="69" spans="1:8" x14ac:dyDescent="0.25">
      <c r="A69" s="15">
        <v>39845</v>
      </c>
      <c r="B69" s="10">
        <v>-0.10993122487528451</v>
      </c>
      <c r="C69" s="10">
        <v>-2.6950354609929009E-2</v>
      </c>
      <c r="D69" s="11">
        <f>Alpha+Beta*B69</f>
        <v>-0.14486394643319611</v>
      </c>
      <c r="E69" s="11">
        <f t="shared" si="3"/>
        <v>0.11791359182326711</v>
      </c>
      <c r="F69" s="10">
        <f t="shared" si="4"/>
        <v>1.3903615136664044E-2</v>
      </c>
      <c r="G69" s="11">
        <f t="shared" si="5"/>
        <v>0.11791359182326711</v>
      </c>
      <c r="H69" s="11"/>
    </row>
    <row r="70" spans="1:8" x14ac:dyDescent="0.25">
      <c r="A70" s="15">
        <v>39814</v>
      </c>
      <c r="B70" s="10">
        <v>-8.5657348463880442E-2</v>
      </c>
      <c r="C70" s="10">
        <v>-8.1433224755700334E-2</v>
      </c>
      <c r="D70" s="11">
        <f>Alpha+Beta*B70</f>
        <v>-0.11443635519860391</v>
      </c>
      <c r="E70" s="11">
        <f t="shared" si="3"/>
        <v>3.300313044290358E-2</v>
      </c>
      <c r="F70" s="11">
        <f t="shared" si="4"/>
        <v>1.0892066190313092E-3</v>
      </c>
      <c r="G70" s="11">
        <f t="shared" si="5"/>
        <v>3.300313044290358E-2</v>
      </c>
      <c r="H70" s="11"/>
    </row>
    <row r="71" spans="1:8" x14ac:dyDescent="0.25">
      <c r="A71" s="15"/>
      <c r="E71" s="10"/>
    </row>
    <row r="72" spans="1:8" x14ac:dyDescent="0.25">
      <c r="A72" s="15"/>
      <c r="E72" s="10"/>
    </row>
    <row r="73" spans="1:8" x14ac:dyDescent="0.25">
      <c r="A73" s="15"/>
      <c r="E73" s="10"/>
    </row>
    <row r="74" spans="1:8" x14ac:dyDescent="0.25">
      <c r="A74" s="15"/>
      <c r="E74" s="10"/>
    </row>
    <row r="75" spans="1:8" x14ac:dyDescent="0.25">
      <c r="A75" s="15"/>
      <c r="E75" s="10"/>
    </row>
    <row r="76" spans="1:8" x14ac:dyDescent="0.25">
      <c r="A76" s="15"/>
      <c r="E76" s="10"/>
    </row>
    <row r="77" spans="1:8" x14ac:dyDescent="0.25">
      <c r="A77" s="15"/>
      <c r="E77" s="10"/>
    </row>
    <row r="78" spans="1:8" x14ac:dyDescent="0.25">
      <c r="A78" s="15"/>
      <c r="E78" s="10"/>
    </row>
    <row r="79" spans="1:8" x14ac:dyDescent="0.25">
      <c r="A79" s="15"/>
      <c r="E79" s="10"/>
    </row>
    <row r="80" spans="1:8" x14ac:dyDescent="0.25">
      <c r="A80" s="15"/>
      <c r="E80" s="10"/>
    </row>
    <row r="81" spans="1:5" x14ac:dyDescent="0.25">
      <c r="A81" s="15"/>
      <c r="E81" s="10"/>
    </row>
    <row r="82" spans="1:5" x14ac:dyDescent="0.25">
      <c r="A82" s="15"/>
      <c r="E82" s="10"/>
    </row>
    <row r="83" spans="1:5" x14ac:dyDescent="0.25">
      <c r="A83" s="15"/>
      <c r="E83" s="10"/>
    </row>
    <row r="84" spans="1:5" x14ac:dyDescent="0.25">
      <c r="A84" s="15"/>
      <c r="E84" s="10"/>
    </row>
    <row r="85" spans="1:5" x14ac:dyDescent="0.25">
      <c r="A85" s="15"/>
      <c r="E85" s="10"/>
    </row>
    <row r="86" spans="1:5" x14ac:dyDescent="0.25">
      <c r="A86" s="15"/>
      <c r="E86" s="10"/>
    </row>
    <row r="87" spans="1:5" x14ac:dyDescent="0.25">
      <c r="A87" s="15"/>
      <c r="E87" s="10"/>
    </row>
    <row r="88" spans="1:5" x14ac:dyDescent="0.25">
      <c r="A88" s="15"/>
      <c r="E88" s="10"/>
    </row>
    <row r="89" spans="1:5" x14ac:dyDescent="0.25">
      <c r="A89" s="15"/>
      <c r="E89" s="10"/>
    </row>
    <row r="90" spans="1:5" x14ac:dyDescent="0.25">
      <c r="A90" s="15"/>
      <c r="E90" s="10"/>
    </row>
    <row r="91" spans="1:5" x14ac:dyDescent="0.25">
      <c r="A91" s="15"/>
      <c r="E91" s="10"/>
    </row>
    <row r="92" spans="1:5" x14ac:dyDescent="0.25">
      <c r="A92" s="15"/>
      <c r="E92" s="10"/>
    </row>
    <row r="93" spans="1:5" x14ac:dyDescent="0.25">
      <c r="A93" s="15"/>
      <c r="E93" s="10"/>
    </row>
    <row r="94" spans="1:5" x14ac:dyDescent="0.25">
      <c r="A94" s="15"/>
      <c r="E94" s="10"/>
    </row>
    <row r="95" spans="1:5" x14ac:dyDescent="0.25">
      <c r="A95" s="15"/>
      <c r="E95" s="10"/>
    </row>
    <row r="96" spans="1:5" x14ac:dyDescent="0.25">
      <c r="A96" s="15"/>
      <c r="E96" s="10"/>
    </row>
    <row r="97" spans="1:5" x14ac:dyDescent="0.25">
      <c r="A97" s="15"/>
      <c r="E97" s="10"/>
    </row>
    <row r="98" spans="1:5" x14ac:dyDescent="0.25">
      <c r="A98" s="15"/>
      <c r="E98" s="10"/>
    </row>
    <row r="99" spans="1:5" x14ac:dyDescent="0.25">
      <c r="A99" s="15"/>
      <c r="E99" s="10"/>
    </row>
    <row r="100" spans="1:5" x14ac:dyDescent="0.25">
      <c r="A100" s="15"/>
      <c r="E100" s="10"/>
    </row>
    <row r="101" spans="1:5" x14ac:dyDescent="0.25">
      <c r="A101" s="15"/>
      <c r="E101" s="10"/>
    </row>
    <row r="102" spans="1:5" x14ac:dyDescent="0.25">
      <c r="A102" s="15"/>
      <c r="E102" s="10"/>
    </row>
    <row r="103" spans="1:5" x14ac:dyDescent="0.25">
      <c r="A103" s="15"/>
      <c r="E103" s="10"/>
    </row>
    <row r="104" spans="1:5" x14ac:dyDescent="0.25">
      <c r="A104" s="15"/>
      <c r="E104" s="10"/>
    </row>
    <row r="105" spans="1:5" x14ac:dyDescent="0.25">
      <c r="A105" s="15"/>
      <c r="E105" s="10"/>
    </row>
    <row r="106" spans="1:5" x14ac:dyDescent="0.25">
      <c r="A106" s="15"/>
      <c r="E106" s="10"/>
    </row>
    <row r="107" spans="1:5" x14ac:dyDescent="0.25">
      <c r="A107" s="15"/>
      <c r="E107" s="10"/>
    </row>
    <row r="108" spans="1:5" x14ac:dyDescent="0.25">
      <c r="A108" s="15"/>
      <c r="E108" s="10"/>
    </row>
    <row r="109" spans="1:5" x14ac:dyDescent="0.25">
      <c r="A109" s="15"/>
      <c r="E109" s="10"/>
    </row>
    <row r="110" spans="1:5" x14ac:dyDescent="0.25">
      <c r="A110" s="15"/>
      <c r="E110" s="10"/>
    </row>
    <row r="111" spans="1:5" x14ac:dyDescent="0.25">
      <c r="A111" s="15"/>
      <c r="E111" s="10"/>
    </row>
    <row r="112" spans="1:5" x14ac:dyDescent="0.25">
      <c r="A112" s="15"/>
      <c r="E112" s="10"/>
    </row>
    <row r="113" spans="1:5" x14ac:dyDescent="0.25">
      <c r="A113" s="15"/>
      <c r="E113" s="10"/>
    </row>
    <row r="114" spans="1:5" x14ac:dyDescent="0.25">
      <c r="A114" s="15"/>
      <c r="E114" s="10"/>
    </row>
    <row r="115" spans="1:5" x14ac:dyDescent="0.25">
      <c r="A115" s="15"/>
      <c r="E115" s="10"/>
    </row>
    <row r="116" spans="1:5" x14ac:dyDescent="0.25">
      <c r="A116" s="15"/>
      <c r="E116" s="10"/>
    </row>
    <row r="117" spans="1:5" x14ac:dyDescent="0.25">
      <c r="A117" s="15"/>
      <c r="E117" s="10"/>
    </row>
    <row r="118" spans="1:5" x14ac:dyDescent="0.25">
      <c r="A118" s="15"/>
      <c r="E118" s="10"/>
    </row>
    <row r="119" spans="1:5" x14ac:dyDescent="0.25">
      <c r="A119" s="15"/>
      <c r="E119" s="10"/>
    </row>
    <row r="120" spans="1:5" x14ac:dyDescent="0.25">
      <c r="A120" s="15"/>
      <c r="E120" s="10"/>
    </row>
    <row r="121" spans="1:5" x14ac:dyDescent="0.25">
      <c r="A121" s="15"/>
      <c r="E121" s="10"/>
    </row>
    <row r="122" spans="1:5" x14ac:dyDescent="0.25">
      <c r="A122" s="15"/>
      <c r="E122" s="10"/>
    </row>
    <row r="123" spans="1:5" x14ac:dyDescent="0.25">
      <c r="A123" s="15"/>
      <c r="E123" s="10"/>
    </row>
    <row r="124" spans="1:5" x14ac:dyDescent="0.25">
      <c r="A124" s="15"/>
      <c r="E124" s="10"/>
    </row>
    <row r="125" spans="1:5" x14ac:dyDescent="0.25">
      <c r="A125" s="15"/>
      <c r="E125" s="10"/>
    </row>
    <row r="126" spans="1:5" x14ac:dyDescent="0.25">
      <c r="A126" s="15"/>
      <c r="E126" s="10"/>
    </row>
    <row r="127" spans="1:5" x14ac:dyDescent="0.25">
      <c r="A127" s="15"/>
      <c r="E127" s="10"/>
    </row>
    <row r="128" spans="1:5" x14ac:dyDescent="0.25">
      <c r="A128" s="15"/>
      <c r="E128" s="10"/>
    </row>
    <row r="129" spans="1:5" x14ac:dyDescent="0.25">
      <c r="A129" s="15"/>
      <c r="E129" s="10"/>
    </row>
    <row r="130" spans="1:5" x14ac:dyDescent="0.25">
      <c r="A130" s="15"/>
      <c r="E130" s="10"/>
    </row>
    <row r="131" spans="1:5" x14ac:dyDescent="0.25">
      <c r="A131" s="15"/>
      <c r="E131" s="10"/>
    </row>
    <row r="132" spans="1:5" x14ac:dyDescent="0.25">
      <c r="A132" s="15"/>
      <c r="E132" s="10"/>
    </row>
    <row r="133" spans="1:5" x14ac:dyDescent="0.25">
      <c r="A133" s="15"/>
      <c r="E133" s="10"/>
    </row>
    <row r="134" spans="1:5" x14ac:dyDescent="0.25">
      <c r="A134" s="15"/>
      <c r="E134" s="10"/>
    </row>
    <row r="135" spans="1:5" x14ac:dyDescent="0.25">
      <c r="A135" s="15"/>
      <c r="E135" s="10"/>
    </row>
    <row r="136" spans="1:5" x14ac:dyDescent="0.25">
      <c r="A136" s="15"/>
      <c r="E136" s="10"/>
    </row>
    <row r="137" spans="1:5" x14ac:dyDescent="0.25">
      <c r="A137" s="15"/>
      <c r="E137" s="10"/>
    </row>
    <row r="138" spans="1:5" x14ac:dyDescent="0.25">
      <c r="A138" s="2"/>
      <c r="E138" s="10"/>
    </row>
    <row r="139" spans="1:5" x14ac:dyDescent="0.25">
      <c r="A139" s="2"/>
      <c r="E139" s="10"/>
    </row>
    <row r="140" spans="1:5" x14ac:dyDescent="0.25">
      <c r="A140" s="2"/>
      <c r="E140" s="10"/>
    </row>
    <row r="141" spans="1:5" x14ac:dyDescent="0.25">
      <c r="A141" s="2"/>
      <c r="E141" s="10"/>
    </row>
    <row r="142" spans="1:5" x14ac:dyDescent="0.25">
      <c r="A142" s="2"/>
      <c r="E142" s="10"/>
    </row>
    <row r="143" spans="1:5" x14ac:dyDescent="0.25">
      <c r="A143" s="2"/>
      <c r="E143" s="10"/>
    </row>
    <row r="144" spans="1:5" x14ac:dyDescent="0.25">
      <c r="A144" s="2"/>
      <c r="E144" s="10"/>
    </row>
    <row r="145" spans="1:5" x14ac:dyDescent="0.25">
      <c r="A145" s="2"/>
      <c r="E145" s="10"/>
    </row>
    <row r="146" spans="1:5" x14ac:dyDescent="0.25">
      <c r="A146" s="2"/>
      <c r="E146" s="10"/>
    </row>
    <row r="147" spans="1:5" x14ac:dyDescent="0.25">
      <c r="A147" s="2"/>
      <c r="E147" s="10"/>
    </row>
    <row r="148" spans="1:5" x14ac:dyDescent="0.25">
      <c r="A148" s="2"/>
      <c r="E148" s="10"/>
    </row>
    <row r="149" spans="1:5" x14ac:dyDescent="0.25">
      <c r="A149" s="2"/>
      <c r="E149" s="10"/>
    </row>
    <row r="150" spans="1:5" x14ac:dyDescent="0.25">
      <c r="A150" s="2"/>
      <c r="E150" s="10"/>
    </row>
    <row r="151" spans="1:5" x14ac:dyDescent="0.25">
      <c r="A151" s="2"/>
      <c r="E151" s="10"/>
    </row>
    <row r="152" spans="1:5" x14ac:dyDescent="0.25">
      <c r="A152" s="2"/>
      <c r="E152" s="10"/>
    </row>
    <row r="153" spans="1:5" x14ac:dyDescent="0.25">
      <c r="A153" s="2"/>
      <c r="E153" s="10"/>
    </row>
    <row r="154" spans="1:5" x14ac:dyDescent="0.25">
      <c r="A154" s="2"/>
      <c r="E154" s="10"/>
    </row>
    <row r="155" spans="1:5" x14ac:dyDescent="0.25">
      <c r="A155" s="2"/>
      <c r="E155" s="10"/>
    </row>
    <row r="156" spans="1:5" x14ac:dyDescent="0.25">
      <c r="A156" s="2"/>
      <c r="E156" s="10"/>
    </row>
    <row r="157" spans="1:5" x14ac:dyDescent="0.25">
      <c r="A157" s="2"/>
      <c r="E157" s="10"/>
    </row>
    <row r="158" spans="1:5" x14ac:dyDescent="0.25">
      <c r="A158" s="2"/>
      <c r="E158" s="10"/>
    </row>
    <row r="159" spans="1:5" x14ac:dyDescent="0.25">
      <c r="A159" s="2"/>
      <c r="E159" s="10"/>
    </row>
    <row r="160" spans="1:5" x14ac:dyDescent="0.25">
      <c r="A160" s="2"/>
      <c r="E160" s="10"/>
    </row>
    <row r="161" spans="1:5" x14ac:dyDescent="0.25">
      <c r="A161" s="2"/>
      <c r="E161" s="10"/>
    </row>
    <row r="162" spans="1:5" x14ac:dyDescent="0.25">
      <c r="A162" s="2"/>
      <c r="E162" s="10"/>
    </row>
    <row r="163" spans="1:5" x14ac:dyDescent="0.25">
      <c r="A163" s="2"/>
      <c r="E163" s="10"/>
    </row>
    <row r="164" spans="1:5" x14ac:dyDescent="0.25">
      <c r="A164" s="2"/>
      <c r="E164" s="10"/>
    </row>
    <row r="165" spans="1:5" x14ac:dyDescent="0.25">
      <c r="A165" s="2"/>
      <c r="E165" s="10"/>
    </row>
    <row r="166" spans="1:5" x14ac:dyDescent="0.25">
      <c r="A166" s="2"/>
      <c r="E166" s="10"/>
    </row>
    <row r="167" spans="1:5" x14ac:dyDescent="0.25">
      <c r="A167" s="2"/>
      <c r="E167" s="10"/>
    </row>
    <row r="168" spans="1:5" x14ac:dyDescent="0.25">
      <c r="A168" s="2"/>
      <c r="E168" s="10"/>
    </row>
    <row r="169" spans="1:5" x14ac:dyDescent="0.25">
      <c r="A169" s="2"/>
      <c r="E169" s="10"/>
    </row>
    <row r="170" spans="1:5" x14ac:dyDescent="0.25">
      <c r="A170" s="2"/>
      <c r="E170" s="10"/>
    </row>
    <row r="171" spans="1:5" x14ac:dyDescent="0.25">
      <c r="A171" s="2"/>
      <c r="E171" s="10"/>
    </row>
    <row r="172" spans="1:5" x14ac:dyDescent="0.25">
      <c r="A172" s="2"/>
      <c r="E172" s="10"/>
    </row>
    <row r="173" spans="1:5" x14ac:dyDescent="0.25">
      <c r="A173" s="2"/>
      <c r="E173" s="10"/>
    </row>
    <row r="174" spans="1:5" x14ac:dyDescent="0.25">
      <c r="A174" s="2"/>
      <c r="E174" s="10"/>
    </row>
    <row r="175" spans="1:5" x14ac:dyDescent="0.25">
      <c r="A175" s="2"/>
      <c r="E175" s="10"/>
    </row>
    <row r="176" spans="1:5" x14ac:dyDescent="0.25">
      <c r="A176" s="2"/>
      <c r="E176" s="10"/>
    </row>
    <row r="177" spans="1:5" x14ac:dyDescent="0.25">
      <c r="A177" s="2"/>
      <c r="E177" s="10"/>
    </row>
    <row r="178" spans="1:5" x14ac:dyDescent="0.25">
      <c r="A178" s="2"/>
      <c r="E178" s="10"/>
    </row>
    <row r="179" spans="1:5" x14ac:dyDescent="0.25">
      <c r="A179" s="2"/>
      <c r="E179" s="10"/>
    </row>
    <row r="180" spans="1:5" x14ac:dyDescent="0.25">
      <c r="A180" s="2"/>
      <c r="E180" s="10"/>
    </row>
    <row r="181" spans="1:5" x14ac:dyDescent="0.25">
      <c r="A181" s="2"/>
      <c r="E181" s="10"/>
    </row>
    <row r="182" spans="1:5" x14ac:dyDescent="0.25">
      <c r="A182" s="2"/>
      <c r="E182" s="10"/>
    </row>
    <row r="183" spans="1:5" x14ac:dyDescent="0.25">
      <c r="A183" s="2"/>
      <c r="E183" s="10"/>
    </row>
    <row r="184" spans="1:5" x14ac:dyDescent="0.25">
      <c r="A184" s="2"/>
      <c r="E184" s="10"/>
    </row>
    <row r="185" spans="1:5" x14ac:dyDescent="0.25">
      <c r="A185" s="2"/>
      <c r="E185" s="10"/>
    </row>
    <row r="186" spans="1:5" x14ac:dyDescent="0.25">
      <c r="A186" s="2"/>
      <c r="E186" s="10"/>
    </row>
    <row r="187" spans="1:5" x14ac:dyDescent="0.25">
      <c r="A187" s="2"/>
      <c r="E187" s="10"/>
    </row>
    <row r="188" spans="1:5" x14ac:dyDescent="0.25">
      <c r="A188" s="2"/>
      <c r="E188" s="10"/>
    </row>
    <row r="189" spans="1:5" x14ac:dyDescent="0.25">
      <c r="A189" s="2"/>
      <c r="E189" s="10"/>
    </row>
    <row r="190" spans="1:5" x14ac:dyDescent="0.25">
      <c r="A190" s="2"/>
      <c r="E190" s="10"/>
    </row>
    <row r="191" spans="1:5" x14ac:dyDescent="0.25">
      <c r="A191" s="2"/>
      <c r="E191" s="10"/>
    </row>
    <row r="192" spans="1:5" x14ac:dyDescent="0.25">
      <c r="A192" s="2"/>
      <c r="E192" s="10"/>
    </row>
    <row r="193" spans="1:5" x14ac:dyDescent="0.25">
      <c r="A193" s="2"/>
      <c r="E193" s="10"/>
    </row>
    <row r="194" spans="1:5" x14ac:dyDescent="0.25">
      <c r="A194" s="2"/>
      <c r="E194" s="10"/>
    </row>
    <row r="195" spans="1:5" x14ac:dyDescent="0.25">
      <c r="A195" s="2"/>
      <c r="E195" s="10"/>
    </row>
    <row r="196" spans="1:5" x14ac:dyDescent="0.25">
      <c r="A196" s="2"/>
      <c r="E196" s="10"/>
    </row>
    <row r="197" spans="1:5" x14ac:dyDescent="0.25">
      <c r="A197" s="2"/>
      <c r="E197" s="10"/>
    </row>
    <row r="198" spans="1:5" x14ac:dyDescent="0.25">
      <c r="A198" s="2"/>
      <c r="E198" s="10"/>
    </row>
    <row r="199" spans="1:5" x14ac:dyDescent="0.25">
      <c r="A199" s="2"/>
      <c r="E199" s="10"/>
    </row>
    <row r="200" spans="1:5" x14ac:dyDescent="0.25">
      <c r="A200" s="2"/>
      <c r="E200" s="10"/>
    </row>
    <row r="201" spans="1:5" x14ac:dyDescent="0.25">
      <c r="A201" s="2"/>
      <c r="E201" s="10"/>
    </row>
    <row r="202" spans="1:5" x14ac:dyDescent="0.25">
      <c r="A202" s="2"/>
      <c r="E202" s="10"/>
    </row>
  </sheetData>
  <sortState ref="AA2:AB28">
    <sortCondition ref="AA1"/>
  </sortState>
  <phoneticPr fontId="0" type="noConversion"/>
  <printOptions headings="1" gridLines="1"/>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autoFill="0" autoPict="0" macro="[0]!ViewChart">
                <anchor moveWithCells="1" sizeWithCells="1">
                  <from>
                    <xdr:col>2</xdr:col>
                    <xdr:colOff>371475</xdr:colOff>
                    <xdr:row>3</xdr:row>
                    <xdr:rowOff>28575</xdr:rowOff>
                  </from>
                  <to>
                    <xdr:col>4</xdr:col>
                    <xdr:colOff>600075</xdr:colOff>
                    <xdr:row>4</xdr:row>
                    <xdr:rowOff>152400</xdr:rowOff>
                  </to>
                </anchor>
              </controlPr>
            </control>
          </mc:Choice>
        </mc:AlternateContent>
        <mc:AlternateContent xmlns:mc="http://schemas.openxmlformats.org/markup-compatibility/2006">
          <mc:Choice Requires="x14">
            <control shapeId="2059" r:id="rId5" name="Button 11">
              <controlPr defaultSize="0" autoFill="0" autoPict="0" macro="[0]!ViewExplanation">
                <anchor moveWithCells="1" sizeWithCells="1">
                  <from>
                    <xdr:col>5</xdr:col>
                    <xdr:colOff>180975</xdr:colOff>
                    <xdr:row>3</xdr:row>
                    <xdr:rowOff>28575</xdr:rowOff>
                  </from>
                  <to>
                    <xdr:col>8</xdr:col>
                    <xdr:colOff>38100</xdr:colOff>
                    <xdr:row>4</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10</vt:i4>
      </vt:variant>
    </vt:vector>
  </HeadingPairs>
  <TitlesOfParts>
    <vt:vector size="13" baseType="lpstr">
      <vt:lpstr>Explanation</vt:lpstr>
      <vt:lpstr>Model</vt:lpstr>
      <vt:lpstr>TimeSeriesChart</vt:lpstr>
      <vt:lpstr>Model!AbsErrs</vt:lpstr>
      <vt:lpstr>Model!Alpha</vt:lpstr>
      <vt:lpstr>Model!AlphaBeta</vt:lpstr>
      <vt:lpstr>Model!Beta</vt:lpstr>
      <vt:lpstr>Model!Companies</vt:lpstr>
      <vt:lpstr>Model!Objective</vt:lpstr>
      <vt:lpstr>Model!Print_Area</vt:lpstr>
      <vt:lpstr>Model!SqErrs</vt:lpstr>
      <vt:lpstr>Model!Weight</vt:lpstr>
      <vt:lpstr>Model!Weights</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2011-01-28T15:37:41Z</cp:lastPrinted>
  <dcterms:created xsi:type="dcterms:W3CDTF">1999-07-23T20:13:40Z</dcterms:created>
  <dcterms:modified xsi:type="dcterms:W3CDTF">2015-02-13T14:43:20Z</dcterms:modified>
</cp:coreProperties>
</file>