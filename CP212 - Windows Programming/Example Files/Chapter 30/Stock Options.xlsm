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30\"/>
    </mc:Choice>
  </mc:AlternateContent>
  <bookViews>
    <workbookView xWindow="360" yWindow="120" windowWidth="11340" windowHeight="5520"/>
  </bookViews>
  <sheets>
    <sheet name="Explanation" sheetId="5" r:id="rId1"/>
    <sheet name="EuroModel" sheetId="2" state="hidden" r:id="rId2"/>
    <sheet name="AmerModel" sheetId="4" state="hidden" r:id="rId3"/>
    <sheet name="AmerPutReport" sheetId="6" state="hidden" r:id="rId4"/>
  </sheets>
  <functionGroups builtInGroupCount="18"/>
  <definedNames>
    <definedName name="AmerOptType" localSheetId="2">AmerModel!$B$4</definedName>
    <definedName name="CurrentDate" localSheetId="2">AmerModel!$B$7</definedName>
    <definedName name="CurrentDate" localSheetId="1">EuroModel!$B$7</definedName>
    <definedName name="CurrentPrice" localSheetId="2">AmerModel!$B$5</definedName>
    <definedName name="CurrentPrice" localSheetId="1">EuroModel!$B$5</definedName>
    <definedName name="DownFactor" localSheetId="2">AmerModel!$B$16</definedName>
    <definedName name="Duration" localSheetId="2">AmerModel!$B$12</definedName>
    <definedName name="Duration" localSheetId="1">EuroModel!$B$12</definedName>
    <definedName name="EuroOptType" localSheetId="1">EuroModel!$B$4</definedName>
    <definedName name="ExerciseDate" localSheetId="2">AmerModel!$B$8</definedName>
    <definedName name="ExerciseDate" localSheetId="1">EuroModel!$B$8</definedName>
    <definedName name="ExercisePrice" localSheetId="2">AmerModel!$B$6</definedName>
    <definedName name="ExercisePrice" localSheetId="1">EuroModel!$B$6</definedName>
    <definedName name="PrDown" localSheetId="2">AmerModel!$B$18</definedName>
    <definedName name="_xlnm.Print_Area" localSheetId="2">AmerModel!$A$1:$B$20</definedName>
    <definedName name="_xlnm.Print_Area" localSheetId="3">AmerPutReport!$A$1:$G$6</definedName>
    <definedName name="_xlnm.Print_Area" localSheetId="1">EuroModel!$A$1:$E$18</definedName>
    <definedName name="PrUp" localSheetId="2">AmerModel!$B$17</definedName>
    <definedName name="RiskfreeRate" localSheetId="2">AmerModel!$B$9</definedName>
    <definedName name="RiskfreeRate" localSheetId="1">EuroModel!$B$9</definedName>
    <definedName name="solver_adj" localSheetId="2" hidden="1">AmerModel!$B$21</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bd" localSheetId="2" hidden="1">2</definedName>
    <definedName name="solver_itr" localSheetId="2" hidden="1">1000</definedName>
    <definedName name="solver_lhs1" localSheetId="2" hidden="1">AmerModel!$B$25</definedName>
    <definedName name="solver_lin" localSheetId="2" hidden="1">2</definedName>
    <definedName name="solver_lva" localSheetId="2" hidden="1">2</definedName>
    <definedName name="solver_mip" localSheetId="2" hidden="1">1000</definedName>
    <definedName name="solver_mni" localSheetId="2" hidden="1">30</definedName>
    <definedName name="solver_mrt" localSheetId="2" hidden="1">0.075</definedName>
    <definedName name="solver_neg" localSheetId="2" hidden="1">2</definedName>
    <definedName name="solver_nod" localSheetId="2" hidden="1">1000</definedName>
    <definedName name="solver_num" localSheetId="2" hidden="1">1</definedName>
    <definedName name="solver_nwt" localSheetId="2" hidden="1">1</definedName>
    <definedName name="solver_ofx" localSheetId="2" hidden="1">2</definedName>
    <definedName name="solver_opt" localSheetId="2" hidden="1">AmerModel!$B$21</definedName>
    <definedName name="solver_piv" localSheetId="2" hidden="1">0.000001</definedName>
    <definedName name="solver_pre" localSheetId="2" hidden="1">0.000001</definedName>
    <definedName name="solver_pro" localSheetId="2" hidden="1">2</definedName>
    <definedName name="solver_rbv" localSheetId="2" hidden="1">1</definedName>
    <definedName name="solver_red" localSheetId="2" hidden="1">0.000001</definedName>
    <definedName name="solver_rel1" localSheetId="2" hidden="1">2</definedName>
    <definedName name="solver_reo" localSheetId="2" hidden="1">2</definedName>
    <definedName name="solver_rep" localSheetId="2" hidden="1">2</definedName>
    <definedName name="solver_rhs1" localSheetId="2" hidden="1">AmerModel!$B$6-AmerModel!$B$21</definedName>
    <definedName name="solver_rlx" localSheetId="2" hidden="1">2</definedName>
    <definedName name="solver_scl" localSheetId="2" hidden="1">2</definedName>
    <definedName name="solver_sho" localSheetId="2" hidden="1">2</definedName>
    <definedName name="solver_ssz" localSheetId="2" hidden="1">100</definedName>
    <definedName name="solver_std" localSheetId="2" hidden="1">0</definedName>
    <definedName name="solver_tim" localSheetId="2" hidden="1">100</definedName>
    <definedName name="solver_tol" localSheetId="2" hidden="1">0.05</definedName>
    <definedName name="solver_typ" localSheetId="2" hidden="1">1</definedName>
    <definedName name="solver_val" localSheetId="2" hidden="1">0</definedName>
    <definedName name="solver_ver" localSheetId="2" hidden="1">2</definedName>
    <definedName name="UpFactor" localSheetId="2">AmerModel!$B$15</definedName>
    <definedName name="Volatility" localSheetId="2">AmerModel!$B$10</definedName>
    <definedName name="Volatility" localSheetId="1">EuroModel!$B$10</definedName>
  </definedNames>
  <calcPr calcId="152511"/>
</workbook>
</file>

<file path=xl/calcChain.xml><?xml version="1.0" encoding="utf-8"?>
<calcChain xmlns="http://schemas.openxmlformats.org/spreadsheetml/2006/main">
  <c r="B29" i="4" l="1"/>
  <c r="E29" i="4"/>
  <c r="D29" i="4" s="1"/>
  <c r="C29" i="4" s="1"/>
  <c r="B30" i="4"/>
  <c r="C30" i="4"/>
  <c r="E30" i="4"/>
  <c r="D30" i="4" s="1"/>
  <c r="B31" i="4"/>
  <c r="C31" i="4"/>
  <c r="D31" i="4"/>
  <c r="E31" i="4"/>
  <c r="F28" i="4"/>
  <c r="B22" i="4"/>
  <c r="C22" i="4"/>
  <c r="D22" i="4"/>
  <c r="E22" i="4"/>
  <c r="E23" i="4" s="1"/>
  <c r="E24" i="4" s="1"/>
  <c r="F22" i="4"/>
  <c r="F23" i="4" s="1"/>
  <c r="F24" i="4" s="1"/>
  <c r="F25" i="4" s="1"/>
  <c r="F32" i="4" s="1"/>
  <c r="B23" i="4"/>
  <c r="C23" i="4"/>
  <c r="D23" i="4"/>
  <c r="B24" i="4"/>
  <c r="C24" i="4"/>
  <c r="D24" i="4"/>
  <c r="B25" i="4"/>
  <c r="C25" i="4"/>
  <c r="D25" i="4"/>
  <c r="E25" i="4"/>
  <c r="C21" i="4"/>
  <c r="D21" i="4"/>
  <c r="E21" i="4" s="1"/>
  <c r="F21" i="4" s="1"/>
  <c r="F31" i="4" l="1"/>
  <c r="F30" i="4"/>
  <c r="F29" i="4"/>
  <c r="E28" i="4" s="1"/>
  <c r="D28" i="4" s="1"/>
  <c r="C28" i="4" s="1"/>
  <c r="B28" i="4" s="1"/>
  <c r="B7" i="2"/>
  <c r="B7" i="4"/>
  <c r="B15" i="4"/>
  <c r="B12" i="2"/>
  <c r="B12" i="4"/>
  <c r="B16" i="4" l="1"/>
  <c r="B16" i="2"/>
  <c r="E16" i="2" s="1"/>
  <c r="B15" i="2"/>
  <c r="E15" i="2" s="1"/>
  <c r="B18" i="2" l="1"/>
  <c r="B17" i="4"/>
  <c r="B18" i="4" l="1"/>
</calcChain>
</file>

<file path=xl/sharedStrings.xml><?xml version="1.0" encoding="utf-8"?>
<sst xmlns="http://schemas.openxmlformats.org/spreadsheetml/2006/main" count="39" uniqueCount="30">
  <si>
    <t>Black-Scholes model for pricing European puts, calls</t>
  </si>
  <si>
    <t>Input data</t>
  </si>
  <si>
    <t>Stock price</t>
  </si>
  <si>
    <t>Exercise price</t>
  </si>
  <si>
    <t>Riskfree interest rate</t>
  </si>
  <si>
    <t>StDev of annual return</t>
  </si>
  <si>
    <t>d1</t>
  </si>
  <si>
    <t>N(d1)</t>
  </si>
  <si>
    <t>d2</t>
  </si>
  <si>
    <t>N(d2)</t>
  </si>
  <si>
    <t>Option price</t>
  </si>
  <si>
    <t>Today's date</t>
  </si>
  <si>
    <t>Exercise date</t>
  </si>
  <si>
    <t>Duration (trading days)</t>
  </si>
  <si>
    <t>Type of option (1 for call, 2 for put)</t>
  </si>
  <si>
    <t>Quantities for Black-Scholes formula</t>
  </si>
  <si>
    <t>Binomial tree model for pricing American calls, puts</t>
  </si>
  <si>
    <t>Parameters for binomial tree</t>
  </si>
  <si>
    <t>Up factor</t>
  </si>
  <si>
    <t>Down factor</t>
  </si>
  <si>
    <t>Probability of up</t>
  </si>
  <si>
    <t>Probability of down</t>
  </si>
  <si>
    <t>Future prices</t>
  </si>
  <si>
    <t>Option values</t>
  </si>
  <si>
    <t>Price of option</t>
  </si>
  <si>
    <t>Boundary price</t>
  </si>
  <si>
    <t>Option price and early exercise boundary for the American put option</t>
  </si>
  <si>
    <t>Early exercise boundary: exercise only if stock price on this day is below the value in column B.</t>
  </si>
  <si>
    <t>Option Pricing Application</t>
  </si>
  <si>
    <t>Trading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</si>
</sst>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7" formatCode="&quot;$&quot;#,##0.00_);\(&quot;$&quot;#,##0.00\)"/>
    <numFmt numFmtId="8" formatCode="&quot;$&quot;#,##0.00_);[Red]\(&quot;$&quot;#,##0.00\)"/>
    <numFmt numFmtId="164" formatCode="&quot;$&quot;#,##0.00;\-&quot;$&quot;#,##0.00"/>
    <numFmt numFmtId="165" formatCode="dd\-mmm\-yy"/>
    <numFmt numFmtId="166" formatCode="0.000"/>
    <numFmt numFmtId="167" formatCode="mm/dd/yy"/>
  </numFmts>
  <fonts count="4" x14ac:knownFonts="1">
    <font>
      <sz val="11"/>
      <name val="Calibri"/>
      <family val="2"/>
      <scheme val="minor"/>
    </font>
    <font>
      <b/>
      <sz val="14"/>
      <name val="Calibri"/>
      <family val="2"/>
      <scheme val="minor"/>
    </font>
    <font>
      <b/>
      <sz val="11"/>
      <name val="Calibri"/>
      <family val="2"/>
      <scheme val="minor"/>
    </font>
    <font>
      <sz val="11"/>
      <color rgb="FF000000"/>
      <name val="Calibri"/>
      <family val="2"/>
    </font>
  </fonts>
  <fills count="5">
    <fill>
      <patternFill patternType="none"/>
    </fill>
    <fill>
      <patternFill patternType="gray125"/>
    </fill>
    <fill>
      <patternFill patternType="solid">
        <fgColor theme="4" tint="0.59999389629810485"/>
        <bgColor indexed="64"/>
      </patternFill>
    </fill>
    <fill>
      <patternFill patternType="solid">
        <fgColor theme="0" tint="-0.24994659260841701"/>
        <bgColor indexed="64"/>
      </patternFill>
    </fill>
    <fill>
      <patternFill patternType="solid">
        <fgColor theme="4" tint="0.59996337778862885"/>
        <bgColor indexed="64"/>
      </patternFill>
    </fill>
  </fills>
  <borders count="1">
    <border>
      <left/>
      <right/>
      <top/>
      <bottom/>
      <diagonal/>
    </border>
  </borders>
  <cellStyleXfs count="1">
    <xf numFmtId="0" fontId="0" fillId="0" borderId="0"/>
  </cellStyleXfs>
  <cellXfs count="24">
    <xf numFmtId="0" fontId="0" fillId="0" borderId="0" xfId="0"/>
    <xf numFmtId="0" fontId="0" fillId="0" borderId="0" xfId="0" applyFill="1"/>
    <xf numFmtId="0" fontId="0" fillId="0" borderId="0" xfId="0" applyFont="1"/>
    <xf numFmtId="1" fontId="0" fillId="0" borderId="0" xfId="0" applyNumberFormat="1" applyFont="1" applyFill="1" applyBorder="1"/>
    <xf numFmtId="0" fontId="0" fillId="0" borderId="0" xfId="0" quotePrefix="1" applyFont="1" applyAlignment="1">
      <alignment horizontal="right"/>
    </xf>
    <xf numFmtId="0" fontId="2" fillId="0" borderId="0" xfId="0" applyFont="1"/>
    <xf numFmtId="164" fontId="0" fillId="2" borderId="0" xfId="0" applyNumberFormat="1" applyFont="1" applyFill="1" applyBorder="1"/>
    <xf numFmtId="165" fontId="0" fillId="2" borderId="0" xfId="0" applyNumberFormat="1" applyFont="1" applyFill="1" applyBorder="1"/>
    <xf numFmtId="166" fontId="0" fillId="2" borderId="0" xfId="0" applyNumberFormat="1" applyFont="1" applyFill="1" applyBorder="1"/>
    <xf numFmtId="8" fontId="0" fillId="3" borderId="0" xfId="0" applyNumberFormat="1" applyFont="1" applyFill="1" applyBorder="1"/>
    <xf numFmtId="166" fontId="0" fillId="0" borderId="0" xfId="0" applyNumberFormat="1" applyFont="1"/>
    <xf numFmtId="0" fontId="0" fillId="0" borderId="0" xfId="0" applyNumberFormat="1" applyFont="1"/>
    <xf numFmtId="7" fontId="0" fillId="0" borderId="0" xfId="0" applyNumberFormat="1" applyFont="1"/>
    <xf numFmtId="164" fontId="0" fillId="4" borderId="0" xfId="0" applyNumberFormat="1" applyFont="1" applyFill="1" applyBorder="1"/>
    <xf numFmtId="165" fontId="0" fillId="4" borderId="0" xfId="0" applyNumberFormat="1" applyFont="1" applyFill="1" applyBorder="1"/>
    <xf numFmtId="9" fontId="0" fillId="4" borderId="0" xfId="0" applyNumberFormat="1" applyFont="1" applyFill="1" applyBorder="1"/>
    <xf numFmtId="0" fontId="0" fillId="0" borderId="0" xfId="0" applyFont="1" applyAlignment="1">
      <alignment horizontal="right"/>
    </xf>
    <xf numFmtId="167" fontId="0" fillId="0" borderId="0" xfId="0" applyNumberFormat="1" applyFont="1"/>
    <xf numFmtId="164" fontId="0" fillId="0" borderId="0" xfId="0" applyNumberFormat="1" applyFont="1" applyAlignment="1">
      <alignment horizontal="right"/>
    </xf>
    <xf numFmtId="167" fontId="0" fillId="0" borderId="0" xfId="0" applyNumberFormat="1" applyFont="1" applyAlignment="1">
      <alignment horizontal="right"/>
    </xf>
    <xf numFmtId="164" fontId="0" fillId="0" borderId="0" xfId="0" applyNumberFormat="1" applyFont="1"/>
    <xf numFmtId="167" fontId="2" fillId="0" borderId="0" xfId="0" applyNumberFormat="1" applyFont="1"/>
    <xf numFmtId="14" fontId="0" fillId="0" borderId="0" xfId="0" applyNumberFormat="1" applyFont="1"/>
    <xf numFmtId="0" fontId="1" fillId="0" borderId="0" xfId="0" applyFont="1" applyFill="1" applyAlignment="1">
      <alignment horizontal="center"/>
    </xf>
  </cellXfs>
  <cellStyles count="1">
    <cellStyle name="Normal" xfId="0" builtinId="0"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95249</xdr:colOff>
      <xdr:row>5</xdr:row>
      <xdr:rowOff>38099</xdr:rowOff>
    </xdr:from>
    <xdr:to>
      <xdr:col>10</xdr:col>
      <xdr:colOff>561974</xdr:colOff>
      <xdr:row>31</xdr:row>
      <xdr:rowOff>133350</xdr:rowOff>
    </xdr:to>
    <xdr:sp macro="" textlink="">
      <xdr:nvSpPr>
        <xdr:cNvPr id="3" name="TextBox 2"/>
        <xdr:cNvSpPr txBox="1"/>
      </xdr:nvSpPr>
      <xdr:spPr>
        <a:xfrm>
          <a:off x="704849" y="1038224"/>
          <a:ext cx="5953125" cy="5048251"/>
        </a:xfrm>
        <a:prstGeom prst="roundRect">
          <a:avLst/>
        </a:prstGeom>
        <a:solidFill>
          <a:schemeClr val="bg1">
            <a:lumMod val="95000"/>
          </a:schemeClr>
        </a:solidFill>
        <a:ln>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wrap="square" rtlCol="0" anchor="t"/>
        <a:lstStyle/>
        <a:p>
          <a:pPr rtl="0"/>
          <a:r>
            <a:rPr lang="en-US" sz="1100" b="0" i="0">
              <a:solidFill>
                <a:schemeClr val="dk1"/>
              </a:solidFill>
              <a:latin typeface="+mn-lt"/>
              <a:ea typeface="+mn-ea"/>
              <a:cs typeface="+mn-cs"/>
            </a:rPr>
            <a:t>This application prices any European or American call or put option.  The difference between these is that a European option can be exercised only at the exercise date, whereas an American option can be exercised at any time on </a:t>
          </a:r>
          <a:r>
            <a:rPr lang="en-US" sz="1100" b="0" i="1">
              <a:solidFill>
                <a:schemeClr val="dk1"/>
              </a:solidFill>
              <a:latin typeface="+mn-lt"/>
              <a:ea typeface="+mn-ea"/>
              <a:cs typeface="+mn-cs"/>
            </a:rPr>
            <a:t>or before</a:t>
          </a:r>
          <a:r>
            <a:rPr lang="en-US" sz="1100" b="0" i="0">
              <a:solidFill>
                <a:schemeClr val="dk1"/>
              </a:solidFill>
              <a:latin typeface="+mn-lt"/>
              <a:ea typeface="+mn-ea"/>
              <a:cs typeface="+mn-cs"/>
            </a:rPr>
            <a:t> the exercise date.  The application uses the famous Black-Scholes formula to price European options.  This is quite straightforward and is implemented on the EuroModel sheet.  Pricing American options is considerably more complex.  It requires a method called </a:t>
          </a:r>
          <a:r>
            <a:rPr lang="en-US" sz="1100" b="0" i="1">
              <a:solidFill>
                <a:schemeClr val="dk1"/>
              </a:solidFill>
              <a:latin typeface="+mn-lt"/>
              <a:ea typeface="+mn-ea"/>
              <a:cs typeface="+mn-cs"/>
            </a:rPr>
            <a:t>binomial trees</a:t>
          </a:r>
          <a:r>
            <a:rPr lang="en-US" sz="1100" b="0" i="0">
              <a:solidFill>
                <a:schemeClr val="dk1"/>
              </a:solidFill>
              <a:latin typeface="+mn-lt"/>
              <a:ea typeface="+mn-ea"/>
              <a:cs typeface="+mn-cs"/>
            </a:rPr>
            <a:t>, which is implemented on the AmerModel sheet.</a:t>
          </a:r>
          <a:endParaRPr lang="en-US"/>
        </a:p>
        <a:p>
          <a:pPr rtl="0"/>
          <a:endParaRPr lang="en-US" sz="1100" b="0" i="0">
            <a:solidFill>
              <a:schemeClr val="dk1"/>
            </a:solidFill>
            <a:latin typeface="+mn-lt"/>
            <a:ea typeface="+mn-ea"/>
            <a:cs typeface="+mn-cs"/>
          </a:endParaRPr>
        </a:p>
        <a:p>
          <a:pPr rtl="0"/>
          <a:r>
            <a:rPr lang="en-US" sz="1100" b="0" i="0">
              <a:solidFill>
                <a:schemeClr val="dk1"/>
              </a:solidFill>
              <a:latin typeface="+mn-lt"/>
              <a:ea typeface="+mn-ea"/>
              <a:cs typeface="+mn-cs"/>
            </a:rPr>
            <a:t>For American </a:t>
          </a:r>
          <a:r>
            <a:rPr lang="en-US" sz="1100" b="0" i="1">
              <a:solidFill>
                <a:schemeClr val="dk1"/>
              </a:solidFill>
              <a:latin typeface="+mn-lt"/>
              <a:ea typeface="+mn-ea"/>
              <a:cs typeface="+mn-cs"/>
            </a:rPr>
            <a:t>put</a:t>
          </a:r>
          <a:r>
            <a:rPr lang="en-US" sz="1100" b="0" i="0">
              <a:solidFill>
                <a:schemeClr val="dk1"/>
              </a:solidFill>
              <a:latin typeface="+mn-lt"/>
              <a:ea typeface="+mn-ea"/>
              <a:cs typeface="+mn-cs"/>
            </a:rPr>
            <a:t> options, it is also possible to calculate the "early exercise boundary." For any day between now and the exercise date, the early exercise boundary indicates how low the current stock price must be to warrant exercising early on that date.  The application provides the option of calculating this boundary.  If this option is selected (which can require a few seconds of computing time), the results are shown on the Report sheet.</a:t>
          </a:r>
          <a:endParaRPr lang="en-US"/>
        </a:p>
        <a:p>
          <a:pPr rtl="0"/>
          <a:endParaRPr lang="en-US" sz="1100" b="0" i="0">
            <a:solidFill>
              <a:schemeClr val="dk1"/>
            </a:solidFill>
            <a:latin typeface="+mn-lt"/>
            <a:ea typeface="+mn-ea"/>
            <a:cs typeface="+mn-cs"/>
          </a:endParaRPr>
        </a:p>
        <a:p>
          <a:pPr rtl="0"/>
          <a:r>
            <a:rPr lang="en-US" sz="1100" b="0" i="0">
              <a:solidFill>
                <a:schemeClr val="dk1"/>
              </a:solidFill>
              <a:latin typeface="+mn-lt"/>
              <a:ea typeface="+mn-ea"/>
              <a:cs typeface="+mn-cs"/>
            </a:rPr>
            <a:t>Other notes:</a:t>
          </a:r>
          <a:endParaRPr lang="en-US"/>
        </a:p>
        <a:p>
          <a:pPr rtl="0"/>
          <a:r>
            <a:rPr lang="en-US" sz="1100" b="0" i="0">
              <a:solidFill>
                <a:schemeClr val="dk1"/>
              </a:solidFill>
              <a:latin typeface="+mn-lt"/>
              <a:ea typeface="+mn-ea"/>
              <a:cs typeface="+mn-cs"/>
            </a:rPr>
            <a:t>1. Why is there no early exercise boundary for American call options?  It can be proved mathematically that unless there are dividends (which are not included in this application), an American call should never be exercised early.</a:t>
          </a:r>
          <a:endParaRPr lang="en-US"/>
        </a:p>
        <a:p>
          <a:pPr rtl="0"/>
          <a:endParaRPr lang="en-US" sz="1100" b="0" i="0">
            <a:solidFill>
              <a:schemeClr val="dk1"/>
            </a:solidFill>
            <a:latin typeface="+mn-lt"/>
            <a:ea typeface="+mn-ea"/>
            <a:cs typeface="+mn-cs"/>
          </a:endParaRPr>
        </a:p>
        <a:p>
          <a:pPr rtl="0"/>
          <a:r>
            <a:rPr lang="en-US" sz="1100" b="0" i="0">
              <a:solidFill>
                <a:schemeClr val="dk1"/>
              </a:solidFill>
              <a:latin typeface="+mn-lt"/>
              <a:ea typeface="+mn-ea"/>
              <a:cs typeface="+mn-cs"/>
            </a:rPr>
            <a:t>2. Trading days are defined as all weekdays -- only Saturdays and Sundays are excluded. This application could be changed without too much difficulty to exclude holidays as well.</a:t>
          </a:r>
        </a:p>
        <a:p>
          <a:pPr rtl="0"/>
          <a:endParaRPr lang="en-US" sz="1100" b="0" i="0">
            <a:solidFill>
              <a:schemeClr val="dk1"/>
            </a:solidFill>
            <a:latin typeface="+mn-lt"/>
            <a:ea typeface="+mn-ea"/>
            <a:cs typeface="+mn-cs"/>
          </a:endParaRPr>
        </a:p>
        <a:p>
          <a:pPr rtl="0"/>
          <a:r>
            <a:rPr lang="en-US" sz="1100" b="0" i="0">
              <a:solidFill>
                <a:schemeClr val="dk1"/>
              </a:solidFill>
              <a:latin typeface="+mn-lt"/>
              <a:ea typeface="+mn-ea"/>
              <a:cs typeface="+mn-cs"/>
            </a:rPr>
            <a:t>3. </a:t>
          </a:r>
          <a:r>
            <a:rPr lang="en-US" sz="1100" b="0" i="0" baseline="0">
              <a:solidFill>
                <a:schemeClr val="dk1"/>
              </a:solidFill>
              <a:latin typeface="+mn-lt"/>
              <a:ea typeface="+mn-ea"/>
              <a:cs typeface="+mn-cs"/>
            </a:rPr>
            <a:t>Options are usually for 100 shares, so the prices shown are for 100 shares.</a:t>
          </a:r>
        </a:p>
        <a:p>
          <a:pPr rtl="0"/>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4. Whenever you run this, make sure to select an exercise date </a:t>
          </a:r>
          <a:r>
            <a:rPr lang="en-US" sz="1100" b="0" i="1" baseline="0">
              <a:solidFill>
                <a:schemeClr val="dk1"/>
              </a:solidFill>
              <a:latin typeface="+mn-lt"/>
              <a:ea typeface="+mn-ea"/>
              <a:cs typeface="+mn-cs"/>
            </a:rPr>
            <a:t>after </a:t>
          </a:r>
          <a:r>
            <a:rPr lang="en-US" sz="1100" b="0" i="0" baseline="0">
              <a:solidFill>
                <a:schemeClr val="dk1"/>
              </a:solidFill>
              <a:latin typeface="+mn-lt"/>
              <a:ea typeface="+mn-ea"/>
              <a:cs typeface="+mn-cs"/>
            </a:rPr>
            <a:t>your current date.</a:t>
          </a:r>
          <a:endParaRPr lang="en-US"/>
        </a:p>
        <a:p>
          <a:endParaRPr lang="en-US" sz="1100"/>
        </a:p>
      </xdr:txBody>
    </xdr:sp>
    <xdr:clientData/>
  </xdr:twoCellAnchor>
  <mc:AlternateContent xmlns:mc="http://schemas.openxmlformats.org/markup-compatibility/2006">
    <mc:Choice xmlns:a14="http://schemas.microsoft.com/office/drawing/2010/main" Requires="a14">
      <xdr:twoCellAnchor>
        <xdr:from>
          <xdr:col>4</xdr:col>
          <xdr:colOff>419100</xdr:colOff>
          <xdr:row>2</xdr:row>
          <xdr:rowOff>76200</xdr:rowOff>
        </xdr:from>
        <xdr:to>
          <xdr:col>7</xdr:col>
          <xdr:colOff>161925</xdr:colOff>
          <xdr:row>4</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the application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333375</xdr:colOff>
          <xdr:row>1</xdr:row>
          <xdr:rowOff>114300</xdr:rowOff>
        </xdr:from>
        <xdr:to>
          <xdr:col>5</xdr:col>
          <xdr:colOff>276225</xdr:colOff>
          <xdr:row>3</xdr:row>
          <xdr:rowOff>66675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Explanation Sheet</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Explanation">
    <pageSetUpPr fitToPage="1"/>
  </sheetPr>
  <dimension ref="C2:J2"/>
  <sheetViews>
    <sheetView showGridLines="0" showRowColHeaders="0" tabSelected="1" workbookViewId="0"/>
  </sheetViews>
  <sheetFormatPr defaultRowHeight="15" x14ac:dyDescent="0.25"/>
  <cols>
    <col min="1" max="16384" width="9.140625" style="1"/>
  </cols>
  <sheetData>
    <row r="2" spans="3:10" ht="18.75" x14ac:dyDescent="0.3">
      <c r="C2" s="23" t="s">
        <v>28</v>
      </c>
      <c r="D2" s="23"/>
      <c r="E2" s="23"/>
      <c r="F2" s="23"/>
      <c r="G2" s="23"/>
      <c r="H2" s="23"/>
      <c r="I2" s="23"/>
      <c r="J2" s="23"/>
    </row>
  </sheetData>
  <mergeCells count="1">
    <mergeCell ref="C2:J2"/>
  </mergeCells>
  <phoneticPr fontId="0" type="noConversion"/>
  <pageMargins left="0.75" right="0.75" top="1" bottom="1" header="0.5" footer="0.5"/>
  <pageSetup scale="83"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Main">
                <anchor moveWithCells="1" sizeWithCells="1">
                  <from>
                    <xdr:col>4</xdr:col>
                    <xdr:colOff>419100</xdr:colOff>
                    <xdr:row>2</xdr:row>
                    <xdr:rowOff>76200</xdr:rowOff>
                  </from>
                  <to>
                    <xdr:col>7</xdr:col>
                    <xdr:colOff>161925</xdr:colOff>
                    <xdr:row>4</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EuroModel">
    <pageSetUpPr fitToPage="1"/>
  </sheetPr>
  <dimension ref="A1:E18"/>
  <sheetViews>
    <sheetView workbookViewId="0">
      <selection activeCell="J25" sqref="J25"/>
    </sheetView>
  </sheetViews>
  <sheetFormatPr defaultRowHeight="15" x14ac:dyDescent="0.25"/>
  <cols>
    <col min="1" max="1" width="31.7109375" style="2" customWidth="1"/>
    <col min="2" max="2" width="10.85546875" style="2" customWidth="1"/>
    <col min="3" max="3" width="4.42578125" style="2" customWidth="1"/>
    <col min="4" max="16384" width="9.140625" style="2"/>
  </cols>
  <sheetData>
    <row r="1" spans="1:5" x14ac:dyDescent="0.25">
      <c r="A1" s="5" t="s">
        <v>0</v>
      </c>
    </row>
    <row r="3" spans="1:5" x14ac:dyDescent="0.25">
      <c r="A3" s="5" t="s">
        <v>1</v>
      </c>
    </row>
    <row r="4" spans="1:5" x14ac:dyDescent="0.25">
      <c r="A4" s="2" t="s">
        <v>14</v>
      </c>
      <c r="B4" s="2">
        <v>1</v>
      </c>
    </row>
    <row r="5" spans="1:5" x14ac:dyDescent="0.25">
      <c r="A5" s="2" t="s">
        <v>2</v>
      </c>
      <c r="B5" s="6">
        <v>50</v>
      </c>
    </row>
    <row r="6" spans="1:5" x14ac:dyDescent="0.25">
      <c r="A6" s="2" t="s">
        <v>3</v>
      </c>
      <c r="B6" s="6">
        <v>49</v>
      </c>
    </row>
    <row r="7" spans="1:5" x14ac:dyDescent="0.25">
      <c r="A7" s="2" t="s">
        <v>11</v>
      </c>
      <c r="B7" s="7">
        <f ca="1">IF(WEEKDAY(TODAY())=1,TODAY()+1,IF(WEEKDAY(TODAY())=7,TODAY()+2,TODAY()))</f>
        <v>42048</v>
      </c>
    </row>
    <row r="8" spans="1:5" x14ac:dyDescent="0.25">
      <c r="A8" s="2" t="s">
        <v>12</v>
      </c>
      <c r="B8" s="7">
        <v>42369</v>
      </c>
    </row>
    <row r="9" spans="1:5" x14ac:dyDescent="0.25">
      <c r="A9" s="2" t="s">
        <v>4</v>
      </c>
      <c r="B9" s="8">
        <v>0.10000000149011612</v>
      </c>
    </row>
    <row r="10" spans="1:5" x14ac:dyDescent="0.25">
      <c r="A10" s="2" t="s">
        <v>5</v>
      </c>
      <c r="B10" s="8">
        <v>0.40000000596046448</v>
      </c>
    </row>
    <row r="12" spans="1:5" x14ac:dyDescent="0.25">
      <c r="A12" s="2" t="s">
        <v>13</v>
      </c>
      <c r="B12" s="3">
        <f ca="1">tradedays(CurrentDate,ExerciseDate)</f>
        <v>229</v>
      </c>
    </row>
    <row r="13" spans="1:5" x14ac:dyDescent="0.25">
      <c r="B13" s="3"/>
    </row>
    <row r="14" spans="1:5" x14ac:dyDescent="0.25">
      <c r="A14" s="5" t="s">
        <v>15</v>
      </c>
    </row>
    <row r="15" spans="1:5" x14ac:dyDescent="0.25">
      <c r="A15" s="2" t="s">
        <v>6</v>
      </c>
      <c r="B15" s="2">
        <f ca="1">(LN(CurrentPrice/ExercisePrice)+(RiskfreeRate+Volatility^2/2)*(Duration/260))/(Volatility*SQRT(Duration/260))</f>
        <v>0.47613876037708602</v>
      </c>
      <c r="D15" s="4" t="s">
        <v>7</v>
      </c>
      <c r="E15" s="2">
        <f ca="1">IF(EuroOptType=1,NORMSDIST(B15),NORMSDIST(-B15))</f>
        <v>0.68301223766021568</v>
      </c>
    </row>
    <row r="16" spans="1:5" x14ac:dyDescent="0.25">
      <c r="A16" s="2" t="s">
        <v>8</v>
      </c>
      <c r="B16" s="2">
        <f ca="1">(LN(CurrentPrice/ExercisePrice)+(RiskfreeRate-Volatility^2/2)*(Duration/260))/(Volatility*SQRT(Duration/260))</f>
        <v>0.10074152926994011</v>
      </c>
      <c r="D16" s="4" t="s">
        <v>9</v>
      </c>
      <c r="E16" s="2">
        <f ca="1">IF(EuroOptType=1,NORMSDIST(B16),NORMSDIST(-B16))</f>
        <v>0.54012217826952735</v>
      </c>
    </row>
    <row r="18" spans="1:2" x14ac:dyDescent="0.25">
      <c r="A18" s="2" t="s">
        <v>10</v>
      </c>
      <c r="B18" s="9">
        <f ca="1">IF(EuroOptType=1,CurrentPrice*E15-ExercisePrice*EXP(-(Duration/260)*RiskfreeRate)*E16,-(CurrentPrice*E15-ExercisePrice*EXP(-(Duration/260)*RiskfreeRate)*E16))*100</f>
        <v>991.59609744570639</v>
      </c>
    </row>
  </sheetData>
  <phoneticPr fontId="0" type="noConversion"/>
  <printOptions headings="1" gridLines="1"/>
  <pageMargins left="0.75" right="0.75" top="1" bottom="1" header="0.5" footer="0.5"/>
  <pageSetup paperSize="5"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AmerModel">
    <pageSetUpPr fitToPage="1"/>
  </sheetPr>
  <dimension ref="A1:F46"/>
  <sheetViews>
    <sheetView workbookViewId="0">
      <selection activeCell="I29" sqref="I29"/>
    </sheetView>
  </sheetViews>
  <sheetFormatPr defaultRowHeight="15" x14ac:dyDescent="0.25"/>
  <cols>
    <col min="1" max="1" width="32" style="2" customWidth="1"/>
    <col min="2" max="2" width="10.85546875" style="11" customWidth="1"/>
    <col min="3" max="3" width="11" style="2" customWidth="1"/>
    <col min="4" max="4" width="9.7109375" style="2" bestFit="1" customWidth="1"/>
    <col min="5" max="16384" width="9.140625" style="2"/>
  </cols>
  <sheetData>
    <row r="1" spans="1:5" x14ac:dyDescent="0.25">
      <c r="A1" s="5" t="s">
        <v>16</v>
      </c>
      <c r="B1" s="2"/>
    </row>
    <row r="2" spans="1:5" x14ac:dyDescent="0.25">
      <c r="B2" s="2"/>
    </row>
    <row r="3" spans="1:5" x14ac:dyDescent="0.25">
      <c r="A3" s="5" t="s">
        <v>1</v>
      </c>
      <c r="B3" s="2"/>
    </row>
    <row r="4" spans="1:5" x14ac:dyDescent="0.25">
      <c r="A4" s="2" t="s">
        <v>14</v>
      </c>
      <c r="B4" s="2">
        <v>2</v>
      </c>
    </row>
    <row r="5" spans="1:5" x14ac:dyDescent="0.25">
      <c r="A5" s="2" t="s">
        <v>2</v>
      </c>
      <c r="B5" s="13">
        <v>50</v>
      </c>
    </row>
    <row r="6" spans="1:5" x14ac:dyDescent="0.25">
      <c r="A6" s="2" t="s">
        <v>3</v>
      </c>
      <c r="B6" s="13">
        <v>53</v>
      </c>
    </row>
    <row r="7" spans="1:5" x14ac:dyDescent="0.25">
      <c r="A7" s="2" t="s">
        <v>11</v>
      </c>
      <c r="B7" s="14">
        <f ca="1">IF(WEEKDAY(TODAY())=1,TODAY()+1,IF(WEEKDAY(TODAY())=7,TODAY()+2,TODAY()))</f>
        <v>42048</v>
      </c>
      <c r="D7" s="22"/>
      <c r="E7"/>
    </row>
    <row r="8" spans="1:5" x14ac:dyDescent="0.25">
      <c r="A8" s="2" t="s">
        <v>12</v>
      </c>
      <c r="B8" s="14">
        <v>41876</v>
      </c>
    </row>
    <row r="9" spans="1:5" x14ac:dyDescent="0.25">
      <c r="A9" s="2" t="s">
        <v>4</v>
      </c>
      <c r="B9" s="15">
        <v>0.10000000149011612</v>
      </c>
    </row>
    <row r="10" spans="1:5" x14ac:dyDescent="0.25">
      <c r="A10" s="2" t="s">
        <v>5</v>
      </c>
      <c r="B10" s="15">
        <v>0.40000000596046448</v>
      </c>
    </row>
    <row r="11" spans="1:5" x14ac:dyDescent="0.25">
      <c r="B11" s="2"/>
    </row>
    <row r="12" spans="1:5" x14ac:dyDescent="0.25">
      <c r="A12" s="2" t="s">
        <v>13</v>
      </c>
      <c r="B12" s="3">
        <f ca="1">tradedays(CurrentDate,ExerciseDate)</f>
        <v>-172</v>
      </c>
    </row>
    <row r="13" spans="1:5" x14ac:dyDescent="0.25">
      <c r="B13" s="3"/>
    </row>
    <row r="14" spans="1:5" x14ac:dyDescent="0.25">
      <c r="A14" s="5" t="s">
        <v>17</v>
      </c>
      <c r="B14" s="2"/>
    </row>
    <row r="15" spans="1:5" x14ac:dyDescent="0.25">
      <c r="A15" s="2" t="s">
        <v>18</v>
      </c>
      <c r="B15" s="10">
        <f>EXP(Volatility*SQRT(1/260))</f>
        <v>1.0251171997644226</v>
      </c>
    </row>
    <row r="16" spans="1:5" x14ac:dyDescent="0.25">
      <c r="A16" s="2" t="s">
        <v>19</v>
      </c>
      <c r="B16" s="10">
        <f>1/UpFactor</f>
        <v>0.9754982164281365</v>
      </c>
    </row>
    <row r="17" spans="1:6" x14ac:dyDescent="0.25">
      <c r="A17" s="2" t="s">
        <v>20</v>
      </c>
      <c r="B17" s="10">
        <f>(EXP(RiskfreeRate*(1/260))-DownFactor)/(UpFactor-DownFactor)</f>
        <v>0.50155144791113615</v>
      </c>
    </row>
    <row r="18" spans="1:6" x14ac:dyDescent="0.25">
      <c r="A18" s="2" t="s">
        <v>21</v>
      </c>
      <c r="B18" s="10">
        <f>1-PrUp</f>
        <v>0.49844855208886385</v>
      </c>
    </row>
    <row r="19" spans="1:6" x14ac:dyDescent="0.25">
      <c r="B19" s="2"/>
    </row>
    <row r="20" spans="1:6" x14ac:dyDescent="0.25">
      <c r="A20" s="2" t="s">
        <v>22</v>
      </c>
      <c r="B20" s="2"/>
    </row>
    <row r="21" spans="1:6" x14ac:dyDescent="0.25">
      <c r="A21" s="2">
        <v>0</v>
      </c>
      <c r="B21" s="12">
        <v>50</v>
      </c>
      <c r="C21" s="2">
        <f>UpFactor*B21</f>
        <v>51.255859988221133</v>
      </c>
      <c r="D21" s="2">
        <f>UpFactor*C21</f>
        <v>52.543263662642559</v>
      </c>
      <c r="E21" s="2">
        <f>UpFactor*D21</f>
        <v>53.863003312331877</v>
      </c>
      <c r="F21" s="2">
        <f>UpFactor*E21</f>
        <v>55.215891126439473</v>
      </c>
    </row>
    <row r="22" spans="1:6" x14ac:dyDescent="0.25">
      <c r="A22" s="2">
        <v>1</v>
      </c>
      <c r="B22" s="11" t="str">
        <f t="shared" ref="B22:F25" si="0">IF($A22&lt;=B$20,(DownFactor/UpFactor)*B21,"")</f>
        <v/>
      </c>
      <c r="C22" s="2" t="str">
        <f t="shared" si="0"/>
        <v/>
      </c>
      <c r="D22" s="2" t="str">
        <f t="shared" si="0"/>
        <v/>
      </c>
      <c r="E22" s="2" t="str">
        <f t="shared" si="0"/>
        <v/>
      </c>
      <c r="F22" s="2" t="str">
        <f t="shared" si="0"/>
        <v/>
      </c>
    </row>
    <row r="23" spans="1:6" x14ac:dyDescent="0.25">
      <c r="A23" s="2">
        <v>2</v>
      </c>
      <c r="B23" s="11" t="str">
        <f t="shared" si="0"/>
        <v/>
      </c>
      <c r="C23" s="2" t="str">
        <f t="shared" si="0"/>
        <v/>
      </c>
      <c r="D23" s="2" t="str">
        <f t="shared" si="0"/>
        <v/>
      </c>
      <c r="E23" s="2" t="str">
        <f t="shared" si="0"/>
        <v/>
      </c>
      <c r="F23" s="2" t="str">
        <f t="shared" si="0"/>
        <v/>
      </c>
    </row>
    <row r="24" spans="1:6" x14ac:dyDescent="0.25">
      <c r="A24" s="2">
        <v>3</v>
      </c>
      <c r="B24" s="11" t="str">
        <f t="shared" si="0"/>
        <v/>
      </c>
      <c r="C24" s="2" t="str">
        <f t="shared" si="0"/>
        <v/>
      </c>
      <c r="D24" s="2" t="str">
        <f t="shared" si="0"/>
        <v/>
      </c>
      <c r="E24" s="2" t="str">
        <f t="shared" si="0"/>
        <v/>
      </c>
      <c r="F24" s="2" t="str">
        <f t="shared" si="0"/>
        <v/>
      </c>
    </row>
    <row r="25" spans="1:6" x14ac:dyDescent="0.25">
      <c r="A25" s="2">
        <v>4</v>
      </c>
      <c r="B25" s="11" t="str">
        <f t="shared" si="0"/>
        <v/>
      </c>
      <c r="C25" s="2" t="str">
        <f t="shared" si="0"/>
        <v/>
      </c>
      <c r="D25" s="2" t="str">
        <f t="shared" si="0"/>
        <v/>
      </c>
      <c r="E25" s="2" t="str">
        <f t="shared" si="0"/>
        <v/>
      </c>
      <c r="F25" s="2" t="str">
        <f t="shared" si="0"/>
        <v/>
      </c>
    </row>
    <row r="27" spans="1:6" x14ac:dyDescent="0.25">
      <c r="A27" s="2" t="s">
        <v>23</v>
      </c>
      <c r="B27" s="11">
        <v>0</v>
      </c>
      <c r="C27" s="2">
        <v>1</v>
      </c>
      <c r="D27" s="2">
        <v>2</v>
      </c>
      <c r="E27" s="2">
        <v>3</v>
      </c>
      <c r="F27" s="2">
        <v>4</v>
      </c>
    </row>
    <row r="28" spans="1:6" x14ac:dyDescent="0.25">
      <c r="A28" s="2">
        <v>0</v>
      </c>
      <c r="B28" s="11" t="e">
        <f t="shared" ref="B28:E31" si="1">IF($A28&lt;=B$20,MAX(ExercisePrice-B21,(PrUp*C28+PrDown*C29)/(1+RiskfreeRate/260)),"")</f>
        <v>#VALUE!</v>
      </c>
      <c r="C28" s="12" t="e">
        <f t="shared" si="1"/>
        <v>#VALUE!</v>
      </c>
      <c r="D28" s="2" t="e">
        <f t="shared" si="1"/>
        <v>#VALUE!</v>
      </c>
      <c r="E28" s="2" t="e">
        <f t="shared" si="1"/>
        <v>#VALUE!</v>
      </c>
      <c r="F28" s="2">
        <f>MAX(ExercisePrice-F21,0)</f>
        <v>0</v>
      </c>
    </row>
    <row r="29" spans="1:6" x14ac:dyDescent="0.25">
      <c r="A29" s="2">
        <v>1</v>
      </c>
      <c r="B29" s="11" t="str">
        <f t="shared" si="1"/>
        <v/>
      </c>
      <c r="C29" s="2" t="str">
        <f t="shared" si="1"/>
        <v/>
      </c>
      <c r="D29" s="2" t="str">
        <f t="shared" si="1"/>
        <v/>
      </c>
      <c r="E29" s="2" t="str">
        <f t="shared" si="1"/>
        <v/>
      </c>
      <c r="F29" s="2" t="e">
        <f>MAX(ExercisePrice-F22,0)</f>
        <v>#VALUE!</v>
      </c>
    </row>
    <row r="30" spans="1:6" x14ac:dyDescent="0.25">
      <c r="A30" s="2">
        <v>2</v>
      </c>
      <c r="B30" s="11" t="str">
        <f t="shared" si="1"/>
        <v/>
      </c>
      <c r="C30" s="2" t="str">
        <f t="shared" si="1"/>
        <v/>
      </c>
      <c r="D30" s="2" t="str">
        <f t="shared" si="1"/>
        <v/>
      </c>
      <c r="E30" s="2" t="str">
        <f t="shared" si="1"/>
        <v/>
      </c>
      <c r="F30" s="2" t="e">
        <f>MAX(ExercisePrice-F23,0)</f>
        <v>#VALUE!</v>
      </c>
    </row>
    <row r="31" spans="1:6" x14ac:dyDescent="0.25">
      <c r="A31" s="2">
        <v>3</v>
      </c>
      <c r="B31" s="11" t="str">
        <f t="shared" si="1"/>
        <v/>
      </c>
      <c r="C31" s="2" t="str">
        <f t="shared" si="1"/>
        <v/>
      </c>
      <c r="D31" s="2" t="str">
        <f t="shared" si="1"/>
        <v/>
      </c>
      <c r="E31" s="2" t="str">
        <f t="shared" si="1"/>
        <v/>
      </c>
      <c r="F31" s="2" t="e">
        <f>MAX(ExercisePrice-F24,0)</f>
        <v>#VALUE!</v>
      </c>
    </row>
    <row r="32" spans="1:6" x14ac:dyDescent="0.25">
      <c r="A32" s="2">
        <v>4</v>
      </c>
      <c r="F32" s="2" t="e">
        <f>MAX(ExercisePrice-F25,0)</f>
        <v>#VALUE!</v>
      </c>
    </row>
    <row r="45" spans="3:3" x14ac:dyDescent="0.25">
      <c r="C45" s="11"/>
    </row>
    <row r="46" spans="3:3" x14ac:dyDescent="0.25">
      <c r="C46" s="11"/>
    </row>
  </sheetData>
  <phoneticPr fontId="0" type="noConversion"/>
  <printOptions headings="1" gridLines="1"/>
  <pageMargins left="0.75" right="0.75" top="1" bottom="1" header="0.5" footer="0.5"/>
  <pageSetup orientation="portrait" horizontalDpi="1200"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AmerPutReport">
    <pageSetUpPr fitToPage="1"/>
  </sheetPr>
  <dimension ref="A1:E73"/>
  <sheetViews>
    <sheetView workbookViewId="0"/>
  </sheetViews>
  <sheetFormatPr defaultRowHeight="15" x14ac:dyDescent="0.25"/>
  <cols>
    <col min="1" max="1" width="20.85546875" style="17" customWidth="1"/>
    <col min="2" max="2" width="14.42578125" style="18" bestFit="1" customWidth="1"/>
    <col min="3" max="5" width="9.140625" style="2"/>
    <col min="6" max="6" width="12" style="2" customWidth="1"/>
    <col min="7" max="16384" width="9.140625" style="2"/>
  </cols>
  <sheetData>
    <row r="1" spans="1:5" x14ac:dyDescent="0.25">
      <c r="A1" s="21" t="s">
        <v>26</v>
      </c>
      <c r="B1" s="16"/>
    </row>
    <row r="2" spans="1:5" x14ac:dyDescent="0.25">
      <c r="B2" s="16"/>
    </row>
    <row r="3" spans="1:5" x14ac:dyDescent="0.25">
      <c r="A3" s="17" t="s">
        <v>24</v>
      </c>
      <c r="B3" s="18">
        <v>310.17147827148437</v>
      </c>
    </row>
    <row r="4" spans="1:5" x14ac:dyDescent="0.25">
      <c r="B4" s="16"/>
    </row>
    <row r="5" spans="1:5" x14ac:dyDescent="0.25">
      <c r="A5" s="17" t="s">
        <v>27</v>
      </c>
      <c r="B5" s="16"/>
    </row>
    <row r="6" spans="1:5" x14ac:dyDescent="0.25">
      <c r="A6" s="19" t="s">
        <v>29</v>
      </c>
      <c r="B6" s="16" t="s">
        <v>25</v>
      </c>
    </row>
    <row r="7" spans="1:5" x14ac:dyDescent="0.25">
      <c r="A7" s="17">
        <v>41871</v>
      </c>
      <c r="B7" s="18">
        <v>49.462014728047983</v>
      </c>
      <c r="D7" s="18"/>
      <c r="E7" s="20"/>
    </row>
    <row r="8" spans="1:5" x14ac:dyDescent="0.25">
      <c r="A8" s="17">
        <v>41872</v>
      </c>
      <c r="B8" s="18">
        <v>50.550468219644728</v>
      </c>
      <c r="D8" s="18"/>
      <c r="E8" s="20"/>
    </row>
    <row r="9" spans="1:5" x14ac:dyDescent="0.25">
      <c r="A9" s="17">
        <v>41873</v>
      </c>
      <c r="B9" s="18">
        <v>51.741060206095398</v>
      </c>
      <c r="D9" s="18"/>
      <c r="E9" s="20"/>
    </row>
    <row r="10" spans="1:5" x14ac:dyDescent="0.25">
      <c r="A10" s="17">
        <v>41876</v>
      </c>
      <c r="B10" s="18">
        <v>53</v>
      </c>
      <c r="D10" s="18"/>
      <c r="E10" s="20"/>
    </row>
    <row r="11" spans="1:5" x14ac:dyDescent="0.25">
      <c r="D11" s="18"/>
      <c r="E11" s="20"/>
    </row>
    <row r="12" spans="1:5" x14ac:dyDescent="0.25">
      <c r="D12" s="18"/>
      <c r="E12" s="20"/>
    </row>
    <row r="13" spans="1:5" x14ac:dyDescent="0.25">
      <c r="D13" s="18"/>
      <c r="E13" s="20"/>
    </row>
    <row r="14" spans="1:5" x14ac:dyDescent="0.25">
      <c r="D14" s="18"/>
    </row>
    <row r="15" spans="1:5" x14ac:dyDescent="0.25">
      <c r="D15" s="18"/>
    </row>
    <row r="16" spans="1:5" x14ac:dyDescent="0.25">
      <c r="D16" s="18"/>
    </row>
    <row r="17" spans="4:4" x14ac:dyDescent="0.25">
      <c r="D17" s="18"/>
    </row>
    <row r="18" spans="4:4" x14ac:dyDescent="0.25">
      <c r="D18" s="18"/>
    </row>
    <row r="19" spans="4:4" x14ac:dyDescent="0.25">
      <c r="D19" s="18"/>
    </row>
    <row r="20" spans="4:4" x14ac:dyDescent="0.25">
      <c r="D20" s="18"/>
    </row>
    <row r="21" spans="4:4" x14ac:dyDescent="0.25">
      <c r="D21" s="18"/>
    </row>
    <row r="22" spans="4:4" x14ac:dyDescent="0.25">
      <c r="D22" s="18"/>
    </row>
    <row r="23" spans="4:4" x14ac:dyDescent="0.25">
      <c r="D23" s="18"/>
    </row>
    <row r="24" spans="4:4" x14ac:dyDescent="0.25">
      <c r="D24" s="18"/>
    </row>
    <row r="25" spans="4:4" x14ac:dyDescent="0.25">
      <c r="D25" s="18"/>
    </row>
    <row r="26" spans="4:4" x14ac:dyDescent="0.25">
      <c r="D26" s="18"/>
    </row>
    <row r="27" spans="4:4" x14ac:dyDescent="0.25">
      <c r="D27" s="18"/>
    </row>
    <row r="28" spans="4:4" x14ac:dyDescent="0.25">
      <c r="D28" s="18"/>
    </row>
    <row r="29" spans="4:4" x14ac:dyDescent="0.25">
      <c r="D29" s="18"/>
    </row>
    <row r="30" spans="4:4" x14ac:dyDescent="0.25">
      <c r="D30" s="18"/>
    </row>
    <row r="31" spans="4:4" x14ac:dyDescent="0.25">
      <c r="D31" s="18"/>
    </row>
    <row r="32" spans="4:4" x14ac:dyDescent="0.25">
      <c r="D32" s="18"/>
    </row>
    <row r="33" spans="4:4" x14ac:dyDescent="0.25">
      <c r="D33" s="18"/>
    </row>
    <row r="34" spans="4:4" x14ac:dyDescent="0.25">
      <c r="D34" s="18"/>
    </row>
    <row r="35" spans="4:4" x14ac:dyDescent="0.25">
      <c r="D35" s="18"/>
    </row>
    <row r="36" spans="4:4" x14ac:dyDescent="0.25">
      <c r="D36" s="18"/>
    </row>
    <row r="37" spans="4:4" x14ac:dyDescent="0.25">
      <c r="D37" s="18"/>
    </row>
    <row r="38" spans="4:4" x14ac:dyDescent="0.25">
      <c r="D38" s="18"/>
    </row>
    <row r="39" spans="4:4" x14ac:dyDescent="0.25">
      <c r="D39" s="18"/>
    </row>
    <row r="40" spans="4:4" x14ac:dyDescent="0.25">
      <c r="D40" s="18"/>
    </row>
    <row r="41" spans="4:4" x14ac:dyDescent="0.25">
      <c r="D41" s="18"/>
    </row>
    <row r="42" spans="4:4" x14ac:dyDescent="0.25">
      <c r="D42" s="18"/>
    </row>
    <row r="43" spans="4:4" x14ac:dyDescent="0.25">
      <c r="D43" s="18"/>
    </row>
    <row r="44" spans="4:4" x14ac:dyDescent="0.25">
      <c r="D44" s="18"/>
    </row>
    <row r="45" spans="4:4" x14ac:dyDescent="0.25">
      <c r="D45" s="18"/>
    </row>
    <row r="46" spans="4:4" x14ac:dyDescent="0.25">
      <c r="D46" s="18"/>
    </row>
    <row r="47" spans="4:4" x14ac:dyDescent="0.25">
      <c r="D47" s="18"/>
    </row>
    <row r="48" spans="4:4" x14ac:dyDescent="0.25">
      <c r="D48" s="18"/>
    </row>
    <row r="49" spans="4:4" x14ac:dyDescent="0.25">
      <c r="D49" s="18"/>
    </row>
    <row r="50" spans="4:4" x14ac:dyDescent="0.25">
      <c r="D50" s="18"/>
    </row>
    <row r="51" spans="4:4" x14ac:dyDescent="0.25">
      <c r="D51" s="18"/>
    </row>
    <row r="52" spans="4:4" x14ac:dyDescent="0.25">
      <c r="D52" s="18"/>
    </row>
    <row r="53" spans="4:4" x14ac:dyDescent="0.25">
      <c r="D53" s="18"/>
    </row>
    <row r="54" spans="4:4" x14ac:dyDescent="0.25">
      <c r="D54" s="18"/>
    </row>
    <row r="55" spans="4:4" x14ac:dyDescent="0.25">
      <c r="D55" s="18"/>
    </row>
    <row r="56" spans="4:4" x14ac:dyDescent="0.25">
      <c r="D56" s="18"/>
    </row>
    <row r="57" spans="4:4" x14ac:dyDescent="0.25">
      <c r="D57" s="18"/>
    </row>
    <row r="58" spans="4:4" x14ac:dyDescent="0.25">
      <c r="D58" s="18"/>
    </row>
    <row r="59" spans="4:4" x14ac:dyDescent="0.25">
      <c r="D59" s="18"/>
    </row>
    <row r="60" spans="4:4" x14ac:dyDescent="0.25">
      <c r="D60" s="18"/>
    </row>
    <row r="61" spans="4:4" x14ac:dyDescent="0.25">
      <c r="D61" s="18"/>
    </row>
    <row r="62" spans="4:4" x14ac:dyDescent="0.25">
      <c r="D62" s="18"/>
    </row>
    <row r="63" spans="4:4" x14ac:dyDescent="0.25">
      <c r="D63" s="18"/>
    </row>
    <row r="64" spans="4:4" x14ac:dyDescent="0.25">
      <c r="D64" s="18"/>
    </row>
    <row r="65" spans="4:4" x14ac:dyDescent="0.25">
      <c r="D65" s="18"/>
    </row>
    <row r="66" spans="4:4" x14ac:dyDescent="0.25">
      <c r="D66" s="18"/>
    </row>
    <row r="67" spans="4:4" x14ac:dyDescent="0.25">
      <c r="D67" s="18"/>
    </row>
    <row r="68" spans="4:4" x14ac:dyDescent="0.25">
      <c r="D68" s="18"/>
    </row>
    <row r="69" spans="4:4" x14ac:dyDescent="0.25">
      <c r="D69" s="18"/>
    </row>
    <row r="70" spans="4:4" x14ac:dyDescent="0.25">
      <c r="D70" s="18"/>
    </row>
    <row r="71" spans="4:4" x14ac:dyDescent="0.25">
      <c r="D71" s="18"/>
    </row>
    <row r="72" spans="4:4" x14ac:dyDescent="0.25">
      <c r="D72" s="18"/>
    </row>
    <row r="73" spans="4:4" x14ac:dyDescent="0.25">
      <c r="D73" s="18"/>
    </row>
  </sheetData>
  <phoneticPr fontId="0" type="noConversion"/>
  <printOptions headings="1" gridLines="1"/>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autoFill="0" autoPict="0" macro="[0]!ViewExplanation">
                <anchor moveWithCells="1" sizeWithCells="1">
                  <from>
                    <xdr:col>2</xdr:col>
                    <xdr:colOff>333375</xdr:colOff>
                    <xdr:row>1</xdr:row>
                    <xdr:rowOff>114300</xdr:rowOff>
                  </from>
                  <to>
                    <xdr:col>5</xdr:col>
                    <xdr:colOff>276225</xdr:colOff>
                    <xdr:row>3</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Explanation</vt:lpstr>
      <vt:lpstr>EuroModel</vt:lpstr>
      <vt:lpstr>AmerModel</vt:lpstr>
      <vt:lpstr>AmerPutReport</vt:lpstr>
      <vt:lpstr>AmerModel!AmerOptType</vt:lpstr>
      <vt:lpstr>AmerModel!CurrentDate</vt:lpstr>
      <vt:lpstr>EuroModel!CurrentDate</vt:lpstr>
      <vt:lpstr>AmerModel!CurrentPrice</vt:lpstr>
      <vt:lpstr>EuroModel!CurrentPrice</vt:lpstr>
      <vt:lpstr>AmerModel!DownFactor</vt:lpstr>
      <vt:lpstr>AmerModel!Duration</vt:lpstr>
      <vt:lpstr>EuroModel!Duration</vt:lpstr>
      <vt:lpstr>EuroModel!EuroOptType</vt:lpstr>
      <vt:lpstr>AmerModel!ExerciseDate</vt:lpstr>
      <vt:lpstr>EuroModel!ExerciseDate</vt:lpstr>
      <vt:lpstr>AmerModel!ExercisePrice</vt:lpstr>
      <vt:lpstr>EuroModel!ExercisePrice</vt:lpstr>
      <vt:lpstr>AmerModel!PrDown</vt:lpstr>
      <vt:lpstr>AmerModel!Print_Area</vt:lpstr>
      <vt:lpstr>AmerPutReport!Print_Area</vt:lpstr>
      <vt:lpstr>EuroModel!Print_Area</vt:lpstr>
      <vt:lpstr>AmerModel!PrUp</vt:lpstr>
      <vt:lpstr>AmerModel!RiskfreeRate</vt:lpstr>
      <vt:lpstr>EuroModel!RiskfreeRate</vt:lpstr>
      <vt:lpstr>AmerModel!UpFactor</vt:lpstr>
      <vt:lpstr>AmerModel!Volatility</vt:lpstr>
      <vt:lpstr>EuroModel!Volatility</vt:lpstr>
    </vt:vector>
  </TitlesOfParts>
  <Company>Kelley School of Business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2011-01-26T16:00:01Z</cp:lastPrinted>
  <dcterms:created xsi:type="dcterms:W3CDTF">2000-02-29T17:07:49Z</dcterms:created>
  <dcterms:modified xsi:type="dcterms:W3CDTF">2015-02-13T15:34:18Z</dcterms:modified>
</cp:coreProperties>
</file>