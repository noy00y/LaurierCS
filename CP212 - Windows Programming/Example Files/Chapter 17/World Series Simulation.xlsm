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120" yWindow="15" windowWidth="15135" windowHeight="8130"/>
  </bookViews>
  <sheets>
    <sheet name="Model" sheetId="1" r:id="rId1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Index">Model!$B$5</definedName>
    <definedName name="Indexes">Model!$CA$2:$CA$19</definedName>
    <definedName name="Input_Combinations">Model!$CB$1:$CD$19</definedName>
    <definedName name="Input_Lookup">Model!$CA$1</definedName>
    <definedName name="Input_Range">Model!$A$5</definedName>
    <definedName name="Inputs_to_Test">Model!$D$5</definedName>
    <definedName name="LookupTable">Model!$CA$2:$CD$19</definedName>
    <definedName name="Number_of_iterations">Model!$B$3</definedName>
    <definedName name="Output_Range">Model!$A$12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Tables_Requested">Model!$D$11</definedName>
  </definedNames>
  <calcPr calcId="152511" calcMode="manual"/>
</workbook>
</file>

<file path=xl/calcChain.xml><?xml version="1.0" encoding="utf-8"?>
<calcChain xmlns="http://schemas.openxmlformats.org/spreadsheetml/2006/main">
  <c r="B5" i="1" l="1"/>
  <c r="B8" i="1" l="1"/>
  <c r="B6" i="1"/>
  <c r="B7" i="1"/>
  <c r="B29" i="1" l="1"/>
  <c r="C29" i="1" s="1"/>
  <c r="B32" i="1"/>
  <c r="B28" i="1"/>
  <c r="C28" i="1" s="1"/>
  <c r="B27" i="1"/>
  <c r="C27" i="1" s="1"/>
  <c r="B26" i="1"/>
  <c r="C26" i="1" s="1"/>
  <c r="D26" i="1" s="1"/>
  <c r="B30" i="1"/>
  <c r="B31" i="1"/>
  <c r="E26" i="1" l="1"/>
  <c r="G26" i="1" s="1"/>
  <c r="D27" i="1"/>
  <c r="D28" i="1" s="1"/>
  <c r="F26" i="1" l="1"/>
  <c r="E28" i="1"/>
  <c r="G28" i="1" s="1"/>
  <c r="D29" i="1"/>
  <c r="E27" i="1"/>
  <c r="G27" i="1" s="1"/>
  <c r="F27" i="1" l="1"/>
  <c r="E29" i="1"/>
  <c r="G29" i="1" s="1"/>
  <c r="F28" i="1"/>
  <c r="F29" i="1" l="1"/>
  <c r="H29" i="1"/>
  <c r="C30" i="1" s="1"/>
  <c r="D30" i="1" s="1"/>
  <c r="E30" i="1" l="1"/>
  <c r="G30" i="1" s="1"/>
  <c r="F30" i="1" l="1"/>
  <c r="H30" i="1"/>
  <c r="C31" i="1" l="1"/>
  <c r="D31" i="1" s="1"/>
  <c r="E31" i="1" l="1"/>
  <c r="G31" i="1" s="1"/>
  <c r="H31" i="1"/>
  <c r="C32" i="1" l="1"/>
  <c r="D32" i="1" s="1"/>
  <c r="F31" i="1"/>
  <c r="B13" i="1"/>
  <c r="B16" i="1"/>
  <c r="E32" i="1" l="1"/>
  <c r="G32" i="1" s="1"/>
  <c r="B14" i="1"/>
  <c r="B20" i="1"/>
  <c r="B17" i="1"/>
  <c r="B15" i="1"/>
  <c r="B19" i="1"/>
  <c r="F32" i="1" l="1"/>
  <c r="H32" i="1"/>
  <c r="B18" i="1"/>
</calcChain>
</file>

<file path=xl/sharedStrings.xml><?xml version="1.0" encoding="utf-8"?>
<sst xmlns="http://schemas.openxmlformats.org/spreadsheetml/2006/main" count="105" uniqueCount="40">
  <si>
    <t>World Series simulation</t>
  </si>
  <si>
    <t>Simulation</t>
  </si>
  <si>
    <t>Game</t>
  </si>
  <si>
    <t>Home team</t>
  </si>
  <si>
    <t>A wins?</t>
  </si>
  <si>
    <t>Cum A wins</t>
  </si>
  <si>
    <t>Continue?</t>
  </si>
  <si>
    <t>B</t>
  </si>
  <si>
    <t>Yes</t>
  </si>
  <si>
    <t>Cum B wins</t>
  </si>
  <si>
    <t>Number of games</t>
  </si>
  <si>
    <t>A wins series</t>
  </si>
  <si>
    <t>Series goes to 7 games</t>
  </si>
  <si>
    <t>Series is a sweep</t>
  </si>
  <si>
    <t>First home team</t>
  </si>
  <si>
    <t>A not behind?</t>
  </si>
  <si>
    <t>Values to test</t>
  </si>
  <si>
    <t>A never behind</t>
  </si>
  <si>
    <t>B never behind</t>
  </si>
  <si>
    <t>B not behind?</t>
  </si>
  <si>
    <t>Wins for A</t>
  </si>
  <si>
    <t>Wins for B</t>
  </si>
  <si>
    <t>Tables requested</t>
  </si>
  <si>
    <t>No</t>
  </si>
  <si>
    <t>A</t>
  </si>
  <si>
    <t>Inputs</t>
  </si>
  <si>
    <t>P(A wins at home)</t>
  </si>
  <si>
    <t>P(A wins on the road)</t>
  </si>
  <si>
    <t>Outputs</t>
  </si>
  <si>
    <t>Percentiles</t>
  </si>
  <si>
    <t>Targets</t>
  </si>
  <si>
    <t>.05,.50,.95</t>
  </si>
  <si>
    <t>5,6</t>
  </si>
  <si>
    <t>Index</t>
  </si>
  <si>
    <t>Min</t>
  </si>
  <si>
    <t>Max</t>
  </si>
  <si>
    <t>Mean</t>
  </si>
  <si>
    <t>Stdev</t>
  </si>
  <si>
    <t>Number of iterations</t>
  </si>
  <si>
    <t>1,2,3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</si>
</sst>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ont="1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indexed="26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704850</xdr:colOff>
          <xdr:row>1</xdr:row>
          <xdr:rowOff>66675</xdr:rowOff>
        </xdr:from>
        <xdr:to>
          <xdr:col>5</xdr:col>
          <xdr:colOff>895350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D32"/>
  <sheetViews>
    <sheetView tabSelected="1" workbookViewId="0"/>
  </sheetViews>
  <sheetFormatPr defaultRowHeight="15" x14ac:dyDescent="0.25"/>
  <cols>
    <col min="1" max="1" width="22.85546875" customWidth="1"/>
    <col min="2" max="2" width="11.28515625" bestFit="1" customWidth="1"/>
    <col min="4" max="4" width="11.28515625" bestFit="1" customWidth="1"/>
    <col min="5" max="5" width="11.140625" bestFit="1" customWidth="1"/>
    <col min="6" max="6" width="13.5703125" bestFit="1" customWidth="1"/>
    <col min="7" max="7" width="13.42578125" bestFit="1" customWidth="1"/>
    <col min="8" max="8" width="12.5703125" customWidth="1"/>
    <col min="9" max="9" width="11.140625" customWidth="1"/>
    <col min="28" max="28" width="15.5703125" bestFit="1" customWidth="1"/>
    <col min="29" max="29" width="17.42578125" bestFit="1" customWidth="1"/>
    <col min="30" max="30" width="20.28515625" bestFit="1" customWidth="1"/>
    <col min="80" max="80" width="15.5703125" bestFit="1" customWidth="1"/>
    <col min="81" max="81" width="17.42578125" bestFit="1" customWidth="1"/>
    <col min="82" max="82" width="20.28515625" bestFit="1" customWidth="1"/>
  </cols>
  <sheetData>
    <row r="1" spans="1:82" x14ac:dyDescent="0.25">
      <c r="A1" s="1" t="s">
        <v>0</v>
      </c>
      <c r="CA1" s="3" t="s">
        <v>33</v>
      </c>
      <c r="CB1" t="s">
        <v>14</v>
      </c>
      <c r="CC1" t="s">
        <v>26</v>
      </c>
      <c r="CD1" t="s">
        <v>27</v>
      </c>
    </row>
    <row r="2" spans="1:82" x14ac:dyDescent="0.25">
      <c r="A2" s="1"/>
      <c r="CA2" s="3">
        <v>1</v>
      </c>
      <c r="CB2" t="s">
        <v>24</v>
      </c>
      <c r="CC2">
        <v>0.4</v>
      </c>
      <c r="CD2">
        <v>0.35</v>
      </c>
    </row>
    <row r="3" spans="1:82" x14ac:dyDescent="0.25">
      <c r="A3" s="1" t="s">
        <v>38</v>
      </c>
      <c r="B3" s="11">
        <v>1000</v>
      </c>
      <c r="CA3" s="3">
        <v>2</v>
      </c>
      <c r="CB3" t="s">
        <v>24</v>
      </c>
      <c r="CC3">
        <v>0.4</v>
      </c>
      <c r="CD3">
        <v>0.4</v>
      </c>
    </row>
    <row r="4" spans="1:82" x14ac:dyDescent="0.25">
      <c r="CA4">
        <v>3</v>
      </c>
      <c r="CB4" t="s">
        <v>24</v>
      </c>
      <c r="CC4">
        <v>0.4</v>
      </c>
      <c r="CD4">
        <v>0.45</v>
      </c>
    </row>
    <row r="5" spans="1:82" x14ac:dyDescent="0.25">
      <c r="A5" s="1" t="s">
        <v>25</v>
      </c>
      <c r="B5" s="10">
        <f ca="1">_xll.RiskSimtable(Indexes)</f>
        <v>1</v>
      </c>
      <c r="D5" s="1" t="s">
        <v>16</v>
      </c>
      <c r="CA5">
        <v>4</v>
      </c>
      <c r="CB5" t="s">
        <v>24</v>
      </c>
      <c r="CC5">
        <v>0.5</v>
      </c>
      <c r="CD5">
        <v>0.35</v>
      </c>
    </row>
    <row r="6" spans="1:82" x14ac:dyDescent="0.25">
      <c r="A6" t="s">
        <v>14</v>
      </c>
      <c r="B6" s="4" t="str">
        <f ca="1">VLOOKUP(Index,LookupTable,2)</f>
        <v>A</v>
      </c>
      <c r="D6" s="2" t="s">
        <v>24</v>
      </c>
      <c r="E6" s="2" t="s">
        <v>7</v>
      </c>
      <c r="F6" s="2"/>
      <c r="G6" s="2"/>
      <c r="H6" s="2"/>
      <c r="I6" s="2"/>
      <c r="J6" s="2"/>
      <c r="K6" s="2"/>
      <c r="L6" s="2"/>
      <c r="CA6">
        <v>5</v>
      </c>
      <c r="CB6" t="s">
        <v>24</v>
      </c>
      <c r="CC6">
        <v>0.5</v>
      </c>
      <c r="CD6">
        <v>0.4</v>
      </c>
    </row>
    <row r="7" spans="1:82" x14ac:dyDescent="0.25">
      <c r="A7" t="s">
        <v>26</v>
      </c>
      <c r="B7" s="5">
        <f ca="1">VLOOKUP(Index,LookupTable,3)</f>
        <v>0.4</v>
      </c>
      <c r="D7" s="8">
        <v>0.4</v>
      </c>
      <c r="E7" s="2">
        <v>0.5</v>
      </c>
      <c r="F7" s="2">
        <v>0.6</v>
      </c>
      <c r="G7" s="8"/>
      <c r="H7" s="8"/>
      <c r="I7" s="8"/>
      <c r="J7" s="8"/>
      <c r="K7" s="8"/>
      <c r="L7" s="2"/>
      <c r="CA7">
        <v>6</v>
      </c>
      <c r="CB7" t="s">
        <v>24</v>
      </c>
      <c r="CC7">
        <v>0.5</v>
      </c>
      <c r="CD7">
        <v>0.45</v>
      </c>
    </row>
    <row r="8" spans="1:82" x14ac:dyDescent="0.25">
      <c r="A8" t="s">
        <v>27</v>
      </c>
      <c r="B8" s="5">
        <f ca="1">VLOOKUP(Index,LookupTable,4)</f>
        <v>0.35</v>
      </c>
      <c r="D8" s="8">
        <v>0.35</v>
      </c>
      <c r="E8" s="8">
        <v>0.4</v>
      </c>
      <c r="F8" s="2">
        <v>0.45</v>
      </c>
      <c r="G8" s="2"/>
      <c r="H8" s="8"/>
      <c r="I8" s="8"/>
      <c r="J8" s="8"/>
      <c r="K8" s="2"/>
      <c r="L8" s="2"/>
      <c r="CA8">
        <v>7</v>
      </c>
      <c r="CB8" t="s">
        <v>24</v>
      </c>
      <c r="CC8">
        <v>0.6</v>
      </c>
      <c r="CD8">
        <v>0.35</v>
      </c>
    </row>
    <row r="9" spans="1:82" x14ac:dyDescent="0.25">
      <c r="B9" s="9"/>
      <c r="CA9">
        <v>8</v>
      </c>
      <c r="CB9" t="s">
        <v>24</v>
      </c>
      <c r="CC9">
        <v>0.6</v>
      </c>
      <c r="CD9">
        <v>0.4</v>
      </c>
    </row>
    <row r="10" spans="1:82" ht="15.75" customHeight="1" x14ac:dyDescent="0.25">
      <c r="B10" s="7"/>
      <c r="CA10">
        <v>9</v>
      </c>
      <c r="CB10" t="s">
        <v>24</v>
      </c>
      <c r="CC10">
        <v>0.6</v>
      </c>
      <c r="CD10">
        <v>0.45</v>
      </c>
    </row>
    <row r="11" spans="1:82" x14ac:dyDescent="0.25">
      <c r="A11" s="2"/>
      <c r="B11" s="2"/>
      <c r="C11" s="2"/>
      <c r="D11" s="1" t="s">
        <v>22</v>
      </c>
      <c r="H11" s="2"/>
      <c r="CA11">
        <v>10</v>
      </c>
      <c r="CB11" t="s">
        <v>7</v>
      </c>
      <c r="CC11">
        <v>0.4</v>
      </c>
      <c r="CD11">
        <v>0.35</v>
      </c>
    </row>
    <row r="12" spans="1:82" x14ac:dyDescent="0.25">
      <c r="A12" s="1" t="s">
        <v>28</v>
      </c>
      <c r="D12" s="2" t="s">
        <v>36</v>
      </c>
      <c r="E12" s="2" t="s">
        <v>37</v>
      </c>
      <c r="F12" s="2" t="s">
        <v>34</v>
      </c>
      <c r="G12" s="2" t="s">
        <v>35</v>
      </c>
      <c r="H12" s="2" t="s">
        <v>29</v>
      </c>
      <c r="I12" s="2" t="s">
        <v>30</v>
      </c>
      <c r="CA12">
        <v>11</v>
      </c>
      <c r="CB12" t="s">
        <v>7</v>
      </c>
      <c r="CC12">
        <v>0.4</v>
      </c>
      <c r="CD12">
        <v>0.4</v>
      </c>
    </row>
    <row r="13" spans="1:82" x14ac:dyDescent="0.25">
      <c r="A13" t="s">
        <v>10</v>
      </c>
      <c r="B13" s="6">
        <f ca="1">_xll.RiskOutput("Number of games")+COUNT(D26:D32)</f>
        <v>5</v>
      </c>
      <c r="D13" s="2" t="s">
        <v>8</v>
      </c>
      <c r="E13" s="2" t="s">
        <v>8</v>
      </c>
      <c r="F13" s="2" t="s">
        <v>8</v>
      </c>
      <c r="G13" s="2" t="s">
        <v>8</v>
      </c>
      <c r="H13" s="2" t="s">
        <v>31</v>
      </c>
      <c r="I13" s="2" t="s">
        <v>32</v>
      </c>
      <c r="CA13">
        <v>12</v>
      </c>
      <c r="CB13" t="s">
        <v>7</v>
      </c>
      <c r="CC13">
        <v>0.4</v>
      </c>
      <c r="CD13">
        <v>0.45</v>
      </c>
    </row>
    <row r="14" spans="1:82" x14ac:dyDescent="0.25">
      <c r="A14" s="3" t="s">
        <v>13</v>
      </c>
      <c r="B14" s="6">
        <f ca="1">_xll.RiskOutput("Series is a sweep")+IF(B13=4,1,0)</f>
        <v>0</v>
      </c>
      <c r="D14" s="2" t="s">
        <v>8</v>
      </c>
      <c r="E14" s="2" t="s">
        <v>23</v>
      </c>
      <c r="F14" s="2" t="s">
        <v>23</v>
      </c>
      <c r="G14" s="2" t="s">
        <v>23</v>
      </c>
      <c r="H14" s="2" t="s">
        <v>23</v>
      </c>
      <c r="I14" s="2" t="s">
        <v>23</v>
      </c>
      <c r="CA14">
        <v>13</v>
      </c>
      <c r="CB14" t="s">
        <v>7</v>
      </c>
      <c r="CC14">
        <v>0.5</v>
      </c>
      <c r="CD14">
        <v>0.35</v>
      </c>
    </row>
    <row r="15" spans="1:82" x14ac:dyDescent="0.25">
      <c r="A15" t="s">
        <v>12</v>
      </c>
      <c r="B15" s="6">
        <f ca="1">_xll.RiskOutput("Series goes to 7 games")+IF(B13=7,1,0)</f>
        <v>0</v>
      </c>
      <c r="D15" s="2" t="s">
        <v>8</v>
      </c>
      <c r="E15" s="2" t="s">
        <v>23</v>
      </c>
      <c r="F15" s="2" t="s">
        <v>23</v>
      </c>
      <c r="G15" s="2" t="s">
        <v>23</v>
      </c>
      <c r="H15" s="2" t="s">
        <v>23</v>
      </c>
      <c r="I15" s="2" t="s">
        <v>23</v>
      </c>
      <c r="CA15">
        <v>14</v>
      </c>
      <c r="CB15" t="s">
        <v>7</v>
      </c>
      <c r="CC15">
        <v>0.5</v>
      </c>
      <c r="CD15">
        <v>0.4</v>
      </c>
    </row>
    <row r="16" spans="1:82" x14ac:dyDescent="0.25">
      <c r="A16" t="s">
        <v>20</v>
      </c>
      <c r="B16" s="6">
        <f ca="1">_xll.RiskOutput("Wins for A")+MAX(D26:D32)</f>
        <v>1</v>
      </c>
      <c r="D16" s="2" t="s">
        <v>8</v>
      </c>
      <c r="E16" s="2" t="s">
        <v>8</v>
      </c>
      <c r="F16" s="2" t="s">
        <v>8</v>
      </c>
      <c r="G16" s="2" t="s">
        <v>8</v>
      </c>
      <c r="H16" s="2">
        <v>0.5</v>
      </c>
      <c r="I16" s="2" t="s">
        <v>39</v>
      </c>
      <c r="CA16">
        <v>15</v>
      </c>
      <c r="CB16" t="s">
        <v>7</v>
      </c>
      <c r="CC16">
        <v>0.5</v>
      </c>
      <c r="CD16">
        <v>0.45</v>
      </c>
    </row>
    <row r="17" spans="1:82" x14ac:dyDescent="0.25">
      <c r="A17" t="s">
        <v>21</v>
      </c>
      <c r="B17" s="6">
        <f ca="1">_xll.RiskOutput("Wins for B")+B13-B16</f>
        <v>4</v>
      </c>
      <c r="D17" s="2" t="s">
        <v>8</v>
      </c>
      <c r="E17" s="2" t="s">
        <v>8</v>
      </c>
      <c r="F17" s="2" t="s">
        <v>8</v>
      </c>
      <c r="G17" s="2" t="s">
        <v>8</v>
      </c>
      <c r="H17" s="2">
        <v>0.5</v>
      </c>
      <c r="I17" s="2" t="s">
        <v>39</v>
      </c>
      <c r="CA17">
        <v>16</v>
      </c>
      <c r="CB17" t="s">
        <v>7</v>
      </c>
      <c r="CC17">
        <v>0.6</v>
      </c>
      <c r="CD17">
        <v>0.35</v>
      </c>
    </row>
    <row r="18" spans="1:82" x14ac:dyDescent="0.25">
      <c r="A18" t="s">
        <v>17</v>
      </c>
      <c r="B18" s="6">
        <f ca="1">_xll.RiskOutput("A never behind")+IF(MIN(F26:F32)=1,1,0)</f>
        <v>0</v>
      </c>
      <c r="D18" s="2" t="s">
        <v>8</v>
      </c>
      <c r="E18" s="2" t="s">
        <v>23</v>
      </c>
      <c r="F18" s="2" t="s">
        <v>23</v>
      </c>
      <c r="G18" s="2" t="s">
        <v>23</v>
      </c>
      <c r="H18" s="2" t="s">
        <v>23</v>
      </c>
      <c r="I18" s="2" t="s">
        <v>23</v>
      </c>
      <c r="CA18">
        <v>17</v>
      </c>
      <c r="CB18" t="s">
        <v>7</v>
      </c>
      <c r="CC18">
        <v>0.6</v>
      </c>
      <c r="CD18">
        <v>0.4</v>
      </c>
    </row>
    <row r="19" spans="1:82" x14ac:dyDescent="0.25">
      <c r="A19" t="s">
        <v>18</v>
      </c>
      <c r="B19" s="6">
        <f ca="1">_xll.RiskOutput("B never behind")+IF(MIN(G26:G32)=1,1,0)</f>
        <v>1</v>
      </c>
      <c r="D19" s="2" t="s">
        <v>8</v>
      </c>
      <c r="E19" s="2" t="s">
        <v>23</v>
      </c>
      <c r="F19" s="2" t="s">
        <v>23</v>
      </c>
      <c r="G19" s="2" t="s">
        <v>23</v>
      </c>
      <c r="H19" s="2" t="s">
        <v>23</v>
      </c>
      <c r="I19" s="2" t="s">
        <v>23</v>
      </c>
      <c r="CA19">
        <v>18</v>
      </c>
      <c r="CB19" t="s">
        <v>7</v>
      </c>
      <c r="CC19">
        <v>0.6</v>
      </c>
      <c r="CD19">
        <v>0.45</v>
      </c>
    </row>
    <row r="20" spans="1:82" x14ac:dyDescent="0.25">
      <c r="A20" t="s">
        <v>11</v>
      </c>
      <c r="B20" s="6">
        <f ca="1">_xll.RiskOutput("A wins series")+IF(B16=4,1,0)</f>
        <v>0</v>
      </c>
      <c r="D20" s="2" t="s">
        <v>8</v>
      </c>
      <c r="E20" s="2" t="s">
        <v>23</v>
      </c>
      <c r="F20" s="2" t="s">
        <v>23</v>
      </c>
      <c r="G20" s="2" t="s">
        <v>23</v>
      </c>
      <c r="H20" s="2" t="s">
        <v>23</v>
      </c>
      <c r="I20" s="2" t="s">
        <v>23</v>
      </c>
    </row>
    <row r="24" spans="1:82" x14ac:dyDescent="0.25">
      <c r="A24" s="1" t="s">
        <v>1</v>
      </c>
    </row>
    <row r="25" spans="1:82" x14ac:dyDescent="0.25">
      <c r="A25" s="2" t="s">
        <v>2</v>
      </c>
      <c r="B25" s="2" t="s">
        <v>3</v>
      </c>
      <c r="C25" s="2" t="s">
        <v>4</v>
      </c>
      <c r="D25" s="2" t="s">
        <v>5</v>
      </c>
      <c r="E25" s="2" t="s">
        <v>9</v>
      </c>
      <c r="F25" s="2" t="s">
        <v>15</v>
      </c>
      <c r="G25" s="2" t="s">
        <v>19</v>
      </c>
      <c r="H25" s="2" t="s">
        <v>6</v>
      </c>
    </row>
    <row r="26" spans="1:82" x14ac:dyDescent="0.25">
      <c r="A26" s="2">
        <v>1</v>
      </c>
      <c r="B26" s="2" t="str">
        <f ca="1">IF($B$6="A","A","B")</f>
        <v>A</v>
      </c>
      <c r="C26" s="2" t="str">
        <f ca="1">IF(B26="A",IF(RAND()&lt;$B$7,"Yes","No"),IF(RAND()&lt;$B$8,"Yes","No"))</f>
        <v>No</v>
      </c>
      <c r="D26" s="2">
        <f ca="1">IF(C26="Yes",1,0)</f>
        <v>0</v>
      </c>
      <c r="E26" s="2">
        <f ca="1">A26-D26</f>
        <v>1</v>
      </c>
      <c r="F26" s="2">
        <f ca="1">IF(D26&gt;=E26,1,0)</f>
        <v>0</v>
      </c>
      <c r="G26" s="2">
        <f ca="1">IF(E26&gt;=D26,1,0)</f>
        <v>1</v>
      </c>
      <c r="H26" s="2" t="s">
        <v>8</v>
      </c>
    </row>
    <row r="27" spans="1:82" x14ac:dyDescent="0.25">
      <c r="A27" s="2">
        <v>2</v>
      </c>
      <c r="B27" s="2" t="str">
        <f ca="1">IF($B$6="A","A","B")</f>
        <v>A</v>
      </c>
      <c r="C27" s="2" t="str">
        <f ca="1">IF(B27="A",IF(RAND()&lt;$B$7,"Yes","No"),IF(RAND()&lt;$B$8,"Yes","No"))</f>
        <v>No</v>
      </c>
      <c r="D27" s="2">
        <f ca="1">IF(C27="Yes",D26+1,D26)</f>
        <v>0</v>
      </c>
      <c r="E27" s="2">
        <f ca="1">A27-D27</f>
        <v>2</v>
      </c>
      <c r="F27" s="2">
        <f ca="1">IF(D27&gt;=E27,1,0)</f>
        <v>0</v>
      </c>
      <c r="G27" s="2">
        <f ca="1">IF(E27&gt;=D27,1,0)</f>
        <v>1</v>
      </c>
      <c r="H27" s="2" t="s">
        <v>8</v>
      </c>
    </row>
    <row r="28" spans="1:82" x14ac:dyDescent="0.25">
      <c r="A28" s="2">
        <v>3</v>
      </c>
      <c r="B28" s="2" t="str">
        <f ca="1">IF($B$6="A","B","A")</f>
        <v>B</v>
      </c>
      <c r="C28" s="2" t="str">
        <f ca="1">IF(B28="A",IF(RAND()&lt;$B$7,"Yes","No"),IF(RAND()&lt;$B$8,"Yes","No"))</f>
        <v>Yes</v>
      </c>
      <c r="D28" s="2">
        <f ca="1">IF(C28="Yes",D27+1,D27)</f>
        <v>1</v>
      </c>
      <c r="E28" s="2">
        <f ca="1">A28-D28</f>
        <v>2</v>
      </c>
      <c r="F28" s="2">
        <f ca="1">IF(D28&gt;=E28,1,0)</f>
        <v>0</v>
      </c>
      <c r="G28" s="2">
        <f ca="1">IF(E28&gt;=D28,1,0)</f>
        <v>1</v>
      </c>
      <c r="H28" s="2" t="s">
        <v>8</v>
      </c>
    </row>
    <row r="29" spans="1:82" x14ac:dyDescent="0.25">
      <c r="A29" s="2">
        <v>4</v>
      </c>
      <c r="B29" s="2" t="str">
        <f ca="1">IF($B$6="A","B","A")</f>
        <v>B</v>
      </c>
      <c r="C29" s="2" t="str">
        <f ca="1">IF(B29="A",IF(RAND()&lt;$B$7,"Yes","No"),IF(RAND()&lt;$B$8,"Yes","No"))</f>
        <v>No</v>
      </c>
      <c r="D29" s="2">
        <f ca="1">IF(C29="Yes",D28+1,D28)</f>
        <v>1</v>
      </c>
      <c r="E29" s="2">
        <f ca="1">A29-D29</f>
        <v>3</v>
      </c>
      <c r="F29" s="2">
        <f ca="1">IF(D29&gt;=E29,1,0)</f>
        <v>0</v>
      </c>
      <c r="G29" s="2">
        <f ca="1">IF(E29&gt;=D29,1,0)</f>
        <v>1</v>
      </c>
      <c r="H29" s="2" t="str">
        <f ca="1">IF(OR(D29=4,E29=4),"No","Yes")</f>
        <v>Yes</v>
      </c>
    </row>
    <row r="30" spans="1:82" x14ac:dyDescent="0.25">
      <c r="A30" s="2">
        <v>5</v>
      </c>
      <c r="B30" s="2" t="str">
        <f ca="1">IF($B$6="A","B","A")</f>
        <v>B</v>
      </c>
      <c r="C30" s="2" t="str">
        <f ca="1">IF(H29="Yes",IF(B30="A",IF(RAND()&lt;$B$7,"Yes","No"),IF(RAND()&lt;$B$8,"Yes","No")),"")</f>
        <v>No</v>
      </c>
      <c r="D30" s="2">
        <f ca="1">IF(H29="Yes",IF(C30="Yes",D29+1,D29),"")</f>
        <v>1</v>
      </c>
      <c r="E30" s="2">
        <f ca="1">IF(H29="Yes",A30-D30,"")</f>
        <v>4</v>
      </c>
      <c r="F30" s="2">
        <f ca="1">IF(H29="Yes",IF(D30&gt;=E30,1,0),"")</f>
        <v>0</v>
      </c>
      <c r="G30" s="2">
        <f ca="1">IF(H29="Yes",IF(E30&gt;=D30,1,0),"")</f>
        <v>1</v>
      </c>
      <c r="H30" s="2" t="str">
        <f ca="1">IF(H29="Yes",IF(OR(D30=4,E30=4),"No","Yes"),"")</f>
        <v>No</v>
      </c>
    </row>
    <row r="31" spans="1:82" x14ac:dyDescent="0.25">
      <c r="A31" s="2">
        <v>6</v>
      </c>
      <c r="B31" s="2" t="str">
        <f ca="1">IF($B$6="A","A","B")</f>
        <v>A</v>
      </c>
      <c r="C31" s="2" t="str">
        <f ca="1">IF(H30="Yes",IF(B31="A",IF(RAND()&lt;$B$7,"Yes","No"),IF(RAND()&lt;$B$8,"Yes","No")),"")</f>
        <v/>
      </c>
      <c r="D31" s="2" t="str">
        <f ca="1">IF(H30="Yes",IF(C31="Yes",D30+1,D30),"")</f>
        <v/>
      </c>
      <c r="E31" s="2" t="str">
        <f ca="1">IF(H30="Yes",A31-D31,"")</f>
        <v/>
      </c>
      <c r="F31" s="2" t="str">
        <f ca="1">IF(H30="Yes",IF(D31&gt;=E31,1,0),"")</f>
        <v/>
      </c>
      <c r="G31" s="2" t="str">
        <f ca="1">IF(H30="Yes",IF(E31&gt;=D31,1,0),"")</f>
        <v/>
      </c>
      <c r="H31" s="2" t="str">
        <f ca="1">IF(H30="Yes",IF(OR(D31=4,E31=4),"No","Yes"),"")</f>
        <v/>
      </c>
    </row>
    <row r="32" spans="1:82" x14ac:dyDescent="0.25">
      <c r="A32" s="2">
        <v>7</v>
      </c>
      <c r="B32" s="2" t="str">
        <f ca="1">IF($B$6="A","A","B")</f>
        <v>A</v>
      </c>
      <c r="C32" s="2" t="str">
        <f ca="1">IF(H31="Yes",IF(B32="A",IF(RAND()&lt;$B$7,"Yes","No"),IF(RAND()&lt;$B$8,"Yes","No")),"")</f>
        <v/>
      </c>
      <c r="D32" s="2" t="str">
        <f ca="1">IF(H31="Yes",IF(C32="Yes",D31+1,D31),"")</f>
        <v/>
      </c>
      <c r="E32" s="2" t="str">
        <f ca="1">IF(H31="Yes",A32-D32,"")</f>
        <v/>
      </c>
      <c r="F32" s="2" t="str">
        <f ca="1">IF(H31="Yes",IF(D32&gt;=E32,1,0),"")</f>
        <v/>
      </c>
      <c r="G32" s="2" t="str">
        <f ca="1">IF(H31="Yes",IF(E32&gt;=D32,1,0),"")</f>
        <v/>
      </c>
      <c r="H32" s="2" t="str">
        <f ca="1">IF(H31="Yes",IF(OR(D32=4,E32=4),"No","Yes"),"")</f>
        <v/>
      </c>
    </row>
  </sheetData>
  <conditionalFormatting sqref="C11 C26:C32">
    <cfRule type="notContainsBlanks" dxfId="1" priority="1">
      <formula>LEN(TRIM(C11))&gt;0</formula>
    </cfRule>
  </conditionalFormatting>
  <conditionalFormatting sqref="C28">
    <cfRule type="expression" dxfId="0" priority="3" stopIfTrue="1">
      <formula>IF(RiskSelectedNameCell1=CELL("address",$C$28),TRUE)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orldSeriesSimulation">
                <anchor moveWithCells="1" sizeWithCells="1">
                  <from>
                    <xdr:col>3</xdr:col>
                    <xdr:colOff>704850</xdr:colOff>
                    <xdr:row>1</xdr:row>
                    <xdr:rowOff>66675</xdr:rowOff>
                  </from>
                  <to>
                    <xdr:col>5</xdr:col>
                    <xdr:colOff>895350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Model</vt:lpstr>
      <vt:lpstr>Index</vt:lpstr>
      <vt:lpstr>Indexes</vt:lpstr>
      <vt:lpstr>Input_Combinations</vt:lpstr>
      <vt:lpstr>Input_Lookup</vt:lpstr>
      <vt:lpstr>Input_Range</vt:lpstr>
      <vt:lpstr>Inputs_to_Test</vt:lpstr>
      <vt:lpstr>LookupTable</vt:lpstr>
      <vt:lpstr>Number_of_iterations</vt:lpstr>
      <vt:lpstr>Output_Range</vt:lpstr>
      <vt:lpstr>Tables_Requested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2008-10-21T19:06:32Z</dcterms:created>
  <dcterms:modified xsi:type="dcterms:W3CDTF">2014-08-14T00:07:04Z</dcterms:modified>
</cp:coreProperties>
</file>