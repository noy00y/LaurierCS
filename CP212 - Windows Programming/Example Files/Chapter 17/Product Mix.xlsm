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ropbox\My Books\VBA 5e\Example Files\Chapter 17\"/>
    </mc:Choice>
  </mc:AlternateContent>
  <bookViews>
    <workbookView xWindow="120" yWindow="120" windowWidth="9420" windowHeight="3990"/>
  </bookViews>
  <sheets>
    <sheet name="Model" sheetId="3" r:id="rId1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Available" localSheetId="0">Model!$D$21:$D$23</definedName>
    <definedName name="MaxSales">Model!$B$18:$E$18</definedName>
    <definedName name="Multiples">Model!$G$5:$G$12</definedName>
    <definedName name="_xlnm.Print_Area" localSheetId="0">Model!$G$3:$L$12</definedName>
    <definedName name="Produced" localSheetId="0">Model!$B$16:$E$16</definedName>
    <definedName name="Profit">Model!$F$32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ncount" hidden="1">1</definedName>
    <definedName name="solver_adj" localSheetId="0" hidden="1">Model!$B$16:$E$16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bd" localSheetId="0" hidden="1">2</definedName>
    <definedName name="solver_itr" localSheetId="0" hidden="1">100</definedName>
    <definedName name="solver_lhs1" localSheetId="0" hidden="1">Model!$B$21:$B$23</definedName>
    <definedName name="solver_lhs2" localSheetId="0" hidden="1">Model!$B$16:$E$16</definedName>
    <definedName name="solver_lhs3" localSheetId="0" hidden="1">Model!$B$16:$E$16</definedName>
    <definedName name="solver_lin" localSheetId="0" hidden="1">1</definedName>
    <definedName name="solver_lva" localSheetId="0" hidden="1">2</definedName>
    <definedName name="solver_mip" localSheetId="0" hidden="1">1000</definedName>
    <definedName name="solver_mni" localSheetId="0" hidden="1">30</definedName>
    <definedName name="solver_mrt" localSheetId="0" hidden="1">0.075</definedName>
    <definedName name="solver_neg" localSheetId="0" hidden="1">1</definedName>
    <definedName name="solver_nod" localSheetId="0" hidden="1">1000</definedName>
    <definedName name="solver_num" localSheetId="0" hidden="1">2</definedName>
    <definedName name="solver_nwt" localSheetId="0" hidden="1">1</definedName>
    <definedName name="solver_ofx" localSheetId="0" hidden="1">2</definedName>
    <definedName name="solver_oldadj1" localSheetId="0" hidden="1">1000</definedName>
    <definedName name="solver_oldadj2" localSheetId="0" hidden="1">800</definedName>
    <definedName name="solver_oldadj3" localSheetId="0" hidden="1">400</definedName>
    <definedName name="solver_oldadj4" localSheetId="0" hidden="1">0</definedName>
    <definedName name="solver_oldobj" localSheetId="0" hidden="1">9200</definedName>
    <definedName name="solver_opt" localSheetId="0" hidden="1">Model!$F$32</definedName>
    <definedName name="solver_piv" localSheetId="0" hidden="1">0.000001</definedName>
    <definedName name="solver_pre" localSheetId="0" hidden="1">0.000001</definedName>
    <definedName name="solver_pro" localSheetId="0" hidden="1">2</definedName>
    <definedName name="solver_rbv" localSheetId="0" hidden="1">1</definedName>
    <definedName name="solver_red" localSheetId="0" hidden="1">0.000001</definedName>
    <definedName name="solver_rel1" localSheetId="0" hidden="1">1</definedName>
    <definedName name="solver_rel2" localSheetId="0" hidden="1">1</definedName>
    <definedName name="solver_rel3" localSheetId="0" hidden="1">1</definedName>
    <definedName name="solver_reo" localSheetId="0" hidden="1">2</definedName>
    <definedName name="solver_rep" localSheetId="0" hidden="1">2</definedName>
    <definedName name="solver_rhs1" localSheetId="0" hidden="1">Model!Available</definedName>
    <definedName name="solver_rhs2" localSheetId="0" hidden="1">MaxSales</definedName>
    <definedName name="solver_rhs3" localSheetId="0" hidden="1">Model!$B$18:$E$18</definedName>
    <definedName name="solver_rlx" localSheetId="0" hidden="1">2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std" localSheetId="0" hidden="1">0</definedName>
    <definedName name="solver_tim" localSheetId="0" hidden="1">100</definedName>
    <definedName name="solver_tmp" localSheetId="0" hidden="1">Model!$B$18:$E$18</definedName>
    <definedName name="solver_tol" localSheetId="0" hidden="1">0.05</definedName>
    <definedName name="solver_typ" localSheetId="0" hidden="1">1</definedName>
    <definedName name="solver_val" localSheetId="0" hidden="1">0</definedName>
    <definedName name="solver_ver" localSheetId="0" hidden="1">3</definedName>
    <definedName name="Used" localSheetId="0">Model!$B$21:$B$23</definedName>
  </definedNames>
  <calcPr calcId="152511"/>
</workbook>
</file>

<file path=xl/calcChain.xml><?xml version="1.0" encoding="utf-8"?>
<calcChain xmlns="http://schemas.openxmlformats.org/spreadsheetml/2006/main">
  <c r="B21" i="3" l="1"/>
  <c r="B22" i="3"/>
  <c r="B23" i="3"/>
  <c r="B27" i="3"/>
  <c r="C27" i="3"/>
  <c r="D27" i="3"/>
  <c r="E27" i="3"/>
  <c r="B29" i="3"/>
  <c r="C29" i="3"/>
  <c r="D29" i="3"/>
  <c r="E29" i="3"/>
  <c r="B30" i="3"/>
  <c r="C30" i="3"/>
  <c r="D30" i="3"/>
  <c r="E30" i="3"/>
  <c r="B31" i="3"/>
  <c r="C31" i="3"/>
  <c r="D31" i="3"/>
  <c r="E31" i="3"/>
  <c r="B32" i="3" l="1"/>
  <c r="D32" i="3"/>
  <c r="E32" i="3"/>
  <c r="F31" i="3"/>
  <c r="C32" i="3"/>
  <c r="F29" i="3"/>
  <c r="F27" i="3"/>
  <c r="F30" i="3"/>
  <c r="F32" i="3" l="1"/>
</calcChain>
</file>

<file path=xl/sharedStrings.xml><?xml version="1.0" encoding="utf-8"?>
<sst xmlns="http://schemas.openxmlformats.org/spreadsheetml/2006/main" count="57" uniqueCount="45">
  <si>
    <t>Input data</t>
  </si>
  <si>
    <t>Hourly wage rate</t>
  </si>
  <si>
    <t>Cost per oz of metal</t>
  </si>
  <si>
    <t>Cost per oz of glass</t>
  </si>
  <si>
    <t>Labor hours per frame</t>
  </si>
  <si>
    <t>&lt;=</t>
  </si>
  <si>
    <t>Metal (oz.) per frame</t>
  </si>
  <si>
    <t>Glass (oz.) per frame</t>
  </si>
  <si>
    <t>Unit selling price</t>
  </si>
  <si>
    <t>Production plan</t>
  </si>
  <si>
    <t>Frames produced</t>
  </si>
  <si>
    <t>Maximum sales</t>
  </si>
  <si>
    <t>Profit</t>
  </si>
  <si>
    <t>Frame type</t>
  </si>
  <si>
    <t>Revenue, cost summary</t>
  </si>
  <si>
    <t>Revenue</t>
  </si>
  <si>
    <t xml:space="preserve">   Labor</t>
  </si>
  <si>
    <t>Costs of inputs</t>
  </si>
  <si>
    <t xml:space="preserve">   Metal</t>
  </si>
  <si>
    <t xml:space="preserve">   Glass</t>
  </si>
  <si>
    <t>Used</t>
  </si>
  <si>
    <t>Available</t>
  </si>
  <si>
    <t>Labor hours</t>
  </si>
  <si>
    <t>Metal (oz.)</t>
  </si>
  <si>
    <t>Glass (oz.)</t>
  </si>
  <si>
    <t>Totals</t>
  </si>
  <si>
    <t>Resource constraints</t>
  </si>
  <si>
    <t>Product mix model</t>
  </si>
  <si>
    <t>Unlimited</t>
  </si>
  <si>
    <t>Multiple</t>
  </si>
  <si>
    <t>Frame1</t>
  </si>
  <si>
    <t>Frame2</t>
  </si>
  <si>
    <t>Frame3</t>
  </si>
  <si>
    <t>Frame4</t>
  </si>
  <si>
    <t>Sensitivity to multiples of maximum sales</t>
  </si>
  <si>
    <t>Range names uses:</t>
  </si>
  <si>
    <t>=Model!$D$21:$D$23</t>
  </si>
  <si>
    <t>MaxSales</t>
  </si>
  <si>
    <t>=Model!$B$18:$E$18</t>
  </si>
  <si>
    <t>Multiples</t>
  </si>
  <si>
    <t>=Model!$G$5:$G$12</t>
  </si>
  <si>
    <t>Produced</t>
  </si>
  <si>
    <t>=Model!$B$16:$E$16</t>
  </si>
  <si>
    <t>=Model!$F$32</t>
  </si>
  <si>
    <t>=Model!$B$21:$B$23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</si>
</sst>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_);[Red]\(&quot;$&quot;#,##0.00\)"/>
    <numFmt numFmtId="164" formatCode="&quot;$&quot;#,##0;\-&quot;$&quot;#,##0"/>
    <numFmt numFmtId="165" formatCode="&quot;$&quot;#,##0"/>
  </numFmts>
  <fonts count="4" x14ac:knownFonts="1"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quotePrefix="1" applyFont="1" applyFill="1" applyAlignment="1">
      <alignment horizontal="left"/>
    </xf>
    <xf numFmtId="0" fontId="2" fillId="0" borderId="0" xfId="0" applyFont="1" applyFill="1"/>
    <xf numFmtId="0" fontId="1" fillId="0" borderId="0" xfId="0" applyFont="1" applyFill="1"/>
    <xf numFmtId="8" fontId="2" fillId="2" borderId="0" xfId="0" applyNumberFormat="1" applyFont="1" applyFill="1" applyBorder="1"/>
    <xf numFmtId="0" fontId="2" fillId="0" borderId="0" xfId="0" applyFont="1" applyFill="1" applyAlignment="1">
      <alignment horizontal="right"/>
    </xf>
    <xf numFmtId="2" fontId="2" fillId="0" borderId="0" xfId="0" applyNumberFormat="1" applyFont="1" applyFill="1"/>
    <xf numFmtId="1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quotePrefix="1" applyFont="1" applyFill="1" applyAlignment="1">
      <alignment horizontal="left"/>
    </xf>
    <xf numFmtId="0" fontId="2" fillId="2" borderId="0" xfId="0" applyFont="1" applyFill="1" applyBorder="1"/>
    <xf numFmtId="1" fontId="2" fillId="3" borderId="0" xfId="0" applyNumberFormat="1" applyFont="1" applyFill="1" applyBorder="1"/>
    <xf numFmtId="0" fontId="2" fillId="0" borderId="0" xfId="0" quotePrefix="1" applyFont="1" applyFill="1" applyAlignment="1">
      <alignment horizontal="right"/>
    </xf>
    <xf numFmtId="0" fontId="2" fillId="0" borderId="0" xfId="0" applyFont="1" applyFill="1" applyAlignment="1">
      <alignment horizontal="center"/>
    </xf>
    <xf numFmtId="165" fontId="2" fillId="0" borderId="0" xfId="0" applyNumberFormat="1" applyFont="1" applyFill="1"/>
    <xf numFmtId="165" fontId="2" fillId="4" borderId="0" xfId="0" applyNumberFormat="1" applyFont="1" applyFill="1" applyBorder="1"/>
    <xf numFmtId="0" fontId="2" fillId="0" borderId="0" xfId="0" applyNumberFormat="1" applyFont="1" applyFill="1"/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2</xdr:row>
          <xdr:rowOff>28575</xdr:rowOff>
        </xdr:from>
        <xdr:to>
          <xdr:col>5</xdr:col>
          <xdr:colOff>200025</xdr:colOff>
          <xdr:row>4</xdr:row>
          <xdr:rowOff>47625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sensitivity analysis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odel">
    <pageSetUpPr fitToPage="1"/>
  </sheetPr>
  <dimension ref="A1:L32"/>
  <sheetViews>
    <sheetView tabSelected="1" workbookViewId="0"/>
  </sheetViews>
  <sheetFormatPr defaultRowHeight="15" x14ac:dyDescent="0.25"/>
  <cols>
    <col min="1" max="1" width="23.5703125" style="2" customWidth="1"/>
    <col min="2" max="2" width="9.7109375" style="2" customWidth="1"/>
    <col min="3" max="5" width="9.140625" style="2"/>
    <col min="6" max="6" width="10.7109375" style="2" customWidth="1"/>
    <col min="7" max="7" width="10" style="2" customWidth="1"/>
    <col min="8" max="11" width="9.140625" style="2"/>
    <col min="12" max="12" width="10.28515625" style="2" customWidth="1"/>
    <col min="13" max="16384" width="9.140625" style="2"/>
  </cols>
  <sheetData>
    <row r="1" spans="1:12" x14ac:dyDescent="0.25">
      <c r="A1" s="1" t="s">
        <v>27</v>
      </c>
    </row>
    <row r="3" spans="1:12" x14ac:dyDescent="0.25">
      <c r="A3" s="3" t="s">
        <v>0</v>
      </c>
      <c r="G3" s="3" t="s">
        <v>34</v>
      </c>
    </row>
    <row r="4" spans="1:12" x14ac:dyDescent="0.25">
      <c r="A4" s="2" t="s">
        <v>1</v>
      </c>
      <c r="B4" s="4">
        <v>8</v>
      </c>
      <c r="G4" s="5" t="s">
        <v>29</v>
      </c>
      <c r="H4" s="5" t="s">
        <v>30</v>
      </c>
      <c r="I4" s="5" t="s">
        <v>31</v>
      </c>
      <c r="J4" s="5" t="s">
        <v>32</v>
      </c>
      <c r="K4" s="5" t="s">
        <v>33</v>
      </c>
      <c r="L4" s="5" t="s">
        <v>12</v>
      </c>
    </row>
    <row r="5" spans="1:12" x14ac:dyDescent="0.25">
      <c r="A5" s="2" t="s">
        <v>2</v>
      </c>
      <c r="B5" s="4">
        <v>0.5</v>
      </c>
      <c r="G5" s="6">
        <v>0.5</v>
      </c>
      <c r="H5" s="7"/>
      <c r="I5" s="7"/>
      <c r="J5" s="7"/>
      <c r="K5" s="7"/>
      <c r="L5" s="8"/>
    </row>
    <row r="6" spans="1:12" x14ac:dyDescent="0.25">
      <c r="A6" s="2" t="s">
        <v>3</v>
      </c>
      <c r="B6" s="4">
        <v>0.75</v>
      </c>
      <c r="G6" s="6">
        <v>0.75</v>
      </c>
      <c r="H6" s="7"/>
      <c r="I6" s="7"/>
      <c r="J6" s="7"/>
      <c r="K6" s="7"/>
      <c r="L6" s="8"/>
    </row>
    <row r="7" spans="1:12" x14ac:dyDescent="0.25">
      <c r="A7" s="3"/>
      <c r="G7" s="6">
        <v>1</v>
      </c>
      <c r="H7" s="7"/>
      <c r="I7" s="7"/>
      <c r="J7" s="7"/>
      <c r="K7" s="7"/>
      <c r="L7" s="8"/>
    </row>
    <row r="8" spans="1:12" x14ac:dyDescent="0.25">
      <c r="A8" s="2" t="s">
        <v>13</v>
      </c>
      <c r="B8" s="2">
        <v>1</v>
      </c>
      <c r="C8" s="2">
        <v>2</v>
      </c>
      <c r="D8" s="2">
        <v>3</v>
      </c>
      <c r="E8" s="2">
        <v>4</v>
      </c>
      <c r="G8" s="6">
        <v>1.25</v>
      </c>
      <c r="H8" s="7"/>
      <c r="I8" s="7"/>
      <c r="J8" s="7"/>
      <c r="K8" s="7"/>
      <c r="L8" s="8"/>
    </row>
    <row r="9" spans="1:12" x14ac:dyDescent="0.25">
      <c r="A9" s="9" t="s">
        <v>4</v>
      </c>
      <c r="B9" s="10">
        <v>2</v>
      </c>
      <c r="C9" s="10">
        <v>1</v>
      </c>
      <c r="D9" s="10">
        <v>3</v>
      </c>
      <c r="E9" s="10">
        <v>2</v>
      </c>
      <c r="G9" s="6">
        <v>1.5</v>
      </c>
      <c r="H9" s="7"/>
      <c r="I9" s="7"/>
      <c r="J9" s="7"/>
      <c r="K9" s="7"/>
      <c r="L9" s="8"/>
    </row>
    <row r="10" spans="1:12" x14ac:dyDescent="0.25">
      <c r="A10" s="9" t="s">
        <v>6</v>
      </c>
      <c r="B10" s="10">
        <v>4</v>
      </c>
      <c r="C10" s="10">
        <v>2</v>
      </c>
      <c r="D10" s="10">
        <v>1</v>
      </c>
      <c r="E10" s="10">
        <v>2</v>
      </c>
      <c r="G10" s="6">
        <v>1.75</v>
      </c>
      <c r="H10" s="7"/>
      <c r="I10" s="7"/>
      <c r="J10" s="7"/>
      <c r="K10" s="7"/>
      <c r="L10" s="8"/>
    </row>
    <row r="11" spans="1:12" x14ac:dyDescent="0.25">
      <c r="A11" s="9" t="s">
        <v>7</v>
      </c>
      <c r="B11" s="10">
        <v>6</v>
      </c>
      <c r="C11" s="10">
        <v>2</v>
      </c>
      <c r="D11" s="10">
        <v>1</v>
      </c>
      <c r="E11" s="10">
        <v>2</v>
      </c>
      <c r="G11" s="6">
        <v>2</v>
      </c>
      <c r="H11" s="7"/>
      <c r="I11" s="7"/>
      <c r="J11" s="7"/>
      <c r="K11" s="7"/>
      <c r="L11" s="8"/>
    </row>
    <row r="12" spans="1:12" x14ac:dyDescent="0.25">
      <c r="A12" s="2" t="s">
        <v>8</v>
      </c>
      <c r="B12" s="4">
        <v>28.5</v>
      </c>
      <c r="C12" s="4">
        <v>12.5</v>
      </c>
      <c r="D12" s="4">
        <v>29.25</v>
      </c>
      <c r="E12" s="4">
        <v>21.5</v>
      </c>
      <c r="G12" s="5" t="s">
        <v>28</v>
      </c>
      <c r="H12" s="7"/>
      <c r="I12" s="7"/>
      <c r="J12" s="7"/>
      <c r="K12" s="7"/>
      <c r="L12" s="8"/>
    </row>
    <row r="14" spans="1:12" x14ac:dyDescent="0.25">
      <c r="A14" s="3" t="s">
        <v>9</v>
      </c>
      <c r="G14" s="3" t="s">
        <v>35</v>
      </c>
    </row>
    <row r="15" spans="1:12" x14ac:dyDescent="0.25">
      <c r="A15" s="2" t="s">
        <v>13</v>
      </c>
      <c r="B15" s="2">
        <v>1</v>
      </c>
      <c r="C15" s="2">
        <v>2</v>
      </c>
      <c r="D15" s="2">
        <v>3</v>
      </c>
      <c r="E15" s="2">
        <v>4</v>
      </c>
      <c r="G15" s="16" t="s">
        <v>21</v>
      </c>
      <c r="H15" s="16" t="s">
        <v>36</v>
      </c>
    </row>
    <row r="16" spans="1:12" x14ac:dyDescent="0.25">
      <c r="A16" s="2" t="s">
        <v>10</v>
      </c>
      <c r="B16" s="11">
        <v>1000</v>
      </c>
      <c r="C16" s="11">
        <v>799.99999999999989</v>
      </c>
      <c r="D16" s="11">
        <v>399.99999999999994</v>
      </c>
      <c r="E16" s="11">
        <v>5.6843418860808015E-14</v>
      </c>
      <c r="G16" s="16" t="s">
        <v>37</v>
      </c>
      <c r="H16" s="16" t="s">
        <v>38</v>
      </c>
    </row>
    <row r="17" spans="1:8" x14ac:dyDescent="0.25">
      <c r="B17" s="12" t="s">
        <v>5</v>
      </c>
      <c r="C17" s="12" t="s">
        <v>5</v>
      </c>
      <c r="D17" s="12" t="s">
        <v>5</v>
      </c>
      <c r="E17" s="12" t="s">
        <v>5</v>
      </c>
      <c r="G17" s="16" t="s">
        <v>39</v>
      </c>
      <c r="H17" s="16" t="s">
        <v>40</v>
      </c>
    </row>
    <row r="18" spans="1:8" x14ac:dyDescent="0.25">
      <c r="A18" s="2" t="s">
        <v>11</v>
      </c>
      <c r="B18" s="10">
        <v>1000</v>
      </c>
      <c r="C18" s="10">
        <v>2000</v>
      </c>
      <c r="D18" s="10">
        <v>500</v>
      </c>
      <c r="E18" s="10">
        <v>1000</v>
      </c>
      <c r="G18" s="16" t="s">
        <v>41</v>
      </c>
      <c r="H18" s="16" t="s">
        <v>42</v>
      </c>
    </row>
    <row r="19" spans="1:8" x14ac:dyDescent="0.25">
      <c r="G19" s="16" t="s">
        <v>12</v>
      </c>
      <c r="H19" s="16" t="s">
        <v>43</v>
      </c>
    </row>
    <row r="20" spans="1:8" x14ac:dyDescent="0.25">
      <c r="A20" s="3" t="s">
        <v>26</v>
      </c>
      <c r="B20" s="5" t="s">
        <v>20</v>
      </c>
      <c r="C20" s="5"/>
      <c r="D20" s="5" t="s">
        <v>21</v>
      </c>
      <c r="G20" s="16" t="s">
        <v>20</v>
      </c>
      <c r="H20" s="16" t="s">
        <v>44</v>
      </c>
    </row>
    <row r="21" spans="1:8" x14ac:dyDescent="0.25">
      <c r="A21" s="2" t="s">
        <v>22</v>
      </c>
      <c r="B21" s="7">
        <f>SUMPRODUCT(B9:E9,Produced)</f>
        <v>4000</v>
      </c>
      <c r="C21" s="13" t="s">
        <v>5</v>
      </c>
      <c r="D21" s="10">
        <v>4000</v>
      </c>
    </row>
    <row r="22" spans="1:8" x14ac:dyDescent="0.25">
      <c r="A22" s="2" t="s">
        <v>23</v>
      </c>
      <c r="B22" s="7">
        <f>SUMPRODUCT(B10:E10,Produced)</f>
        <v>6000</v>
      </c>
      <c r="C22" s="13" t="s">
        <v>5</v>
      </c>
      <c r="D22" s="10">
        <v>6000</v>
      </c>
    </row>
    <row r="23" spans="1:8" x14ac:dyDescent="0.25">
      <c r="A23" s="2" t="s">
        <v>24</v>
      </c>
      <c r="B23" s="7">
        <f>SUMPRODUCT(B11:E11,Produced)</f>
        <v>8000</v>
      </c>
      <c r="C23" s="13" t="s">
        <v>5</v>
      </c>
      <c r="D23" s="10">
        <v>10000</v>
      </c>
    </row>
    <row r="25" spans="1:8" x14ac:dyDescent="0.25">
      <c r="A25" s="3" t="s">
        <v>14</v>
      </c>
    </row>
    <row r="26" spans="1:8" x14ac:dyDescent="0.25">
      <c r="A26" s="2" t="s">
        <v>13</v>
      </c>
      <c r="B26" s="2">
        <v>1</v>
      </c>
      <c r="C26" s="2">
        <v>2</v>
      </c>
      <c r="D26" s="2">
        <v>3</v>
      </c>
      <c r="E26" s="2">
        <v>4</v>
      </c>
      <c r="F26" s="5" t="s">
        <v>25</v>
      </c>
    </row>
    <row r="27" spans="1:8" x14ac:dyDescent="0.25">
      <c r="A27" s="2" t="s">
        <v>15</v>
      </c>
      <c r="B27" s="14">
        <f>B12*B16</f>
        <v>28500</v>
      </c>
      <c r="C27" s="14">
        <f>C12*C16</f>
        <v>9999.9999999999982</v>
      </c>
      <c r="D27" s="14">
        <f>D12*D16</f>
        <v>11699.999999999998</v>
      </c>
      <c r="E27" s="14">
        <f>E12*E16</f>
        <v>1.2221335055073723E-12</v>
      </c>
      <c r="F27" s="14">
        <f>SUM(B27:E27)</f>
        <v>50200</v>
      </c>
    </row>
    <row r="28" spans="1:8" x14ac:dyDescent="0.25">
      <c r="A28" s="2" t="s">
        <v>17</v>
      </c>
      <c r="B28" s="14"/>
      <c r="C28" s="14"/>
      <c r="D28" s="14"/>
      <c r="E28" s="14"/>
      <c r="F28" s="14"/>
    </row>
    <row r="29" spans="1:8" x14ac:dyDescent="0.25">
      <c r="A29" s="2" t="s">
        <v>16</v>
      </c>
      <c r="B29" s="14">
        <f t="shared" ref="B29:E31" si="0">$B4*B$16*B9</f>
        <v>16000</v>
      </c>
      <c r="C29" s="14">
        <f t="shared" si="0"/>
        <v>6399.9999999999991</v>
      </c>
      <c r="D29" s="14">
        <f t="shared" si="0"/>
        <v>9599.9999999999982</v>
      </c>
      <c r="E29" s="14">
        <f t="shared" si="0"/>
        <v>9.0949470177292824E-13</v>
      </c>
      <c r="F29" s="14">
        <f>SUM(B29:E29)</f>
        <v>32000</v>
      </c>
    </row>
    <row r="30" spans="1:8" x14ac:dyDescent="0.25">
      <c r="A30" s="2" t="s">
        <v>18</v>
      </c>
      <c r="B30" s="14">
        <f t="shared" si="0"/>
        <v>2000</v>
      </c>
      <c r="C30" s="14">
        <f t="shared" si="0"/>
        <v>799.99999999999989</v>
      </c>
      <c r="D30" s="14">
        <f t="shared" si="0"/>
        <v>199.99999999999997</v>
      </c>
      <c r="E30" s="14">
        <f t="shared" si="0"/>
        <v>5.6843418860808015E-14</v>
      </c>
      <c r="F30" s="14">
        <f>SUM(B30:E30)</f>
        <v>3000</v>
      </c>
    </row>
    <row r="31" spans="1:8" x14ac:dyDescent="0.25">
      <c r="A31" s="2" t="s">
        <v>19</v>
      </c>
      <c r="B31" s="14">
        <f t="shared" si="0"/>
        <v>4500</v>
      </c>
      <c r="C31" s="14">
        <f t="shared" si="0"/>
        <v>1199.9999999999998</v>
      </c>
      <c r="D31" s="14">
        <f t="shared" si="0"/>
        <v>299.99999999999994</v>
      </c>
      <c r="E31" s="14">
        <f t="shared" si="0"/>
        <v>8.5265128291212022E-14</v>
      </c>
      <c r="F31" s="14">
        <f>SUM(B31:E31)</f>
        <v>6000</v>
      </c>
    </row>
    <row r="32" spans="1:8" x14ac:dyDescent="0.25">
      <c r="A32" s="2" t="s">
        <v>12</v>
      </c>
      <c r="B32" s="14">
        <f>B27-SUM(B29:B31)</f>
        <v>6000</v>
      </c>
      <c r="C32" s="14">
        <f>C27-SUM(C29:C31)</f>
        <v>1600</v>
      </c>
      <c r="D32" s="14">
        <f>D27-SUM(D29:D31)</f>
        <v>1600</v>
      </c>
      <c r="E32" s="14">
        <f>E27-SUM(E29:E31)</f>
        <v>1.7053025658242404E-13</v>
      </c>
      <c r="F32" s="15">
        <f>SUM(B32:E32)</f>
        <v>9200</v>
      </c>
    </row>
  </sheetData>
  <phoneticPr fontId="0" type="noConversion"/>
  <printOptions headings="1" gridLines="1" gridLinesSet="0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" r:id="rId4" name="Button 102">
              <controlPr defaultSize="0" autoFill="0" autoPict="0" macro="[0]!MainProgram">
                <anchor moveWithCells="1" sizeWithCells="1">
                  <from>
                    <xdr:col>2</xdr:col>
                    <xdr:colOff>428625</xdr:colOff>
                    <xdr:row>2</xdr:row>
                    <xdr:rowOff>28575</xdr:rowOff>
                  </from>
                  <to>
                    <xdr:col>5</xdr:col>
                    <xdr:colOff>200025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Model</vt:lpstr>
      <vt:lpstr>Model!Available</vt:lpstr>
      <vt:lpstr>MaxSales</vt:lpstr>
      <vt:lpstr>Multiples</vt:lpstr>
      <vt:lpstr>Model!Print_Area</vt:lpstr>
      <vt:lpstr>Model!Produced</vt:lpstr>
      <vt:lpstr>Profit</vt:lpstr>
      <vt:lpstr>Model!Used</vt:lpstr>
    </vt:vector>
  </TitlesOfParts>
  <Company>Indiana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cp:lastPrinted>2008-10-27T19:22:15Z</cp:lastPrinted>
  <dcterms:created xsi:type="dcterms:W3CDTF">1997-11-12T14:36:37Z</dcterms:created>
  <dcterms:modified xsi:type="dcterms:W3CDTF">2014-08-14T21:25:19Z</dcterms:modified>
</cp:coreProperties>
</file>