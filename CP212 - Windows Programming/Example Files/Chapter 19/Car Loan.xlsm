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19\"/>
    </mc:Choice>
  </mc:AlternateContent>
  <bookViews>
    <workbookView xWindow="360" yWindow="120" windowWidth="11340" windowHeight="5520"/>
  </bookViews>
  <sheets>
    <sheet name="Explanation" sheetId="5" r:id="rId1"/>
    <sheet name="Model" sheetId="1" state="hidden" r:id="rId2"/>
    <sheet name="Sensitivity" sheetId="2" state="hidden" r:id="rId3"/>
    <sheet name="SensitivityChart" sheetId="7" state="hidden" r:id="rId4"/>
    <sheet name="Amortization" sheetId="3" state="hidden" r:id="rId5"/>
    <sheet name="AmortizationChart" sheetId="6" state="hidden" r:id="rId6"/>
  </sheets>
  <definedNames>
    <definedName name="DownPayment">Model!$B$5</definedName>
    <definedName name="InterestRate">Model!$B$6</definedName>
    <definedName name="Loan">Model!$B$10</definedName>
    <definedName name="Payment">Model!$B$11</definedName>
    <definedName name="Price">Model!$B$4</definedName>
    <definedName name="_xlnm.Print_Area" localSheetId="4">Amortization!$B$1:$G$11</definedName>
    <definedName name="_xlnm.Print_Area" localSheetId="0">Explanation!$A$1:$K$21</definedName>
    <definedName name="_xlnm.Print_Area" localSheetId="1">Model!$A$1:$B$12</definedName>
    <definedName name="_xlnm.Print_Area" localSheetId="2">Sensitivity!$B$1:$D$11</definedName>
    <definedName name="Term">Model!$B$7</definedName>
    <definedName name="TotalInterest">Model!$B$12</definedName>
  </definedNames>
  <calcPr calcId="152511"/>
</workbook>
</file>

<file path=xl/calcChain.xml><?xml version="1.0" encoding="utf-8"?>
<calcChain xmlns="http://schemas.openxmlformats.org/spreadsheetml/2006/main">
  <c r="C4" i="3" l="1"/>
  <c r="C5" i="3"/>
  <c r="C6" i="3"/>
  <c r="C7" i="3"/>
  <c r="B10" i="1"/>
  <c r="B11" i="1" s="1"/>
  <c r="C4" i="2"/>
  <c r="C5" i="2"/>
  <c r="C6" i="2"/>
  <c r="C7" i="2"/>
  <c r="D33" i="3" l="1"/>
  <c r="D25" i="3"/>
  <c r="D17" i="3"/>
  <c r="D32" i="3"/>
  <c r="D24" i="3"/>
  <c r="D16" i="3"/>
  <c r="D31" i="3"/>
  <c r="D23" i="3"/>
  <c r="D15" i="3"/>
  <c r="D18" i="3"/>
  <c r="D30" i="3"/>
  <c r="D22" i="3"/>
  <c r="D14" i="3"/>
  <c r="D11" i="3"/>
  <c r="D29" i="3"/>
  <c r="D21" i="3"/>
  <c r="D13" i="3"/>
  <c r="D28" i="3"/>
  <c r="D20" i="3"/>
  <c r="D12" i="3"/>
  <c r="D27" i="3"/>
  <c r="D19" i="3"/>
  <c r="D26" i="3"/>
  <c r="D10" i="3"/>
  <c r="C10" i="3"/>
  <c r="F10" i="3" s="1"/>
  <c r="B12" i="1"/>
  <c r="E10" i="3" l="1"/>
  <c r="G10" i="3" s="1"/>
  <c r="C11" i="3" s="1"/>
  <c r="F11" i="3" s="1"/>
  <c r="E11" i="3" s="1"/>
  <c r="G11" i="3" s="1"/>
  <c r="C12" i="3" s="1"/>
  <c r="F12" i="3" s="1"/>
  <c r="E12" i="3" s="1"/>
  <c r="G12" i="3" s="1"/>
  <c r="C13" i="3" s="1"/>
  <c r="F13" i="3" s="1"/>
  <c r="E13" i="3" s="1"/>
  <c r="G13" i="3" s="1"/>
  <c r="C14" i="3" s="1"/>
  <c r="F14" i="3" s="1"/>
  <c r="E14" i="3" s="1"/>
  <c r="G14" i="3" s="1"/>
  <c r="C15" i="3" s="1"/>
  <c r="F15" i="3" l="1"/>
  <c r="E15" i="3" s="1"/>
  <c r="G15" i="3" s="1"/>
  <c r="C16" i="3" s="1"/>
  <c r="F16" i="3" l="1"/>
  <c r="E16" i="3" s="1"/>
  <c r="G16" i="3" s="1"/>
  <c r="C17" i="3" s="1"/>
  <c r="F17" i="3" l="1"/>
  <c r="E17" i="3" s="1"/>
  <c r="G17" i="3" s="1"/>
  <c r="C18" i="3" s="1"/>
  <c r="F18" i="3" l="1"/>
  <c r="E18" i="3" s="1"/>
  <c r="G18" i="3" s="1"/>
  <c r="C19" i="3" s="1"/>
  <c r="F19" i="3" l="1"/>
  <c r="E19" i="3" s="1"/>
  <c r="G19" i="3" s="1"/>
  <c r="C20" i="3" s="1"/>
  <c r="F20" i="3" l="1"/>
  <c r="E20" i="3" s="1"/>
  <c r="G20" i="3" s="1"/>
  <c r="C21" i="3" s="1"/>
  <c r="F21" i="3" l="1"/>
  <c r="E21" i="3" s="1"/>
  <c r="G21" i="3" s="1"/>
  <c r="C22" i="3" s="1"/>
  <c r="F22" i="3" l="1"/>
  <c r="E22" i="3" s="1"/>
  <c r="G22" i="3" s="1"/>
  <c r="C23" i="3" s="1"/>
  <c r="F23" i="3" l="1"/>
  <c r="E23" i="3" s="1"/>
  <c r="G23" i="3" s="1"/>
  <c r="C24" i="3" s="1"/>
  <c r="F24" i="3" l="1"/>
  <c r="E24" i="3" s="1"/>
  <c r="G24" i="3" s="1"/>
  <c r="C25" i="3" s="1"/>
  <c r="F25" i="3" l="1"/>
  <c r="E25" i="3" s="1"/>
  <c r="G25" i="3" s="1"/>
  <c r="C26" i="3" s="1"/>
  <c r="F26" i="3" l="1"/>
  <c r="E26" i="3" s="1"/>
  <c r="G26" i="3" s="1"/>
  <c r="C27" i="3" s="1"/>
  <c r="F27" i="3" l="1"/>
  <c r="E27" i="3" s="1"/>
  <c r="G27" i="3" s="1"/>
  <c r="C28" i="3" s="1"/>
  <c r="F28" i="3" l="1"/>
  <c r="E28" i="3" s="1"/>
  <c r="G28" i="3" s="1"/>
  <c r="C29" i="3" s="1"/>
  <c r="F29" i="3" l="1"/>
  <c r="E29" i="3" s="1"/>
  <c r="G29" i="3" s="1"/>
  <c r="C30" i="3" s="1"/>
  <c r="F30" i="3" l="1"/>
  <c r="E30" i="3" s="1"/>
  <c r="G30" i="3" s="1"/>
  <c r="C31" i="3" s="1"/>
  <c r="F31" i="3" l="1"/>
  <c r="E31" i="3" s="1"/>
  <c r="G31" i="3" s="1"/>
  <c r="C32" i="3" s="1"/>
  <c r="F32" i="3" l="1"/>
  <c r="E32" i="3" s="1"/>
  <c r="G32" i="3" s="1"/>
  <c r="C33" i="3" s="1"/>
  <c r="F33" i="3" l="1"/>
  <c r="E33" i="3" s="1"/>
  <c r="G33" i="3" s="1"/>
</calcChain>
</file>

<file path=xl/sharedStrings.xml><?xml version="1.0" encoding="utf-8"?>
<sst xmlns="http://schemas.openxmlformats.org/spreadsheetml/2006/main" count="32" uniqueCount="21">
  <si>
    <t>Inputs</t>
  </si>
  <si>
    <t>Price of car</t>
  </si>
  <si>
    <t>Down payment</t>
  </si>
  <si>
    <t>Annual interest rate</t>
  </si>
  <si>
    <t>Term (months to pay)</t>
  </si>
  <si>
    <t>Outputs</t>
  </si>
  <si>
    <t>Amount financed</t>
  </si>
  <si>
    <t>Monthly payment</t>
  </si>
  <si>
    <t>Total interest paid</t>
  </si>
  <si>
    <t>Car loan model</t>
  </si>
  <si>
    <t>Basic inputs</t>
  </si>
  <si>
    <t>Input to vary</t>
  </si>
  <si>
    <t>Total interest</t>
  </si>
  <si>
    <t>Month</t>
  </si>
  <si>
    <t>Payment</t>
  </si>
  <si>
    <t>Principal</t>
  </si>
  <si>
    <t>Interest</t>
  </si>
  <si>
    <t>Ending balance</t>
  </si>
  <si>
    <t>Beginning balance</t>
  </si>
  <si>
    <t>Price</t>
  </si>
  <si>
    <t>Car Loan Application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</si>
</sst>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8" formatCode="&quot;$&quot;#,##0.00_);[Red]\(&quot;$&quot;#,##0.00\)"/>
    <numFmt numFmtId="164" formatCode="&quot;$&quot;#,##0;\-&quot;$&quot;#,##0"/>
    <numFmt numFmtId="165" formatCode="&quot;$&quot;#,##0.00;\-&quot;$&quot;#,##0.00"/>
  </numFmts>
  <fonts count="10" x14ac:knownFonts="1">
    <font>
      <sz val="11"/>
      <name val="Calibri"/>
      <family val="2"/>
      <scheme val="minor"/>
    </font>
    <font>
      <sz val="10"/>
      <name val="Arial"/>
      <family val="2"/>
    </font>
    <font>
      <b/>
      <sz val="10"/>
      <name val="Arial"/>
      <family val="2"/>
    </font>
    <font>
      <sz val="10"/>
      <name val="Arial"/>
      <family val="2"/>
    </font>
    <font>
      <b/>
      <sz val="12"/>
      <name val="Arial"/>
      <family val="2"/>
    </font>
    <font>
      <sz val="10"/>
      <color indexed="8"/>
      <name val="Arial"/>
      <family val="2"/>
    </font>
    <font>
      <b/>
      <sz val="9"/>
      <name val="Arial"/>
      <family val="2"/>
    </font>
    <font>
      <sz val="11"/>
      <color rgb="FF000000"/>
      <name val="Calibri"/>
      <family val="2"/>
    </font>
    <font>
      <sz val="10"/>
      <color rgb="FF000000"/>
      <name val="Arial"/>
      <family val="2"/>
    </font>
    <font>
      <b/>
      <sz val="1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0" tint="-0.14999847407452621"/>
        <bgColor indexed="24"/>
      </patternFill>
    </fill>
    <fill>
      <patternFill patternType="solid">
        <fgColor rgb="FFFFFF99"/>
        <bgColor indexed="64"/>
      </patternFill>
    </fill>
  </fills>
  <borders count="4">
    <border>
      <left/>
      <right/>
      <top/>
      <bottom/>
      <diagonal/>
    </border>
    <border>
      <left/>
      <right/>
      <top style="medium">
        <color theme="0" tint="-0.24994659260841701"/>
      </top>
      <bottom style="medium">
        <color theme="0" tint="-0.499984740745262"/>
      </bottom>
      <diagonal/>
    </border>
    <border>
      <left/>
      <right style="medium">
        <color theme="0" tint="-0.24994659260841701"/>
      </right>
      <top style="medium">
        <color theme="0" tint="-0.24994659260841701"/>
      </top>
      <bottom style="medium">
        <color theme="0" tint="-0.499984740745262"/>
      </bottom>
      <diagonal/>
    </border>
    <border>
      <left style="medium">
        <color theme="0" tint="-0.499984740745262"/>
      </left>
      <right/>
      <top style="medium">
        <color theme="0" tint="-0.24994659260841701"/>
      </top>
      <bottom style="medium">
        <color theme="0" tint="-0.499984740745262"/>
      </bottom>
      <diagonal/>
    </border>
  </borders>
  <cellStyleXfs count="2">
    <xf numFmtId="0" fontId="0" fillId="0" borderId="0"/>
    <xf numFmtId="9" fontId="1" fillId="0" borderId="0" applyFont="0" applyFill="0" applyBorder="0" applyAlignment="0" applyProtection="0"/>
  </cellStyleXfs>
  <cellXfs count="37">
    <xf numFmtId="0" fontId="0" fillId="0" borderId="0" xfId="0"/>
    <xf numFmtId="164" fontId="0" fillId="0" borderId="0" xfId="0" applyNumberFormat="1"/>
    <xf numFmtId="0" fontId="0" fillId="0" borderId="0" xfId="0" applyAlignment="1">
      <alignment horizontal="left"/>
    </xf>
    <xf numFmtId="0" fontId="0" fillId="0" borderId="0" xfId="0" applyFill="1" applyBorder="1" applyAlignment="1"/>
    <xf numFmtId="164" fontId="0" fillId="0" borderId="0" xfId="0" applyNumberFormat="1" applyFill="1" applyBorder="1" applyAlignment="1"/>
    <xf numFmtId="10" fontId="0" fillId="0" borderId="0" xfId="1" applyNumberFormat="1" applyFont="1" applyFill="1" applyBorder="1" applyAlignment="1"/>
    <xf numFmtId="8" fontId="0" fillId="0" borderId="0" xfId="0" applyNumberFormat="1" applyFill="1" applyBorder="1" applyAlignment="1">
      <alignment horizontal="center"/>
    </xf>
    <xf numFmtId="0" fontId="0" fillId="0" borderId="0" xfId="0" applyAlignment="1">
      <alignment horizontal="center"/>
    </xf>
    <xf numFmtId="165" fontId="0" fillId="0" borderId="0" xfId="0" applyNumberFormat="1" applyFill="1" applyBorder="1" applyAlignment="1">
      <alignment horizontal="center"/>
    </xf>
    <xf numFmtId="164" fontId="0" fillId="0" borderId="0" xfId="0" applyNumberFormat="1" applyAlignment="1">
      <alignment horizontal="center"/>
    </xf>
    <xf numFmtId="0" fontId="0" fillId="0" borderId="0" xfId="0" applyBorder="1"/>
    <xf numFmtId="0" fontId="5" fillId="0" borderId="0" xfId="0" applyFont="1" applyFill="1" applyBorder="1" applyAlignment="1">
      <alignment horizontal="center"/>
    </xf>
    <xf numFmtId="0" fontId="3" fillId="0" borderId="0" xfId="0" applyFont="1" applyFill="1" applyAlignment="1">
      <alignment horizontal="center"/>
    </xf>
    <xf numFmtId="0" fontId="3" fillId="0" borderId="0" xfId="0" applyFont="1" applyAlignment="1">
      <alignment horizontal="center"/>
    </xf>
    <xf numFmtId="8" fontId="0" fillId="0" borderId="0" xfId="0" applyNumberFormat="1" applyAlignment="1">
      <alignment horizontal="center"/>
    </xf>
    <xf numFmtId="1" fontId="0" fillId="0" borderId="0" xfId="0" applyNumberFormat="1" applyFill="1" applyBorder="1" applyAlignment="1"/>
    <xf numFmtId="0" fontId="0" fillId="0" borderId="0" xfId="0" applyFill="1"/>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xf>
    <xf numFmtId="0" fontId="6" fillId="3" borderId="1" xfId="0" applyFont="1" applyFill="1" applyBorder="1" applyAlignment="1">
      <alignment horizontal="center"/>
    </xf>
    <xf numFmtId="0" fontId="2" fillId="2" borderId="2" xfId="0" applyFont="1" applyFill="1" applyBorder="1" applyAlignment="1">
      <alignment horizontal="center" vertical="center"/>
    </xf>
    <xf numFmtId="0" fontId="2" fillId="3" borderId="3" xfId="0" applyFont="1" applyFill="1" applyBorder="1" applyAlignment="1">
      <alignment horizontal="center"/>
    </xf>
    <xf numFmtId="0" fontId="6" fillId="3" borderId="2" xfId="0" applyFont="1" applyFill="1" applyBorder="1" applyAlignment="1">
      <alignment horizontal="center"/>
    </xf>
    <xf numFmtId="0" fontId="0" fillId="4" borderId="3" xfId="0" applyFill="1" applyBorder="1"/>
    <xf numFmtId="164" fontId="0" fillId="4" borderId="2" xfId="0" applyNumberFormat="1" applyFill="1" applyBorder="1" applyAlignment="1">
      <alignment horizontal="right"/>
    </xf>
    <xf numFmtId="0" fontId="2" fillId="0" borderId="0" xfId="0" applyFont="1" applyFill="1" applyBorder="1" applyAlignment="1">
      <alignment vertical="center"/>
    </xf>
    <xf numFmtId="0" fontId="0" fillId="0" borderId="0" xfId="0" applyFont="1"/>
    <xf numFmtId="164" fontId="0" fillId="0" borderId="0" xfId="0" applyNumberFormat="1" applyFont="1"/>
    <xf numFmtId="165" fontId="0" fillId="0" borderId="0" xfId="0" applyNumberFormat="1" applyFont="1"/>
    <xf numFmtId="0" fontId="9" fillId="0" borderId="0" xfId="0" applyFont="1"/>
    <xf numFmtId="164" fontId="0" fillId="0" borderId="0" xfId="0" applyNumberFormat="1" applyFont="1" applyFill="1" applyBorder="1"/>
    <xf numFmtId="10" fontId="0" fillId="0" borderId="0" xfId="1" applyNumberFormat="1" applyFont="1" applyFill="1" applyBorder="1"/>
    <xf numFmtId="0" fontId="0" fillId="0" borderId="0" xfId="0" applyFont="1" applyFill="1" applyBorder="1"/>
    <xf numFmtId="0" fontId="4" fillId="0" borderId="0" xfId="0" applyFont="1" applyFill="1" applyAlignment="1">
      <alignment horizontal="center"/>
    </xf>
    <xf numFmtId="0" fontId="9" fillId="0" borderId="0" xfId="0" applyFont="1" applyFill="1" applyBorder="1" applyAlignment="1">
      <alignment horizontal="center" vertical="center"/>
    </xf>
    <xf numFmtId="0" fontId="2" fillId="2" borderId="3" xfId="0" applyFont="1" applyFill="1" applyBorder="1" applyAlignment="1">
      <alignment horizontal="left" vertical="center"/>
    </xf>
    <xf numFmtId="0" fontId="2" fillId="2" borderId="2" xfId="0" applyFont="1" applyFill="1" applyBorder="1" applyAlignment="1">
      <alignment horizontal="left" vertical="center"/>
    </xf>
  </cellXfs>
  <cellStyles count="2">
    <cellStyle name="Normal" xfId="0" builtinId="0" customBuiltin="1"/>
    <cellStyle name="Percent" xfId="1" builtinId="5"/>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2.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Sensitivity to Price of Car</a:t>
            </a:r>
          </a:p>
        </c:rich>
      </c:tx>
      <c:layout>
        <c:manualLayout>
          <c:xMode val="edge"/>
          <c:yMode val="edge"/>
          <c:x val="0.39067702552719202"/>
          <c:y val="1.9575856443719428E-2"/>
        </c:manualLayout>
      </c:layout>
      <c:overlay val="0"/>
      <c:spPr>
        <a:noFill/>
        <a:ln w="25400">
          <a:noFill/>
        </a:ln>
      </c:spPr>
    </c:title>
    <c:autoTitleDeleted val="0"/>
    <c:plotArea>
      <c:layout>
        <c:manualLayout>
          <c:layoutTarget val="inner"/>
          <c:xMode val="edge"/>
          <c:yMode val="edge"/>
          <c:x val="7.1032186459489471E-2"/>
          <c:y val="0.12234910277324638"/>
          <c:w val="0.76803551609323029"/>
          <c:h val="0.73898858075040752"/>
        </c:manualLayout>
      </c:layout>
      <c:lineChart>
        <c:grouping val="standard"/>
        <c:varyColors val="0"/>
        <c:ser>
          <c:idx val="0"/>
          <c:order val="0"/>
          <c:tx>
            <c:v>Monthly payment</c:v>
          </c:tx>
          <c:spPr>
            <a:ln w="12700">
              <a:solidFill>
                <a:srgbClr val="000080"/>
              </a:solidFill>
              <a:prstDash val="solid"/>
            </a:ln>
          </c:spPr>
          <c:marker>
            <c:symbol val="diamond"/>
            <c:size val="5"/>
            <c:spPr>
              <a:solidFill>
                <a:srgbClr val="000080"/>
              </a:solidFill>
              <a:ln>
                <a:solidFill>
                  <a:srgbClr val="000080"/>
                </a:solidFill>
                <a:prstDash val="solid"/>
              </a:ln>
            </c:spPr>
          </c:marker>
          <c:cat>
            <c:numRef>
              <c:f>Sensitivity!$B$12:$B$27</c:f>
              <c:numCache>
                <c:formatCode>"$"#,##0.00_);[Red]\("$"#,##0.00\)</c:formatCode>
                <c:ptCount val="16"/>
                <c:pt idx="0">
                  <c:v>15000</c:v>
                </c:pt>
                <c:pt idx="1">
                  <c:v>18000</c:v>
                </c:pt>
                <c:pt idx="2">
                  <c:v>21000</c:v>
                </c:pt>
                <c:pt idx="3">
                  <c:v>24000</c:v>
                </c:pt>
                <c:pt idx="4">
                  <c:v>27000</c:v>
                </c:pt>
                <c:pt idx="5">
                  <c:v>30000</c:v>
                </c:pt>
                <c:pt idx="6">
                  <c:v>33000</c:v>
                </c:pt>
                <c:pt idx="7">
                  <c:v>36000</c:v>
                </c:pt>
                <c:pt idx="8">
                  <c:v>39000</c:v>
                </c:pt>
                <c:pt idx="9">
                  <c:v>42000</c:v>
                </c:pt>
                <c:pt idx="10">
                  <c:v>45000</c:v>
                </c:pt>
                <c:pt idx="11">
                  <c:v>48000</c:v>
                </c:pt>
                <c:pt idx="12">
                  <c:v>51000</c:v>
                </c:pt>
                <c:pt idx="13">
                  <c:v>54000</c:v>
                </c:pt>
                <c:pt idx="14">
                  <c:v>57000</c:v>
                </c:pt>
                <c:pt idx="15">
                  <c:v>60000</c:v>
                </c:pt>
              </c:numCache>
            </c:numRef>
          </c:cat>
          <c:val>
            <c:numRef>
              <c:f>Sensitivity!$C$12:$C$27</c:f>
              <c:numCache>
                <c:formatCode>"$"#,##0.00_);[Red]\("$"#,##0.00\)</c:formatCode>
                <c:ptCount val="16"/>
                <c:pt idx="0">
                  <c:v>267.72000000000003</c:v>
                </c:pt>
                <c:pt idx="1">
                  <c:v>356.96</c:v>
                </c:pt>
                <c:pt idx="2">
                  <c:v>446.2</c:v>
                </c:pt>
                <c:pt idx="3">
                  <c:v>535.44000000000005</c:v>
                </c:pt>
                <c:pt idx="4">
                  <c:v>624.69000000000005</c:v>
                </c:pt>
                <c:pt idx="5">
                  <c:v>713.93</c:v>
                </c:pt>
                <c:pt idx="6">
                  <c:v>803.17</c:v>
                </c:pt>
                <c:pt idx="7">
                  <c:v>892.41</c:v>
                </c:pt>
                <c:pt idx="8">
                  <c:v>981.65</c:v>
                </c:pt>
                <c:pt idx="9">
                  <c:v>1070.8900000000001</c:v>
                </c:pt>
                <c:pt idx="10">
                  <c:v>1160.1300000000001</c:v>
                </c:pt>
                <c:pt idx="11">
                  <c:v>1249.3699999999999</c:v>
                </c:pt>
                <c:pt idx="12">
                  <c:v>1338.61</c:v>
                </c:pt>
                <c:pt idx="13">
                  <c:v>1427.85</c:v>
                </c:pt>
                <c:pt idx="14">
                  <c:v>1517.09</c:v>
                </c:pt>
                <c:pt idx="15">
                  <c:v>1606.33</c:v>
                </c:pt>
              </c:numCache>
            </c:numRef>
          </c:val>
          <c:smooth val="0"/>
        </c:ser>
        <c:ser>
          <c:idx val="1"/>
          <c:order val="1"/>
          <c:tx>
            <c:v>Total interest</c:v>
          </c:tx>
          <c:spPr>
            <a:ln w="12700">
              <a:solidFill>
                <a:srgbClr val="FF00FF"/>
              </a:solidFill>
              <a:prstDash val="solid"/>
            </a:ln>
          </c:spPr>
          <c:marker>
            <c:symbol val="square"/>
            <c:size val="5"/>
            <c:spPr>
              <a:solidFill>
                <a:srgbClr val="FF00FF"/>
              </a:solidFill>
              <a:ln>
                <a:solidFill>
                  <a:srgbClr val="FF00FF"/>
                </a:solidFill>
                <a:prstDash val="solid"/>
              </a:ln>
            </c:spPr>
          </c:marker>
          <c:val>
            <c:numRef>
              <c:f>Sensitivity!$D$12:$D$27</c:f>
              <c:numCache>
                <c:formatCode>"$"#,##0.00_);[Red]\("$"#,##0.00\)</c:formatCode>
                <c:ptCount val="16"/>
                <c:pt idx="0">
                  <c:v>638</c:v>
                </c:pt>
                <c:pt idx="1">
                  <c:v>850.67</c:v>
                </c:pt>
                <c:pt idx="2">
                  <c:v>1063.3399999999999</c:v>
                </c:pt>
                <c:pt idx="3">
                  <c:v>1276.01</c:v>
                </c:pt>
                <c:pt idx="4">
                  <c:v>1488.67</c:v>
                </c:pt>
                <c:pt idx="5">
                  <c:v>1701.34</c:v>
                </c:pt>
                <c:pt idx="6">
                  <c:v>1914.01</c:v>
                </c:pt>
                <c:pt idx="7">
                  <c:v>2126.6799999999998</c:v>
                </c:pt>
                <c:pt idx="8">
                  <c:v>2339.35</c:v>
                </c:pt>
                <c:pt idx="9">
                  <c:v>2552.0100000000002</c:v>
                </c:pt>
                <c:pt idx="10">
                  <c:v>2764.68</c:v>
                </c:pt>
                <c:pt idx="11">
                  <c:v>2977.35</c:v>
                </c:pt>
                <c:pt idx="12">
                  <c:v>3190.02</c:v>
                </c:pt>
                <c:pt idx="13">
                  <c:v>3402.69</c:v>
                </c:pt>
                <c:pt idx="14">
                  <c:v>3615.35</c:v>
                </c:pt>
                <c:pt idx="15">
                  <c:v>3828.02</c:v>
                </c:pt>
              </c:numCache>
            </c:numRef>
          </c:val>
          <c:smooth val="0"/>
        </c:ser>
        <c:dLbls>
          <c:showLegendKey val="0"/>
          <c:showVal val="0"/>
          <c:showCatName val="0"/>
          <c:showSerName val="0"/>
          <c:showPercent val="0"/>
          <c:showBubbleSize val="0"/>
        </c:dLbls>
        <c:marker val="1"/>
        <c:smooth val="0"/>
        <c:axId val="707370616"/>
        <c:axId val="707375320"/>
      </c:lineChart>
      <c:catAx>
        <c:axId val="707370616"/>
        <c:scaling>
          <c:orientation val="minMax"/>
        </c:scaling>
        <c:delete val="0"/>
        <c:axPos val="b"/>
        <c:title>
          <c:tx>
            <c:rich>
              <a:bodyPr/>
              <a:lstStyle/>
              <a:p>
                <a:pPr>
                  <a:defRPr sz="1150" b="1" i="0" u="none" strike="noStrike" baseline="0">
                    <a:solidFill>
                      <a:srgbClr val="000000"/>
                    </a:solidFill>
                    <a:latin typeface="Arial"/>
                    <a:ea typeface="Arial"/>
                    <a:cs typeface="Arial"/>
                  </a:defRPr>
                </a:pPr>
                <a:r>
                  <a:rPr lang="en-US"/>
                  <a:t>Price of Car</a:t>
                </a:r>
              </a:p>
            </c:rich>
          </c:tx>
          <c:layout>
            <c:manualLayout>
              <c:xMode val="edge"/>
              <c:yMode val="edge"/>
              <c:x val="0.40621531631520535"/>
              <c:y val="0.9363784665579119"/>
            </c:manualLayout>
          </c:layout>
          <c:overlay val="0"/>
          <c:spPr>
            <a:noFill/>
            <a:ln w="25400">
              <a:noFill/>
            </a:ln>
          </c:spPr>
        </c:title>
        <c:numFmt formatCode="#,##0_);[Red]\(#,##0\)"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707375320"/>
        <c:crosses val="autoZero"/>
        <c:auto val="1"/>
        <c:lblAlgn val="ctr"/>
        <c:lblOffset val="100"/>
        <c:tickLblSkip val="1"/>
        <c:tickMarkSkip val="1"/>
        <c:noMultiLvlLbl val="0"/>
      </c:catAx>
      <c:valAx>
        <c:axId val="707375320"/>
        <c:scaling>
          <c:orientation val="minMax"/>
        </c:scaling>
        <c:delete val="0"/>
        <c:axPos val="l"/>
        <c:majorGridlines>
          <c:spPr>
            <a:ln w="3175">
              <a:solidFill>
                <a:srgbClr val="000000"/>
              </a:solidFill>
              <a:prstDash val="solid"/>
            </a:ln>
          </c:spPr>
        </c:majorGridlines>
        <c:numFmt formatCode="\$#,##0_);[Red]\(\$#,##0\)"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707370616"/>
        <c:crosses val="autoZero"/>
        <c:crossBetween val="between"/>
      </c:valAx>
      <c:spPr>
        <a:solidFill>
          <a:srgbClr val="C0C0C0"/>
        </a:solidFill>
        <a:ln w="12700">
          <a:solidFill>
            <a:srgbClr val="808080"/>
          </a:solidFill>
          <a:prstDash val="solid"/>
        </a:ln>
      </c:spPr>
    </c:plotArea>
    <c:legend>
      <c:legendPos val="r"/>
      <c:layout>
        <c:manualLayout>
          <c:xMode val="edge"/>
          <c:yMode val="edge"/>
          <c:x val="0.8512763596004439"/>
          <c:y val="0.45840130505709631"/>
          <c:w val="0.14428412874583796"/>
          <c:h val="6.6884176182707977E-2"/>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Principal and Interest Payments Through Time</a:t>
            </a:r>
          </a:p>
        </c:rich>
      </c:tx>
      <c:layout>
        <c:manualLayout>
          <c:xMode val="edge"/>
          <c:yMode val="edge"/>
          <c:x val="0.30077691453940097"/>
          <c:y val="1.9575856443719428E-2"/>
        </c:manualLayout>
      </c:layout>
      <c:overlay val="0"/>
      <c:spPr>
        <a:noFill/>
        <a:ln w="25400">
          <a:noFill/>
        </a:ln>
      </c:spPr>
    </c:title>
    <c:autoTitleDeleted val="0"/>
    <c:plotArea>
      <c:layout>
        <c:manualLayout>
          <c:layoutTarget val="inner"/>
          <c:xMode val="edge"/>
          <c:yMode val="edge"/>
          <c:x val="7.4361820199778078E-2"/>
          <c:y val="0.12234910277324638"/>
          <c:w val="0.81243063263041115"/>
          <c:h val="0.76508972267536746"/>
        </c:manualLayout>
      </c:layout>
      <c:lineChart>
        <c:grouping val="standard"/>
        <c:varyColors val="0"/>
        <c:ser>
          <c:idx val="0"/>
          <c:order val="0"/>
          <c:tx>
            <c:v>Principal</c:v>
          </c:tx>
          <c:spPr>
            <a:ln w="12700">
              <a:solidFill>
                <a:srgbClr val="000080"/>
              </a:solidFill>
              <a:prstDash val="solid"/>
            </a:ln>
          </c:spPr>
          <c:marker>
            <c:symbol val="diamond"/>
            <c:size val="5"/>
            <c:spPr>
              <a:solidFill>
                <a:srgbClr val="000080"/>
              </a:solidFill>
              <a:ln>
                <a:solidFill>
                  <a:srgbClr val="000080"/>
                </a:solidFill>
                <a:prstDash val="solid"/>
              </a:ln>
            </c:spPr>
          </c:marker>
          <c:cat>
            <c:numRef>
              <c:f>Amortization!$B$10:$B$33</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Amortization!$E$10:$E$33</c:f>
              <c:numCache>
                <c:formatCode>"$"#,##0.00;\-"$"#,##0.00</c:formatCode>
                <c:ptCount val="24"/>
                <c:pt idx="0">
                  <c:v>623.92618748101393</c:v>
                </c:pt>
                <c:pt idx="1">
                  <c:v>626.26591068406776</c:v>
                </c:pt>
                <c:pt idx="2">
                  <c:v>628.61440784913293</c:v>
                </c:pt>
                <c:pt idx="3">
                  <c:v>630.97171187856725</c:v>
                </c:pt>
                <c:pt idx="4">
                  <c:v>633.33785579811183</c:v>
                </c:pt>
                <c:pt idx="5">
                  <c:v>635.71287275735483</c:v>
                </c:pt>
                <c:pt idx="6">
                  <c:v>638.09679603019481</c:v>
                </c:pt>
                <c:pt idx="7">
                  <c:v>640.48965901530812</c:v>
                </c:pt>
                <c:pt idx="8">
                  <c:v>642.89149523661547</c:v>
                </c:pt>
                <c:pt idx="9">
                  <c:v>645.30233834375281</c:v>
                </c:pt>
                <c:pt idx="10">
                  <c:v>647.72222211254189</c:v>
                </c:pt>
                <c:pt idx="11">
                  <c:v>650.15118044546386</c:v>
                </c:pt>
                <c:pt idx="12">
                  <c:v>652.58924737213442</c:v>
                </c:pt>
                <c:pt idx="13">
                  <c:v>655.03645704977987</c:v>
                </c:pt>
                <c:pt idx="14">
                  <c:v>657.49284376371656</c:v>
                </c:pt>
                <c:pt idx="15">
                  <c:v>659.95844192783056</c:v>
                </c:pt>
                <c:pt idx="16">
                  <c:v>662.43328608505988</c:v>
                </c:pt>
                <c:pt idx="17">
                  <c:v>664.91741090787889</c:v>
                </c:pt>
                <c:pt idx="18">
                  <c:v>667.41085119878335</c:v>
                </c:pt>
                <c:pt idx="19">
                  <c:v>669.91364189077888</c:v>
                </c:pt>
                <c:pt idx="20">
                  <c:v>672.42581804786926</c:v>
                </c:pt>
                <c:pt idx="21">
                  <c:v>674.94741486554881</c:v>
                </c:pt>
                <c:pt idx="22">
                  <c:v>677.47846767129454</c:v>
                </c:pt>
                <c:pt idx="23">
                  <c:v>680.01901192506193</c:v>
                </c:pt>
              </c:numCache>
            </c:numRef>
          </c:val>
          <c:smooth val="0"/>
        </c:ser>
        <c:ser>
          <c:idx val="1"/>
          <c:order val="1"/>
          <c:tx>
            <c:v>Interest</c:v>
          </c:tx>
          <c:spPr>
            <a:ln w="12700">
              <a:solidFill>
                <a:srgbClr val="FF00FF"/>
              </a:solidFill>
              <a:prstDash val="solid"/>
            </a:ln>
          </c:spPr>
          <c:marker>
            <c:symbol val="square"/>
            <c:size val="5"/>
            <c:spPr>
              <a:solidFill>
                <a:srgbClr val="FF00FF"/>
              </a:solidFill>
              <a:ln>
                <a:solidFill>
                  <a:srgbClr val="FF00FF"/>
                </a:solidFill>
                <a:prstDash val="solid"/>
              </a:ln>
            </c:spPr>
          </c:marker>
          <c:val>
            <c:numRef>
              <c:f>Amortization!$F$10:$F$33</c:f>
              <c:numCache>
                <c:formatCode>"$"#,##0.00;\-"$"#,##0.00</c:formatCode>
                <c:ptCount val="24"/>
                <c:pt idx="0">
                  <c:v>90</c:v>
                </c:pt>
                <c:pt idx="1">
                  <c:v>87.660276796946192</c:v>
                </c:pt>
                <c:pt idx="2">
                  <c:v>85.311779631880938</c:v>
                </c:pt>
                <c:pt idx="3">
                  <c:v>82.954475602446678</c:v>
                </c:pt>
                <c:pt idx="4">
                  <c:v>80.588331682902052</c:v>
                </c:pt>
                <c:pt idx="5">
                  <c:v>78.213314723659138</c:v>
                </c:pt>
                <c:pt idx="6">
                  <c:v>75.82939145081906</c:v>
                </c:pt>
                <c:pt idx="7">
                  <c:v>73.436528465705834</c:v>
                </c:pt>
                <c:pt idx="8">
                  <c:v>71.034692244398428</c:v>
                </c:pt>
                <c:pt idx="9">
                  <c:v>68.623849137261118</c:v>
                </c:pt>
                <c:pt idx="10">
                  <c:v>66.203965368472041</c:v>
                </c:pt>
                <c:pt idx="11">
                  <c:v>63.775007035550018</c:v>
                </c:pt>
                <c:pt idx="12">
                  <c:v>61.336940108879531</c:v>
                </c:pt>
                <c:pt idx="13">
                  <c:v>58.889730431234028</c:v>
                </c:pt>
                <c:pt idx="14">
                  <c:v>56.433343717297348</c:v>
                </c:pt>
                <c:pt idx="15">
                  <c:v>53.967745553183406</c:v>
                </c:pt>
                <c:pt idx="16">
                  <c:v>51.492901395954043</c:v>
                </c:pt>
                <c:pt idx="17">
                  <c:v>49.008776573135073</c:v>
                </c:pt>
                <c:pt idx="18">
                  <c:v>46.515336282230521</c:v>
                </c:pt>
                <c:pt idx="19">
                  <c:v>44.012545590235085</c:v>
                </c:pt>
                <c:pt idx="20">
                  <c:v>41.50036943314467</c:v>
                </c:pt>
                <c:pt idx="21">
                  <c:v>38.978772615465154</c:v>
                </c:pt>
                <c:pt idx="22">
                  <c:v>36.447719809719352</c:v>
                </c:pt>
                <c:pt idx="23">
                  <c:v>33.907175555951994</c:v>
                </c:pt>
              </c:numCache>
            </c:numRef>
          </c:val>
          <c:smooth val="0"/>
        </c:ser>
        <c:dLbls>
          <c:showLegendKey val="0"/>
          <c:showVal val="0"/>
          <c:showCatName val="0"/>
          <c:showSerName val="0"/>
          <c:showPercent val="0"/>
          <c:showBubbleSize val="0"/>
        </c:dLbls>
        <c:marker val="1"/>
        <c:smooth val="0"/>
        <c:axId val="707374536"/>
        <c:axId val="707372184"/>
      </c:lineChart>
      <c:catAx>
        <c:axId val="707374536"/>
        <c:scaling>
          <c:orientation val="minMax"/>
        </c:scaling>
        <c:delete val="0"/>
        <c:axPos val="b"/>
        <c:title>
          <c:tx>
            <c:rich>
              <a:bodyPr/>
              <a:lstStyle/>
              <a:p>
                <a:pPr>
                  <a:defRPr sz="1150" b="1" i="0" u="none" strike="noStrike" baseline="0">
                    <a:solidFill>
                      <a:srgbClr val="000000"/>
                    </a:solidFill>
                    <a:latin typeface="Arial"/>
                    <a:ea typeface="Arial"/>
                    <a:cs typeface="Arial"/>
                  </a:defRPr>
                </a:pPr>
                <a:r>
                  <a:rPr lang="en-US"/>
                  <a:t>Month</a:t>
                </a:r>
              </a:p>
            </c:rich>
          </c:tx>
          <c:layout>
            <c:manualLayout>
              <c:xMode val="edge"/>
              <c:yMode val="edge"/>
              <c:x val="0.45394006659267488"/>
              <c:y val="0.936378466557911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707372184"/>
        <c:crosses val="autoZero"/>
        <c:auto val="1"/>
        <c:lblAlgn val="ctr"/>
        <c:lblOffset val="100"/>
        <c:tickLblSkip val="1"/>
        <c:tickMarkSkip val="1"/>
        <c:noMultiLvlLbl val="0"/>
      </c:catAx>
      <c:valAx>
        <c:axId val="707372184"/>
        <c:scaling>
          <c:orientation val="minMax"/>
        </c:scaling>
        <c:delete val="0"/>
        <c:axPos val="l"/>
        <c:majorGridlines>
          <c:spPr>
            <a:ln w="3175">
              <a:solidFill>
                <a:srgbClr val="000000"/>
              </a:solidFill>
              <a:prstDash val="solid"/>
            </a:ln>
          </c:spPr>
        </c:majorGridlines>
        <c:numFmt formatCode="&quot;$&quot;#,##0.00;\-&quot;$&quot;#,##0.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707374536"/>
        <c:crosses val="autoZero"/>
        <c:crossBetween val="between"/>
      </c:valAx>
      <c:spPr>
        <a:solidFill>
          <a:srgbClr val="C0C0C0"/>
        </a:solidFill>
        <a:ln w="12700">
          <a:solidFill>
            <a:srgbClr val="808080"/>
          </a:solidFill>
          <a:prstDash val="solid"/>
        </a:ln>
      </c:spPr>
    </c:plotArea>
    <c:legend>
      <c:legendPos val="r"/>
      <c:layout>
        <c:manualLayout>
          <c:xMode val="edge"/>
          <c:yMode val="edge"/>
          <c:x val="0.89900110987791293"/>
          <c:y val="0.47145187601957605"/>
          <c:w val="9.6559378468368581E-2"/>
          <c:h val="6.6884176182707977E-2"/>
        </c:manualLayout>
      </c:layout>
      <c:overlay val="0"/>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Sensitivity"/>
  <sheetViews>
    <sheetView zoomScale="125" workbookViewId="0" zoomToFit="1"/>
  </sheetViews>
  <pageMargins left="0.75" right="0.75" top="1" bottom="1" header="0.5" footer="0.5"/>
  <pageSetup orientation="landscape" horizontalDpi="1200" verticalDpi="1200" r:id="rId1"/>
  <headerFooter alignWithMargins="0"/>
  <drawing r:id="rId2"/>
  <legacyDrawing r:id="rId3"/>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sheetPr codeName="chtAmortization"/>
  <sheetViews>
    <sheetView zoomScale="125" workbookViewId="0" zoomToFit="1"/>
  </sheetViews>
  <pageMargins left="0.75" right="0.75" top="1" bottom="1" header="0.5" footer="0.5"/>
  <pageSetup orientation="landscape" horizontalDpi="1200" verticalDpi="1200" r:id="rId1"/>
  <headerFooter alignWithMargins="0"/>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142874</xdr:colOff>
      <xdr:row>5</xdr:row>
      <xdr:rowOff>95249</xdr:rowOff>
    </xdr:from>
    <xdr:to>
      <xdr:col>9</xdr:col>
      <xdr:colOff>581026</xdr:colOff>
      <xdr:row>24</xdr:row>
      <xdr:rowOff>123824</xdr:rowOff>
    </xdr:to>
    <xdr:sp macro="" textlink="">
      <xdr:nvSpPr>
        <xdr:cNvPr id="2050" name="Text Box 2"/>
        <xdr:cNvSpPr txBox="1">
          <a:spLocks noChangeArrowheads="1"/>
        </xdr:cNvSpPr>
      </xdr:nvSpPr>
      <xdr:spPr bwMode="auto">
        <a:xfrm>
          <a:off x="752474" y="1057274"/>
          <a:ext cx="5314952" cy="3648075"/>
        </a:xfrm>
        <a:prstGeom prst="roundRect">
          <a:avLst/>
        </a:prstGeom>
        <a:solidFill>
          <a:schemeClr val="bg1">
            <a:lumMod val="95000"/>
          </a:schemeClr>
        </a:solidFill>
        <a:ln>
          <a:solidFill>
            <a:schemeClr val="bg1">
              <a:lumMod val="85000"/>
            </a:schemeClr>
          </a:solidFill>
          <a:headEnd/>
          <a:tailEnd/>
        </a:ln>
      </xdr:spPr>
      <xdr:style>
        <a:lnRef idx="2">
          <a:schemeClr val="accent1"/>
        </a:lnRef>
        <a:fillRef idx="1">
          <a:schemeClr val="lt1"/>
        </a:fillRef>
        <a:effectRef idx="0">
          <a:schemeClr val="accent1"/>
        </a:effectRef>
        <a:fontRef idx="minor">
          <a:schemeClr val="dk1"/>
        </a:fontRef>
      </xdr:style>
      <xdr:txBody>
        <a:bodyPr vertOverflow="clip" wrap="square" lIns="27432" tIns="22860" rIns="0" bIns="0" anchor="t" upright="1"/>
        <a:lstStyle/>
        <a:p>
          <a:pPr algn="l" rtl="0">
            <a:defRPr sz="1000"/>
          </a:pPr>
          <a:r>
            <a:rPr lang="en-US" sz="1100" b="0" i="0" strike="noStrike">
              <a:solidFill>
                <a:srgbClr val="000000"/>
              </a:solidFill>
              <a:latin typeface="+mn-lt"/>
              <a:cs typeface="Arial"/>
            </a:rPr>
            <a:t>This application can be used to find the monthly payment for a car loan.  This payment depends on four inputs: the price of the car, the down payment, the annual interest rate on the loan, and the term (number of monthly payments) of the loan.  It uses the PMT function (in the Model sheet) to calculate the monthly payment as a function of these inputs, and it also calculates the total interest paid on the loan.</a:t>
          </a:r>
        </a:p>
        <a:p>
          <a:pPr algn="l" rtl="0">
            <a:defRPr sz="1000"/>
          </a:pPr>
          <a:endParaRPr lang="en-US" sz="1100" b="0" i="0" strike="noStrike">
            <a:solidFill>
              <a:srgbClr val="000000"/>
            </a:solidFill>
            <a:latin typeface="+mn-lt"/>
            <a:cs typeface="Arial"/>
          </a:endParaRPr>
        </a:p>
        <a:p>
          <a:pPr algn="l" rtl="0">
            <a:defRPr sz="1000"/>
          </a:pPr>
          <a:r>
            <a:rPr lang="en-US" sz="1100" b="0" i="0" strike="noStrike">
              <a:solidFill>
                <a:srgbClr val="000000"/>
              </a:solidFill>
              <a:latin typeface="+mn-lt"/>
              <a:cs typeface="Arial"/>
            </a:rPr>
            <a:t>The application provides the user with three options:</a:t>
          </a:r>
        </a:p>
        <a:p>
          <a:pPr algn="l" rtl="0">
            <a:defRPr sz="1000"/>
          </a:pPr>
          <a:endParaRPr lang="en-US" sz="1100" b="0" i="0" strike="noStrike">
            <a:solidFill>
              <a:srgbClr val="000000"/>
            </a:solidFill>
            <a:latin typeface="+mn-lt"/>
            <a:cs typeface="Arial"/>
          </a:endParaRPr>
        </a:p>
        <a:p>
          <a:pPr algn="l" rtl="0">
            <a:defRPr sz="1000"/>
          </a:pPr>
          <a:r>
            <a:rPr lang="en-US" sz="1100" b="0" i="0" strike="noStrike">
              <a:solidFill>
                <a:srgbClr val="000000"/>
              </a:solidFill>
              <a:latin typeface="+mn-lt"/>
              <a:cs typeface="Arial"/>
            </a:rPr>
            <a:t>1.  It calculates the monthly payment and total interest paid and reports these in a message box.</a:t>
          </a:r>
        </a:p>
        <a:p>
          <a:pPr algn="l" rtl="0">
            <a:defRPr sz="1000"/>
          </a:pPr>
          <a:endParaRPr lang="en-US" sz="1100" b="0" i="0" strike="noStrike">
            <a:solidFill>
              <a:srgbClr val="000000"/>
            </a:solidFill>
            <a:latin typeface="+mn-lt"/>
            <a:cs typeface="Arial"/>
          </a:endParaRPr>
        </a:p>
        <a:p>
          <a:pPr algn="l" rtl="0">
            <a:defRPr sz="1000"/>
          </a:pPr>
          <a:r>
            <a:rPr lang="en-US" sz="1100" b="0" i="0" strike="noStrike">
              <a:solidFill>
                <a:srgbClr val="000000"/>
              </a:solidFill>
              <a:latin typeface="+mn-lt"/>
              <a:cs typeface="Arial"/>
            </a:rPr>
            <a:t>2.  It performs a sensitivity analysis on any of the four inputs and reports the results in tabular form (in the Sensitivity sheet) and in graphical form (on the SensitivityChart sheet).</a:t>
          </a:r>
        </a:p>
        <a:p>
          <a:pPr algn="l" rtl="0">
            <a:defRPr sz="1000"/>
          </a:pPr>
          <a:endParaRPr lang="en-US" sz="1100" b="0" i="0" strike="noStrike">
            <a:solidFill>
              <a:srgbClr val="000000"/>
            </a:solidFill>
            <a:latin typeface="+mn-lt"/>
            <a:cs typeface="Arial"/>
          </a:endParaRPr>
        </a:p>
        <a:p>
          <a:pPr algn="l" rtl="0">
            <a:defRPr sz="1000"/>
          </a:pPr>
          <a:r>
            <a:rPr lang="en-US" sz="1100" b="0" i="0" strike="noStrike">
              <a:solidFill>
                <a:srgbClr val="000000"/>
              </a:solidFill>
              <a:latin typeface="+mn-lt"/>
              <a:cs typeface="Arial"/>
            </a:rPr>
            <a:t>3.  It creates an amortization table in the Amortization sheet and shows graphically (in the AmortizationChart sheet) how the amount of principal and the amount of interest in each payment vary through time.</a:t>
          </a:r>
        </a:p>
      </xdr:txBody>
    </xdr:sp>
    <xdr:clientData/>
  </xdr:twoCellAnchor>
  <mc:AlternateContent xmlns:mc="http://schemas.openxmlformats.org/markup-compatibility/2006">
    <mc:Choice xmlns:a14="http://schemas.microsoft.com/office/drawing/2010/main" Requires="a14">
      <xdr:twoCellAnchor>
        <xdr:from>
          <xdr:col>4</xdr:col>
          <xdr:colOff>200025</xdr:colOff>
          <xdr:row>2</xdr:row>
          <xdr:rowOff>85725</xdr:rowOff>
        </xdr:from>
        <xdr:to>
          <xdr:col>6</xdr:col>
          <xdr:colOff>419100</xdr:colOff>
          <xdr:row>4</xdr:row>
          <xdr:rowOff>38100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the application</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3</xdr:row>
          <xdr:rowOff>0</xdr:rowOff>
        </xdr:from>
        <xdr:to>
          <xdr:col>4</xdr:col>
          <xdr:colOff>9525</xdr:colOff>
          <xdr:row>4</xdr:row>
          <xdr:rowOff>123825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Sensitivity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276225</xdr:colOff>
          <xdr:row>5</xdr:row>
          <xdr:rowOff>28575</xdr:rowOff>
        </xdr:from>
        <xdr:to>
          <xdr:col>4</xdr:col>
          <xdr:colOff>9525</xdr:colOff>
          <xdr:row>6</xdr:row>
          <xdr:rowOff>152400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 Explanation Sheet</a:t>
              </a:r>
            </a:p>
          </xdr:txBody>
        </xdr:sp>
        <xdr:clientData/>
      </xdr:twoCellAnchor>
    </mc:Choice>
    <mc:Fallback/>
  </mc:AlternateContent>
  <xdr:twoCellAnchor>
    <xdr:from>
      <xdr:col>2</xdr:col>
      <xdr:colOff>695325</xdr:colOff>
      <xdr:row>0</xdr:row>
      <xdr:rowOff>171450</xdr:rowOff>
    </xdr:from>
    <xdr:to>
      <xdr:col>3</xdr:col>
      <xdr:colOff>609600</xdr:colOff>
      <xdr:row>0</xdr:row>
      <xdr:rowOff>476250</xdr:rowOff>
    </xdr:to>
    <xdr:sp macro="" textlink="">
      <xdr:nvSpPr>
        <xdr:cNvPr id="2" name="TextBox 1"/>
        <xdr:cNvSpPr txBox="1"/>
      </xdr:nvSpPr>
      <xdr:spPr>
        <a:xfrm>
          <a:off x="3143250" y="171450"/>
          <a:ext cx="1428750" cy="304800"/>
        </a:xfrm>
        <a:prstGeom prst="roundRect">
          <a:avLst/>
        </a:prstGeom>
        <a:solidFill>
          <a:schemeClr val="bg1">
            <a:lumMod val="85000"/>
          </a:schemeClr>
        </a:solidFill>
        <a:ln>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100" b="1"/>
            <a:t>Sensitivity</a:t>
          </a:r>
          <a:r>
            <a:rPr lang="en-US" sz="1100" b="1" baseline="0"/>
            <a:t> Analysis</a:t>
          </a:r>
          <a:endParaRPr lang="en-US" sz="1100" b="1"/>
        </a:p>
      </xdr:txBody>
    </xdr:sp>
    <xdr:clientData/>
  </xdr:twoCellAnchor>
</xdr:wsDr>
</file>

<file path=xl/drawings/drawing3.xml><?xml version="1.0" encoding="utf-8"?>
<xdr:wsDr xmlns:xdr="http://schemas.openxmlformats.org/drawingml/2006/spreadsheetDrawing" xmlns:a="http://schemas.openxmlformats.org/drawingml/2006/main">
  <xdr:absoluteAnchor>
    <xdr:pos x="0" y="0"/>
    <xdr:ext cx="8580120" cy="58369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876300</xdr:colOff>
          <xdr:row>2</xdr:row>
          <xdr:rowOff>38100</xdr:rowOff>
        </xdr:from>
        <xdr:to>
          <xdr:col>5</xdr:col>
          <xdr:colOff>504825</xdr:colOff>
          <xdr:row>3</xdr:row>
          <xdr:rowOff>152400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Amortization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876300</xdr:colOff>
          <xdr:row>4</xdr:row>
          <xdr:rowOff>66675</xdr:rowOff>
        </xdr:from>
        <xdr:to>
          <xdr:col>5</xdr:col>
          <xdr:colOff>504825</xdr:colOff>
          <xdr:row>6</xdr:row>
          <xdr:rowOff>19050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View Explanation Sheet</a:t>
              </a:r>
            </a:p>
          </xdr:txBody>
        </xdr:sp>
        <xdr:clientData/>
      </xdr:twoCellAnchor>
    </mc:Choice>
    <mc:Fallback/>
  </mc:AlternateContent>
  <xdr:twoCellAnchor>
    <xdr:from>
      <xdr:col>2</xdr:col>
      <xdr:colOff>1228725</xdr:colOff>
      <xdr:row>0</xdr:row>
      <xdr:rowOff>133350</xdr:rowOff>
    </xdr:from>
    <xdr:to>
      <xdr:col>4</xdr:col>
      <xdr:colOff>409575</xdr:colOff>
      <xdr:row>1</xdr:row>
      <xdr:rowOff>38100</xdr:rowOff>
    </xdr:to>
    <xdr:sp macro="" textlink="">
      <xdr:nvSpPr>
        <xdr:cNvPr id="4" name="TextBox 3"/>
        <xdr:cNvSpPr txBox="1"/>
      </xdr:nvSpPr>
      <xdr:spPr>
        <a:xfrm>
          <a:off x="2933700" y="133350"/>
          <a:ext cx="1543050" cy="323850"/>
        </a:xfrm>
        <a:prstGeom prst="roundRect">
          <a:avLst/>
        </a:prstGeom>
        <a:solidFill>
          <a:schemeClr val="bg1">
            <a:lumMod val="85000"/>
          </a:schemeClr>
        </a:solidFill>
        <a:ln>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n-US" sz="1100" b="1"/>
            <a:t>Amortization</a:t>
          </a:r>
          <a:r>
            <a:rPr lang="en-US" sz="1100" b="1" baseline="0"/>
            <a:t> Schedule</a:t>
          </a:r>
          <a:endParaRPr lang="en-US" sz="1100" b="1"/>
        </a:p>
      </xdr:txBody>
    </xdr:sp>
    <xdr:clientData/>
  </xdr:twoCellAnchor>
</xdr:wsDr>
</file>

<file path=xl/drawings/drawing5.xml><?xml version="1.0" encoding="utf-8"?>
<xdr:wsDr xmlns:xdr="http://schemas.openxmlformats.org/drawingml/2006/spreadsheetDrawing" xmlns:a="http://schemas.openxmlformats.org/drawingml/2006/main">
  <xdr:absoluteAnchor>
    <xdr:pos x="0" y="0"/>
    <xdr:ext cx="8580120" cy="583692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C2:I2"/>
  <sheetViews>
    <sheetView showGridLines="0" showRowColHeaders="0" tabSelected="1" workbookViewId="0"/>
  </sheetViews>
  <sheetFormatPr defaultRowHeight="15" x14ac:dyDescent="0.25"/>
  <cols>
    <col min="1" max="16384" width="9.140625" style="16"/>
  </cols>
  <sheetData>
    <row r="2" spans="3:9" ht="15.75" x14ac:dyDescent="0.25">
      <c r="C2" s="33" t="s">
        <v>20</v>
      </c>
      <c r="D2" s="33"/>
      <c r="E2" s="33"/>
      <c r="F2" s="33"/>
      <c r="G2" s="33"/>
      <c r="H2" s="33"/>
      <c r="I2" s="33"/>
    </row>
  </sheetData>
  <mergeCells count="1">
    <mergeCell ref="C2:I2"/>
  </mergeCells>
  <phoneticPr fontId="0" type="noConversion"/>
  <pageMargins left="0.75" right="0.75" top="1" bottom="1" header="0.5" footer="0.5"/>
  <pageSetup scale="88"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autoFill="0" autoPict="0" macro="[0]!MainProgram">
                <anchor moveWithCells="1" sizeWithCells="1">
                  <from>
                    <xdr:col>4</xdr:col>
                    <xdr:colOff>200025</xdr:colOff>
                    <xdr:row>2</xdr:row>
                    <xdr:rowOff>85725</xdr:rowOff>
                  </from>
                  <to>
                    <xdr:col>6</xdr:col>
                    <xdr:colOff>419100</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Model">
    <pageSetUpPr fitToPage="1"/>
  </sheetPr>
  <dimension ref="A1:B12"/>
  <sheetViews>
    <sheetView workbookViewId="0">
      <selection activeCell="D30" sqref="D30"/>
    </sheetView>
  </sheetViews>
  <sheetFormatPr defaultRowHeight="15" x14ac:dyDescent="0.25"/>
  <cols>
    <col min="1" max="1" width="22" style="26" customWidth="1"/>
    <col min="2" max="2" width="10.7109375" style="26" customWidth="1"/>
    <col min="3" max="16384" width="9.140625" style="26"/>
  </cols>
  <sheetData>
    <row r="1" spans="1:2" x14ac:dyDescent="0.25">
      <c r="A1" s="29" t="s">
        <v>9</v>
      </c>
    </row>
    <row r="3" spans="1:2" x14ac:dyDescent="0.25">
      <c r="A3" s="29" t="s">
        <v>0</v>
      </c>
    </row>
    <row r="4" spans="1:2" x14ac:dyDescent="0.25">
      <c r="A4" s="26" t="s">
        <v>1</v>
      </c>
      <c r="B4" s="30">
        <v>30000</v>
      </c>
    </row>
    <row r="5" spans="1:2" x14ac:dyDescent="0.25">
      <c r="A5" s="26" t="s">
        <v>2</v>
      </c>
      <c r="B5" s="30">
        <v>6000</v>
      </c>
    </row>
    <row r="6" spans="1:2" x14ac:dyDescent="0.25">
      <c r="A6" s="26" t="s">
        <v>3</v>
      </c>
      <c r="B6" s="31">
        <v>4.4999999999999998E-2</v>
      </c>
    </row>
    <row r="7" spans="1:2" x14ac:dyDescent="0.25">
      <c r="A7" s="26" t="s">
        <v>4</v>
      </c>
      <c r="B7" s="32">
        <v>36</v>
      </c>
    </row>
    <row r="9" spans="1:2" x14ac:dyDescent="0.25">
      <c r="A9" s="29" t="s">
        <v>5</v>
      </c>
    </row>
    <row r="10" spans="1:2" x14ac:dyDescent="0.25">
      <c r="A10" s="26" t="s">
        <v>6</v>
      </c>
      <c r="B10" s="27">
        <f>Price-DownPayment</f>
        <v>24000</v>
      </c>
    </row>
    <row r="11" spans="1:2" x14ac:dyDescent="0.25">
      <c r="A11" s="26" t="s">
        <v>7</v>
      </c>
      <c r="B11" s="28">
        <f>PMT(InterestRate/12,Term,-Loan)</f>
        <v>713.92618748101393</v>
      </c>
    </row>
    <row r="12" spans="1:2" x14ac:dyDescent="0.25">
      <c r="A12" s="26" t="s">
        <v>8</v>
      </c>
      <c r="B12" s="28">
        <f>Term*Payment-Loan</f>
        <v>1701.3427493165</v>
      </c>
    </row>
  </sheetData>
  <phoneticPr fontId="0" type="noConversion"/>
  <printOptions headings="1" gridLines="1"/>
  <pageMargins left="0.75" right="0.75" top="1" bottom="1" header="0.5" footer="0.5"/>
  <pageSetup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Sensitivity">
    <pageSetUpPr fitToPage="1"/>
  </sheetPr>
  <dimension ref="B1:D27"/>
  <sheetViews>
    <sheetView showGridLines="0" workbookViewId="0">
      <selection activeCell="B1" sqref="B1:D1"/>
    </sheetView>
  </sheetViews>
  <sheetFormatPr defaultRowHeight="15" x14ac:dyDescent="0.25"/>
  <cols>
    <col min="1" max="1" width="17.7109375" customWidth="1"/>
    <col min="2" max="2" width="19" style="7" customWidth="1"/>
    <col min="3" max="3" width="22.7109375" style="9" customWidth="1"/>
    <col min="4" max="4" width="27.28515625" style="9" customWidth="1"/>
  </cols>
  <sheetData>
    <row r="1" spans="2:4" ht="42.75" customHeight="1" x14ac:dyDescent="0.25">
      <c r="B1" s="34"/>
      <c r="C1" s="34"/>
      <c r="D1" s="34"/>
    </row>
    <row r="2" spans="2:4" ht="15.75" thickBot="1" x14ac:dyDescent="0.3">
      <c r="B2"/>
      <c r="C2" s="1"/>
      <c r="D2" s="1"/>
    </row>
    <row r="3" spans="2:4" ht="15.75" thickBot="1" x14ac:dyDescent="0.3">
      <c r="B3" s="35" t="s">
        <v>10</v>
      </c>
      <c r="C3" s="36"/>
      <c r="D3" s="1"/>
    </row>
    <row r="4" spans="2:4" x14ac:dyDescent="0.25">
      <c r="B4" s="3" t="s">
        <v>1</v>
      </c>
      <c r="C4" s="4">
        <f>Price</f>
        <v>30000</v>
      </c>
      <c r="D4" s="1"/>
    </row>
    <row r="5" spans="2:4" x14ac:dyDescent="0.25">
      <c r="B5" s="3" t="s">
        <v>2</v>
      </c>
      <c r="C5" s="4">
        <f>DownPayment</f>
        <v>6000</v>
      </c>
      <c r="D5" s="1"/>
    </row>
    <row r="6" spans="2:4" x14ac:dyDescent="0.25">
      <c r="B6" s="3" t="s">
        <v>3</v>
      </c>
      <c r="C6" s="5">
        <f>InterestRate</f>
        <v>4.4999999999999998E-2</v>
      </c>
      <c r="D6" s="1"/>
    </row>
    <row r="7" spans="2:4" x14ac:dyDescent="0.25">
      <c r="B7" s="3" t="s">
        <v>4</v>
      </c>
      <c r="C7" s="15">
        <f>Term</f>
        <v>36</v>
      </c>
      <c r="D7" s="1"/>
    </row>
    <row r="8" spans="2:4" ht="15.75" thickBot="1" x14ac:dyDescent="0.3">
      <c r="B8"/>
      <c r="C8" s="1"/>
      <c r="D8" s="1"/>
    </row>
    <row r="9" spans="2:4" ht="15.75" thickBot="1" x14ac:dyDescent="0.3">
      <c r="B9" s="23" t="s">
        <v>11</v>
      </c>
      <c r="C9" s="24" t="s">
        <v>19</v>
      </c>
      <c r="D9" s="1"/>
    </row>
    <row r="10" spans="2:4" ht="15.75" thickBot="1" x14ac:dyDescent="0.3">
      <c r="B10" s="2"/>
      <c r="C10" s="1"/>
      <c r="D10" s="1"/>
    </row>
    <row r="11" spans="2:4" s="10" customFormat="1" ht="15.75" thickBot="1" x14ac:dyDescent="0.3">
      <c r="B11" s="18" t="s">
        <v>19</v>
      </c>
      <c r="C11" s="17" t="s">
        <v>7</v>
      </c>
      <c r="D11" s="20" t="s">
        <v>12</v>
      </c>
    </row>
    <row r="12" spans="2:4" x14ac:dyDescent="0.25">
      <c r="B12" s="6">
        <v>15000</v>
      </c>
      <c r="C12" s="6">
        <v>267.72000000000003</v>
      </c>
      <c r="D12" s="6">
        <v>638</v>
      </c>
    </row>
    <row r="13" spans="2:4" x14ac:dyDescent="0.25">
      <c r="B13" s="6">
        <v>18000</v>
      </c>
      <c r="C13" s="6">
        <v>356.96</v>
      </c>
      <c r="D13" s="6">
        <v>850.67</v>
      </c>
    </row>
    <row r="14" spans="2:4" x14ac:dyDescent="0.25">
      <c r="B14" s="6">
        <v>21000</v>
      </c>
      <c r="C14" s="6">
        <v>446.2</v>
      </c>
      <c r="D14" s="6">
        <v>1063.3399999999999</v>
      </c>
    </row>
    <row r="15" spans="2:4" x14ac:dyDescent="0.25">
      <c r="B15" s="6">
        <v>24000</v>
      </c>
      <c r="C15" s="6">
        <v>535.44000000000005</v>
      </c>
      <c r="D15" s="6">
        <v>1276.01</v>
      </c>
    </row>
    <row r="16" spans="2:4" x14ac:dyDescent="0.25">
      <c r="B16" s="6">
        <v>27000</v>
      </c>
      <c r="C16" s="6">
        <v>624.69000000000005</v>
      </c>
      <c r="D16" s="6">
        <v>1488.67</v>
      </c>
    </row>
    <row r="17" spans="2:4" x14ac:dyDescent="0.25">
      <c r="B17" s="6">
        <v>30000</v>
      </c>
      <c r="C17" s="6">
        <v>713.93</v>
      </c>
      <c r="D17" s="6">
        <v>1701.34</v>
      </c>
    </row>
    <row r="18" spans="2:4" x14ac:dyDescent="0.25">
      <c r="B18" s="6">
        <v>33000</v>
      </c>
      <c r="C18" s="6">
        <v>803.17</v>
      </c>
      <c r="D18" s="6">
        <v>1914.01</v>
      </c>
    </row>
    <row r="19" spans="2:4" x14ac:dyDescent="0.25">
      <c r="B19" s="6">
        <v>36000</v>
      </c>
      <c r="C19" s="6">
        <v>892.41</v>
      </c>
      <c r="D19" s="6">
        <v>2126.6799999999998</v>
      </c>
    </row>
    <row r="20" spans="2:4" x14ac:dyDescent="0.25">
      <c r="B20" s="6">
        <v>39000</v>
      </c>
      <c r="C20" s="6">
        <v>981.65</v>
      </c>
      <c r="D20" s="6">
        <v>2339.35</v>
      </c>
    </row>
    <row r="21" spans="2:4" x14ac:dyDescent="0.25">
      <c r="B21" s="6">
        <v>42000</v>
      </c>
      <c r="C21" s="6">
        <v>1070.8900000000001</v>
      </c>
      <c r="D21" s="6">
        <v>2552.0100000000002</v>
      </c>
    </row>
    <row r="22" spans="2:4" x14ac:dyDescent="0.25">
      <c r="B22" s="6">
        <v>45000</v>
      </c>
      <c r="C22" s="6">
        <v>1160.1300000000001</v>
      </c>
      <c r="D22" s="6">
        <v>2764.68</v>
      </c>
    </row>
    <row r="23" spans="2:4" x14ac:dyDescent="0.25">
      <c r="B23" s="6">
        <v>48000</v>
      </c>
      <c r="C23" s="6">
        <v>1249.3699999999999</v>
      </c>
      <c r="D23" s="6">
        <v>2977.35</v>
      </c>
    </row>
    <row r="24" spans="2:4" s="10" customFormat="1" x14ac:dyDescent="0.25">
      <c r="B24" s="6">
        <v>51000</v>
      </c>
      <c r="C24" s="6">
        <v>1338.61</v>
      </c>
      <c r="D24" s="6">
        <v>3190.02</v>
      </c>
    </row>
    <row r="25" spans="2:4" x14ac:dyDescent="0.25">
      <c r="B25" s="14">
        <v>54000</v>
      </c>
      <c r="C25" s="14">
        <v>1427.85</v>
      </c>
      <c r="D25" s="14">
        <v>3402.69</v>
      </c>
    </row>
    <row r="26" spans="2:4" x14ac:dyDescent="0.25">
      <c r="B26" s="14">
        <v>57000</v>
      </c>
      <c r="C26" s="14">
        <v>1517.09</v>
      </c>
      <c r="D26" s="14">
        <v>3615.35</v>
      </c>
    </row>
    <row r="27" spans="2:4" x14ac:dyDescent="0.25">
      <c r="B27" s="14">
        <v>60000</v>
      </c>
      <c r="C27" s="14">
        <v>1606.33</v>
      </c>
      <c r="D27" s="14">
        <v>3828.02</v>
      </c>
    </row>
  </sheetData>
  <mergeCells count="2">
    <mergeCell ref="B1:D1"/>
    <mergeCell ref="B3:C3"/>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autoFill="0" autoPict="0" macro="[0]!ViewSensitivityChart">
                <anchor moveWithCells="1" sizeWithCells="1">
                  <from>
                    <xdr:col>3</xdr:col>
                    <xdr:colOff>276225</xdr:colOff>
                    <xdr:row>3</xdr:row>
                    <xdr:rowOff>0</xdr:rowOff>
                  </from>
                  <to>
                    <xdr:col>4</xdr:col>
                    <xdr:colOff>9525</xdr:colOff>
                    <xdr:row>4</xdr:row>
                    <xdr:rowOff>123825</xdr:rowOff>
                  </to>
                </anchor>
              </controlPr>
            </control>
          </mc:Choice>
        </mc:AlternateContent>
        <mc:AlternateContent xmlns:mc="http://schemas.openxmlformats.org/markup-compatibility/2006">
          <mc:Choice Requires="x14">
            <control shapeId="4098" r:id="rId5" name="Button 2">
              <controlPr defaultSize="0" autoFill="0" autoPict="0" macro="[0]!ViewExplanation">
                <anchor moveWithCells="1" sizeWithCells="1">
                  <from>
                    <xdr:col>3</xdr:col>
                    <xdr:colOff>276225</xdr:colOff>
                    <xdr:row>5</xdr:row>
                    <xdr:rowOff>28575</xdr:rowOff>
                  </from>
                  <to>
                    <xdr:col>4</xdr:col>
                    <xdr:colOff>9525</xdr:colOff>
                    <xdr:row>6</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Amortization">
    <pageSetUpPr fitToPage="1"/>
  </sheetPr>
  <dimension ref="B1:G60"/>
  <sheetViews>
    <sheetView showGridLines="0" workbookViewId="0">
      <selection activeCell="B1" sqref="B1"/>
    </sheetView>
  </sheetViews>
  <sheetFormatPr defaultRowHeight="15" x14ac:dyDescent="0.25"/>
  <cols>
    <col min="1" max="1" width="6.5703125" customWidth="1"/>
    <col min="2" max="2" width="19" style="13" customWidth="1"/>
    <col min="3" max="3" width="19.5703125" style="7" customWidth="1"/>
    <col min="4" max="6" width="15.85546875" style="7" customWidth="1"/>
    <col min="7" max="7" width="16.28515625" style="7" customWidth="1"/>
  </cols>
  <sheetData>
    <row r="1" spans="2:7" ht="33" customHeight="1" x14ac:dyDescent="0.25">
      <c r="B1" s="25"/>
      <c r="C1" s="25"/>
      <c r="D1" s="25"/>
      <c r="E1" s="25"/>
      <c r="F1" s="25"/>
      <c r="G1" s="25"/>
    </row>
    <row r="2" spans="2:7" ht="15.75" thickBot="1" x14ac:dyDescent="0.3">
      <c r="B2"/>
      <c r="C2"/>
      <c r="D2"/>
      <c r="E2"/>
      <c r="F2"/>
      <c r="G2"/>
    </row>
    <row r="3" spans="2:7" ht="15.75" thickBot="1" x14ac:dyDescent="0.3">
      <c r="B3" s="35" t="s">
        <v>10</v>
      </c>
      <c r="C3" s="36"/>
      <c r="D3"/>
      <c r="E3"/>
      <c r="F3"/>
      <c r="G3"/>
    </row>
    <row r="4" spans="2:7" x14ac:dyDescent="0.25">
      <c r="B4" s="3" t="s">
        <v>1</v>
      </c>
      <c r="C4" s="4">
        <f>Price</f>
        <v>30000</v>
      </c>
      <c r="D4"/>
      <c r="E4"/>
      <c r="F4"/>
      <c r="G4"/>
    </row>
    <row r="5" spans="2:7" x14ac:dyDescent="0.25">
      <c r="B5" s="3" t="s">
        <v>2</v>
      </c>
      <c r="C5" s="4">
        <f>DownPayment</f>
        <v>6000</v>
      </c>
      <c r="D5"/>
      <c r="E5"/>
      <c r="F5"/>
      <c r="G5"/>
    </row>
    <row r="6" spans="2:7" x14ac:dyDescent="0.25">
      <c r="B6" s="3" t="s">
        <v>3</v>
      </c>
      <c r="C6" s="5">
        <f>InterestRate</f>
        <v>4.4999999999999998E-2</v>
      </c>
      <c r="D6"/>
      <c r="E6"/>
      <c r="F6"/>
      <c r="G6"/>
    </row>
    <row r="7" spans="2:7" x14ac:dyDescent="0.25">
      <c r="B7" s="3" t="s">
        <v>4</v>
      </c>
      <c r="C7" s="15">
        <f>Term</f>
        <v>36</v>
      </c>
      <c r="D7"/>
      <c r="E7"/>
      <c r="F7"/>
      <c r="G7"/>
    </row>
    <row r="8" spans="2:7" ht="15.75" thickBot="1" x14ac:dyDescent="0.3">
      <c r="B8"/>
      <c r="C8"/>
      <c r="D8"/>
      <c r="E8"/>
      <c r="F8"/>
      <c r="G8"/>
    </row>
    <row r="9" spans="2:7" s="10" customFormat="1" ht="15.75" thickBot="1" x14ac:dyDescent="0.3">
      <c r="B9" s="21" t="s">
        <v>13</v>
      </c>
      <c r="C9" s="19" t="s">
        <v>18</v>
      </c>
      <c r="D9" s="19" t="s">
        <v>14</v>
      </c>
      <c r="E9" s="19" t="s">
        <v>15</v>
      </c>
      <c r="F9" s="19" t="s">
        <v>16</v>
      </c>
      <c r="G9" s="22" t="s">
        <v>17</v>
      </c>
    </row>
    <row r="10" spans="2:7" x14ac:dyDescent="0.25">
      <c r="B10" s="11">
        <v>1</v>
      </c>
      <c r="C10" s="8">
        <f>C4-C5</f>
        <v>24000</v>
      </c>
      <c r="D10" s="8">
        <f t="shared" ref="D10:D33" si="0">Payment</f>
        <v>713.92618748101393</v>
      </c>
      <c r="E10" s="8">
        <f>D10-F10</f>
        <v>623.92618748101393</v>
      </c>
      <c r="F10" s="8">
        <f t="shared" ref="F10" si="1">InterestRate/12*C10</f>
        <v>90</v>
      </c>
      <c r="G10" s="8">
        <f>C10-E10</f>
        <v>23376.073812518986</v>
      </c>
    </row>
    <row r="11" spans="2:7" x14ac:dyDescent="0.25">
      <c r="B11" s="11">
        <v>2</v>
      </c>
      <c r="C11" s="8">
        <f>G10</f>
        <v>23376.073812518986</v>
      </c>
      <c r="D11" s="8">
        <f t="shared" si="0"/>
        <v>713.92618748101393</v>
      </c>
      <c r="E11" s="8">
        <f t="shared" ref="E11:E33" si="2">D11-F11</f>
        <v>626.26591068406776</v>
      </c>
      <c r="F11" s="8">
        <f t="shared" ref="F11:F33" si="3">InterestRate/12*C11</f>
        <v>87.660276796946192</v>
      </c>
      <c r="G11" s="8">
        <f t="shared" ref="G11:G33" si="4">C11-E11</f>
        <v>22749.807901834916</v>
      </c>
    </row>
    <row r="12" spans="2:7" x14ac:dyDescent="0.25">
      <c r="B12" s="11">
        <v>3</v>
      </c>
      <c r="C12" s="8">
        <f t="shared" ref="C12:C33" si="5">G11</f>
        <v>22749.807901834916</v>
      </c>
      <c r="D12" s="8">
        <f t="shared" si="0"/>
        <v>713.92618748101393</v>
      </c>
      <c r="E12" s="8">
        <f t="shared" si="2"/>
        <v>628.61440784913293</v>
      </c>
      <c r="F12" s="8">
        <f t="shared" si="3"/>
        <v>85.311779631880938</v>
      </c>
      <c r="G12" s="8">
        <f t="shared" si="4"/>
        <v>22121.193493985782</v>
      </c>
    </row>
    <row r="13" spans="2:7" x14ac:dyDescent="0.25">
      <c r="B13" s="11">
        <v>4</v>
      </c>
      <c r="C13" s="8">
        <f t="shared" si="5"/>
        <v>22121.193493985782</v>
      </c>
      <c r="D13" s="8">
        <f t="shared" si="0"/>
        <v>713.92618748101393</v>
      </c>
      <c r="E13" s="8">
        <f t="shared" si="2"/>
        <v>630.97171187856725</v>
      </c>
      <c r="F13" s="8">
        <f t="shared" si="3"/>
        <v>82.954475602446678</v>
      </c>
      <c r="G13" s="8">
        <f t="shared" si="4"/>
        <v>21490.221782107215</v>
      </c>
    </row>
    <row r="14" spans="2:7" x14ac:dyDescent="0.25">
      <c r="B14" s="11">
        <v>5</v>
      </c>
      <c r="C14" s="8">
        <f t="shared" si="5"/>
        <v>21490.221782107215</v>
      </c>
      <c r="D14" s="8">
        <f t="shared" si="0"/>
        <v>713.92618748101393</v>
      </c>
      <c r="E14" s="8">
        <f t="shared" si="2"/>
        <v>633.33785579811183</v>
      </c>
      <c r="F14" s="8">
        <f t="shared" si="3"/>
        <v>80.588331682902052</v>
      </c>
      <c r="G14" s="8">
        <f t="shared" si="4"/>
        <v>20856.883926309103</v>
      </c>
    </row>
    <row r="15" spans="2:7" x14ac:dyDescent="0.25">
      <c r="B15" s="11">
        <v>6</v>
      </c>
      <c r="C15" s="8">
        <f t="shared" si="5"/>
        <v>20856.883926309103</v>
      </c>
      <c r="D15" s="8">
        <f t="shared" si="0"/>
        <v>713.92618748101393</v>
      </c>
      <c r="E15" s="8">
        <f t="shared" si="2"/>
        <v>635.71287275735483</v>
      </c>
      <c r="F15" s="8">
        <f t="shared" si="3"/>
        <v>78.213314723659138</v>
      </c>
      <c r="G15" s="8">
        <f t="shared" si="4"/>
        <v>20221.171053551749</v>
      </c>
    </row>
    <row r="16" spans="2:7" x14ac:dyDescent="0.25">
      <c r="B16" s="11">
        <v>7</v>
      </c>
      <c r="C16" s="8">
        <f t="shared" si="5"/>
        <v>20221.171053551749</v>
      </c>
      <c r="D16" s="8">
        <f t="shared" si="0"/>
        <v>713.92618748101393</v>
      </c>
      <c r="E16" s="8">
        <f t="shared" si="2"/>
        <v>638.09679603019481</v>
      </c>
      <c r="F16" s="8">
        <f t="shared" si="3"/>
        <v>75.82939145081906</v>
      </c>
      <c r="G16" s="8">
        <f t="shared" si="4"/>
        <v>19583.074257521555</v>
      </c>
    </row>
    <row r="17" spans="2:7" x14ac:dyDescent="0.25">
      <c r="B17" s="11">
        <v>8</v>
      </c>
      <c r="C17" s="8">
        <f t="shared" si="5"/>
        <v>19583.074257521555</v>
      </c>
      <c r="D17" s="8">
        <f t="shared" si="0"/>
        <v>713.92618748101393</v>
      </c>
      <c r="E17" s="8">
        <f t="shared" si="2"/>
        <v>640.48965901530812</v>
      </c>
      <c r="F17" s="8">
        <f t="shared" si="3"/>
        <v>73.436528465705834</v>
      </c>
      <c r="G17" s="8">
        <f t="shared" si="4"/>
        <v>18942.584598506248</v>
      </c>
    </row>
    <row r="18" spans="2:7" x14ac:dyDescent="0.25">
      <c r="B18" s="11">
        <v>9</v>
      </c>
      <c r="C18" s="8">
        <f t="shared" si="5"/>
        <v>18942.584598506248</v>
      </c>
      <c r="D18" s="8">
        <f t="shared" si="0"/>
        <v>713.92618748101393</v>
      </c>
      <c r="E18" s="8">
        <f t="shared" si="2"/>
        <v>642.89149523661547</v>
      </c>
      <c r="F18" s="8">
        <f t="shared" si="3"/>
        <v>71.034692244398428</v>
      </c>
      <c r="G18" s="8">
        <f t="shared" si="4"/>
        <v>18299.693103269634</v>
      </c>
    </row>
    <row r="19" spans="2:7" x14ac:dyDescent="0.25">
      <c r="B19" s="11">
        <v>10</v>
      </c>
      <c r="C19" s="8">
        <f t="shared" si="5"/>
        <v>18299.693103269634</v>
      </c>
      <c r="D19" s="8">
        <f t="shared" si="0"/>
        <v>713.92618748101393</v>
      </c>
      <c r="E19" s="8">
        <f t="shared" si="2"/>
        <v>645.30233834375281</v>
      </c>
      <c r="F19" s="8">
        <f t="shared" si="3"/>
        <v>68.623849137261118</v>
      </c>
      <c r="G19" s="8">
        <f t="shared" si="4"/>
        <v>17654.39076492588</v>
      </c>
    </row>
    <row r="20" spans="2:7" x14ac:dyDescent="0.25">
      <c r="B20" s="11">
        <v>11</v>
      </c>
      <c r="C20" s="8">
        <f t="shared" si="5"/>
        <v>17654.39076492588</v>
      </c>
      <c r="D20" s="8">
        <f t="shared" si="0"/>
        <v>713.92618748101393</v>
      </c>
      <c r="E20" s="8">
        <f t="shared" si="2"/>
        <v>647.72222211254189</v>
      </c>
      <c r="F20" s="8">
        <f t="shared" si="3"/>
        <v>66.203965368472041</v>
      </c>
      <c r="G20" s="8">
        <f t="shared" si="4"/>
        <v>17006.668542813339</v>
      </c>
    </row>
    <row r="21" spans="2:7" x14ac:dyDescent="0.25">
      <c r="B21" s="11">
        <v>12</v>
      </c>
      <c r="C21" s="8">
        <f t="shared" si="5"/>
        <v>17006.668542813339</v>
      </c>
      <c r="D21" s="8">
        <f t="shared" si="0"/>
        <v>713.92618748101393</v>
      </c>
      <c r="E21" s="8">
        <f t="shared" si="2"/>
        <v>650.15118044546386</v>
      </c>
      <c r="F21" s="8">
        <f t="shared" si="3"/>
        <v>63.775007035550018</v>
      </c>
      <c r="G21" s="8">
        <f t="shared" si="4"/>
        <v>16356.517362367875</v>
      </c>
    </row>
    <row r="22" spans="2:7" x14ac:dyDescent="0.25">
      <c r="B22" s="11">
        <v>13</v>
      </c>
      <c r="C22" s="8">
        <f t="shared" si="5"/>
        <v>16356.517362367875</v>
      </c>
      <c r="D22" s="8">
        <f t="shared" si="0"/>
        <v>713.92618748101393</v>
      </c>
      <c r="E22" s="8">
        <f t="shared" si="2"/>
        <v>652.58924737213442</v>
      </c>
      <c r="F22" s="8">
        <f t="shared" si="3"/>
        <v>61.336940108879531</v>
      </c>
      <c r="G22" s="8">
        <f t="shared" si="4"/>
        <v>15703.928114995741</v>
      </c>
    </row>
    <row r="23" spans="2:7" x14ac:dyDescent="0.25">
      <c r="B23" s="11">
        <v>14</v>
      </c>
      <c r="C23" s="8">
        <f t="shared" si="5"/>
        <v>15703.928114995741</v>
      </c>
      <c r="D23" s="8">
        <f t="shared" si="0"/>
        <v>713.92618748101393</v>
      </c>
      <c r="E23" s="8">
        <f t="shared" si="2"/>
        <v>655.03645704977987</v>
      </c>
      <c r="F23" s="8">
        <f t="shared" si="3"/>
        <v>58.889730431234028</v>
      </c>
      <c r="G23" s="8">
        <f t="shared" si="4"/>
        <v>15048.89165794596</v>
      </c>
    </row>
    <row r="24" spans="2:7" x14ac:dyDescent="0.25">
      <c r="B24" s="11">
        <v>15</v>
      </c>
      <c r="C24" s="8">
        <f t="shared" si="5"/>
        <v>15048.89165794596</v>
      </c>
      <c r="D24" s="8">
        <f t="shared" si="0"/>
        <v>713.92618748101393</v>
      </c>
      <c r="E24" s="8">
        <f t="shared" si="2"/>
        <v>657.49284376371656</v>
      </c>
      <c r="F24" s="8">
        <f t="shared" si="3"/>
        <v>56.433343717297348</v>
      </c>
      <c r="G24" s="8">
        <f t="shared" si="4"/>
        <v>14391.398814182243</v>
      </c>
    </row>
    <row r="25" spans="2:7" x14ac:dyDescent="0.25">
      <c r="B25" s="11">
        <v>16</v>
      </c>
      <c r="C25" s="8">
        <f t="shared" si="5"/>
        <v>14391.398814182243</v>
      </c>
      <c r="D25" s="8">
        <f t="shared" si="0"/>
        <v>713.92618748101393</v>
      </c>
      <c r="E25" s="8">
        <f t="shared" si="2"/>
        <v>659.95844192783056</v>
      </c>
      <c r="F25" s="8">
        <f t="shared" si="3"/>
        <v>53.967745553183406</v>
      </c>
      <c r="G25" s="8">
        <f t="shared" si="4"/>
        <v>13731.440372254412</v>
      </c>
    </row>
    <row r="26" spans="2:7" x14ac:dyDescent="0.25">
      <c r="B26" s="11">
        <v>17</v>
      </c>
      <c r="C26" s="8">
        <f t="shared" si="5"/>
        <v>13731.440372254412</v>
      </c>
      <c r="D26" s="8">
        <f t="shared" si="0"/>
        <v>713.92618748101393</v>
      </c>
      <c r="E26" s="8">
        <f t="shared" si="2"/>
        <v>662.43328608505988</v>
      </c>
      <c r="F26" s="8">
        <f t="shared" si="3"/>
        <v>51.492901395954043</v>
      </c>
      <c r="G26" s="8">
        <f t="shared" si="4"/>
        <v>13069.007086169353</v>
      </c>
    </row>
    <row r="27" spans="2:7" x14ac:dyDescent="0.25">
      <c r="B27" s="11">
        <v>18</v>
      </c>
      <c r="C27" s="8">
        <f t="shared" si="5"/>
        <v>13069.007086169353</v>
      </c>
      <c r="D27" s="8">
        <f t="shared" si="0"/>
        <v>713.92618748101393</v>
      </c>
      <c r="E27" s="8">
        <f t="shared" si="2"/>
        <v>664.91741090787889</v>
      </c>
      <c r="F27" s="8">
        <f t="shared" si="3"/>
        <v>49.008776573135073</v>
      </c>
      <c r="G27" s="8">
        <f t="shared" si="4"/>
        <v>12404.089675261474</v>
      </c>
    </row>
    <row r="28" spans="2:7" x14ac:dyDescent="0.25">
      <c r="B28" s="11">
        <v>19</v>
      </c>
      <c r="C28" s="8">
        <f t="shared" si="5"/>
        <v>12404.089675261474</v>
      </c>
      <c r="D28" s="8">
        <f t="shared" si="0"/>
        <v>713.92618748101393</v>
      </c>
      <c r="E28" s="8">
        <f t="shared" si="2"/>
        <v>667.41085119878335</v>
      </c>
      <c r="F28" s="8">
        <f t="shared" si="3"/>
        <v>46.515336282230521</v>
      </c>
      <c r="G28" s="8">
        <f t="shared" si="4"/>
        <v>11736.67882406269</v>
      </c>
    </row>
    <row r="29" spans="2:7" x14ac:dyDescent="0.25">
      <c r="B29" s="11">
        <v>20</v>
      </c>
      <c r="C29" s="8">
        <f t="shared" si="5"/>
        <v>11736.67882406269</v>
      </c>
      <c r="D29" s="8">
        <f t="shared" si="0"/>
        <v>713.92618748101393</v>
      </c>
      <c r="E29" s="8">
        <f t="shared" si="2"/>
        <v>669.91364189077888</v>
      </c>
      <c r="F29" s="8">
        <f t="shared" si="3"/>
        <v>44.012545590235085</v>
      </c>
      <c r="G29" s="8">
        <f t="shared" si="4"/>
        <v>11066.765182171912</v>
      </c>
    </row>
    <row r="30" spans="2:7" x14ac:dyDescent="0.25">
      <c r="B30" s="11">
        <v>21</v>
      </c>
      <c r="C30" s="8">
        <f t="shared" si="5"/>
        <v>11066.765182171912</v>
      </c>
      <c r="D30" s="8">
        <f t="shared" si="0"/>
        <v>713.92618748101393</v>
      </c>
      <c r="E30" s="8">
        <f t="shared" si="2"/>
        <v>672.42581804786926</v>
      </c>
      <c r="F30" s="8">
        <f t="shared" si="3"/>
        <v>41.50036943314467</v>
      </c>
      <c r="G30" s="8">
        <f t="shared" si="4"/>
        <v>10394.339364124042</v>
      </c>
    </row>
    <row r="31" spans="2:7" x14ac:dyDescent="0.25">
      <c r="B31" s="11">
        <v>22</v>
      </c>
      <c r="C31" s="8">
        <f t="shared" si="5"/>
        <v>10394.339364124042</v>
      </c>
      <c r="D31" s="8">
        <f t="shared" si="0"/>
        <v>713.92618748101393</v>
      </c>
      <c r="E31" s="8">
        <f t="shared" si="2"/>
        <v>674.94741486554881</v>
      </c>
      <c r="F31" s="8">
        <f t="shared" si="3"/>
        <v>38.978772615465154</v>
      </c>
      <c r="G31" s="8">
        <f t="shared" si="4"/>
        <v>9719.3919492584937</v>
      </c>
    </row>
    <row r="32" spans="2:7" x14ac:dyDescent="0.25">
      <c r="B32" s="11">
        <v>23</v>
      </c>
      <c r="C32" s="8">
        <f t="shared" si="5"/>
        <v>9719.3919492584937</v>
      </c>
      <c r="D32" s="8">
        <f t="shared" si="0"/>
        <v>713.92618748101393</v>
      </c>
      <c r="E32" s="8">
        <f t="shared" si="2"/>
        <v>677.47846767129454</v>
      </c>
      <c r="F32" s="8">
        <f t="shared" si="3"/>
        <v>36.447719809719352</v>
      </c>
      <c r="G32" s="8">
        <f t="shared" si="4"/>
        <v>9041.9134815871985</v>
      </c>
    </row>
    <row r="33" spans="2:7" s="10" customFormat="1" x14ac:dyDescent="0.25">
      <c r="B33" s="11">
        <v>24</v>
      </c>
      <c r="C33" s="8">
        <f t="shared" si="5"/>
        <v>9041.9134815871985</v>
      </c>
      <c r="D33" s="8">
        <f t="shared" si="0"/>
        <v>713.92618748101393</v>
      </c>
      <c r="E33" s="8">
        <f t="shared" si="2"/>
        <v>680.01901192506193</v>
      </c>
      <c r="F33" s="8">
        <f t="shared" si="3"/>
        <v>33.907175555951994</v>
      </c>
      <c r="G33" s="8">
        <f t="shared" si="4"/>
        <v>8361.8944696621365</v>
      </c>
    </row>
    <row r="34" spans="2:7" x14ac:dyDescent="0.25">
      <c r="B34" s="11"/>
      <c r="C34" s="8"/>
      <c r="D34" s="8"/>
      <c r="E34" s="8"/>
      <c r="F34" s="8"/>
      <c r="G34" s="8"/>
    </row>
    <row r="35" spans="2:7" x14ac:dyDescent="0.25">
      <c r="B35" s="11"/>
      <c r="C35" s="8"/>
      <c r="D35" s="8"/>
      <c r="E35" s="8"/>
      <c r="F35" s="8"/>
      <c r="G35" s="8"/>
    </row>
    <row r="36" spans="2:7" x14ac:dyDescent="0.25">
      <c r="B36" s="11"/>
      <c r="C36" s="8"/>
      <c r="D36" s="8"/>
      <c r="E36" s="8"/>
      <c r="F36" s="8"/>
      <c r="G36" s="8"/>
    </row>
    <row r="37" spans="2:7" x14ac:dyDescent="0.25">
      <c r="B37" s="11"/>
      <c r="C37" s="8"/>
      <c r="D37" s="8"/>
      <c r="E37" s="8"/>
      <c r="F37" s="8"/>
      <c r="G37" s="8"/>
    </row>
    <row r="38" spans="2:7" x14ac:dyDescent="0.25">
      <c r="B38" s="11"/>
      <c r="C38" s="8"/>
      <c r="D38" s="8"/>
      <c r="E38" s="8"/>
      <c r="F38" s="8"/>
      <c r="G38" s="8"/>
    </row>
    <row r="39" spans="2:7" x14ac:dyDescent="0.25">
      <c r="B39" s="11"/>
      <c r="C39" s="8"/>
      <c r="D39" s="8"/>
      <c r="E39" s="8"/>
      <c r="F39" s="8"/>
      <c r="G39" s="8"/>
    </row>
    <row r="40" spans="2:7" x14ac:dyDescent="0.25">
      <c r="B40" s="11"/>
      <c r="C40" s="8"/>
      <c r="D40" s="8"/>
      <c r="E40" s="8"/>
      <c r="F40" s="8"/>
      <c r="G40" s="8"/>
    </row>
    <row r="41" spans="2:7" x14ac:dyDescent="0.25">
      <c r="B41" s="11"/>
      <c r="C41" s="8"/>
      <c r="D41" s="8"/>
      <c r="E41" s="8"/>
      <c r="F41" s="8"/>
      <c r="G41" s="8"/>
    </row>
    <row r="42" spans="2:7" x14ac:dyDescent="0.25">
      <c r="B42" s="11"/>
      <c r="C42" s="8"/>
      <c r="D42" s="8"/>
      <c r="E42" s="8"/>
      <c r="F42" s="8"/>
      <c r="G42" s="8"/>
    </row>
    <row r="43" spans="2:7" x14ac:dyDescent="0.25">
      <c r="B43" s="11"/>
      <c r="C43" s="8"/>
      <c r="D43" s="8"/>
      <c r="E43" s="8"/>
      <c r="F43" s="8"/>
      <c r="G43" s="8"/>
    </row>
    <row r="44" spans="2:7" x14ac:dyDescent="0.25">
      <c r="B44" s="11"/>
      <c r="C44" s="8"/>
      <c r="D44" s="8"/>
      <c r="E44" s="8"/>
      <c r="F44" s="8"/>
      <c r="G44" s="8"/>
    </row>
    <row r="45" spans="2:7" x14ac:dyDescent="0.25">
      <c r="B45" s="11"/>
      <c r="C45" s="8"/>
      <c r="D45" s="8"/>
      <c r="E45" s="8"/>
      <c r="F45" s="8"/>
      <c r="G45" s="8"/>
    </row>
    <row r="46" spans="2:7" x14ac:dyDescent="0.25">
      <c r="B46" s="11"/>
      <c r="C46" s="8"/>
      <c r="D46" s="8"/>
      <c r="E46" s="8"/>
      <c r="F46" s="8"/>
      <c r="G46" s="8"/>
    </row>
    <row r="47" spans="2:7" x14ac:dyDescent="0.25">
      <c r="B47" s="11"/>
      <c r="C47" s="8"/>
      <c r="D47" s="8"/>
      <c r="E47" s="8"/>
      <c r="F47" s="8"/>
      <c r="G47" s="8"/>
    </row>
    <row r="48" spans="2:7" x14ac:dyDescent="0.25">
      <c r="B48" s="11"/>
      <c r="C48" s="8"/>
      <c r="D48" s="8"/>
      <c r="E48" s="8"/>
      <c r="F48" s="8"/>
      <c r="G48" s="8"/>
    </row>
    <row r="49" spans="2:7" x14ac:dyDescent="0.25">
      <c r="B49" s="11"/>
      <c r="C49" s="8"/>
      <c r="D49" s="8"/>
      <c r="E49" s="8"/>
      <c r="F49" s="8"/>
      <c r="G49" s="8"/>
    </row>
    <row r="50" spans="2:7" x14ac:dyDescent="0.25">
      <c r="B50" s="11"/>
      <c r="C50" s="8"/>
      <c r="D50" s="8"/>
      <c r="E50" s="8"/>
      <c r="F50" s="8"/>
      <c r="G50" s="8"/>
    </row>
    <row r="51" spans="2:7" x14ac:dyDescent="0.25">
      <c r="B51" s="11"/>
      <c r="C51" s="8"/>
      <c r="D51" s="8"/>
      <c r="E51" s="8"/>
      <c r="F51" s="8"/>
      <c r="G51" s="8"/>
    </row>
    <row r="52" spans="2:7" x14ac:dyDescent="0.25">
      <c r="B52" s="11"/>
      <c r="C52" s="8"/>
      <c r="D52" s="8"/>
      <c r="E52" s="8"/>
      <c r="F52" s="8"/>
      <c r="G52" s="8"/>
    </row>
    <row r="53" spans="2:7" x14ac:dyDescent="0.25">
      <c r="B53" s="11"/>
      <c r="C53" s="8"/>
      <c r="D53" s="8"/>
      <c r="E53" s="8"/>
      <c r="F53" s="8"/>
      <c r="G53" s="8"/>
    </row>
    <row r="54" spans="2:7" x14ac:dyDescent="0.25">
      <c r="B54" s="11"/>
      <c r="C54" s="8"/>
      <c r="D54" s="8"/>
      <c r="E54" s="8"/>
      <c r="F54" s="8"/>
      <c r="G54" s="8"/>
    </row>
    <row r="55" spans="2:7" x14ac:dyDescent="0.25">
      <c r="B55" s="11"/>
      <c r="C55" s="8"/>
      <c r="D55" s="8"/>
      <c r="E55" s="8"/>
      <c r="F55" s="8"/>
      <c r="G55" s="8"/>
    </row>
    <row r="56" spans="2:7" x14ac:dyDescent="0.25">
      <c r="B56" s="11"/>
      <c r="C56" s="8"/>
      <c r="D56" s="8"/>
      <c r="E56" s="8"/>
      <c r="F56" s="8"/>
      <c r="G56" s="8"/>
    </row>
    <row r="57" spans="2:7" s="10" customFormat="1" x14ac:dyDescent="0.25">
      <c r="B57" s="11"/>
      <c r="C57" s="8"/>
      <c r="D57" s="8"/>
      <c r="E57" s="8"/>
      <c r="F57" s="8"/>
      <c r="G57" s="8"/>
    </row>
    <row r="58" spans="2:7" x14ac:dyDescent="0.25">
      <c r="B58" s="12"/>
    </row>
    <row r="59" spans="2:7" x14ac:dyDescent="0.25">
      <c r="B59" s="12"/>
    </row>
    <row r="60" spans="2:7" x14ac:dyDescent="0.25">
      <c r="B60" s="12"/>
    </row>
  </sheetData>
  <mergeCells count="1">
    <mergeCell ref="B3:C3"/>
  </mergeCells>
  <phoneticPr fontId="0" type="noConversion"/>
  <pageMargins left="0.75" right="0.75" top="1" bottom="1" header="0.5" footer="0.5"/>
  <pageSetup scale="8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autoFill="0" autoPict="0" macro="[0]!ViewAmortizationChart">
                <anchor moveWithCells="1" sizeWithCells="1">
                  <from>
                    <xdr:col>3</xdr:col>
                    <xdr:colOff>876300</xdr:colOff>
                    <xdr:row>2</xdr:row>
                    <xdr:rowOff>38100</xdr:rowOff>
                  </from>
                  <to>
                    <xdr:col>5</xdr:col>
                    <xdr:colOff>504825</xdr:colOff>
                    <xdr:row>3</xdr:row>
                    <xdr:rowOff>152400</xdr:rowOff>
                  </to>
                </anchor>
              </controlPr>
            </control>
          </mc:Choice>
        </mc:AlternateContent>
        <mc:AlternateContent xmlns:mc="http://schemas.openxmlformats.org/markup-compatibility/2006">
          <mc:Choice Requires="x14">
            <control shapeId="10242" r:id="rId5" name="Button 2">
              <controlPr defaultSize="0" autoFill="0" autoPict="0" macro="[0]!ViewExplanation">
                <anchor moveWithCells="1" sizeWithCells="1">
                  <from>
                    <xdr:col>3</xdr:col>
                    <xdr:colOff>876300</xdr:colOff>
                    <xdr:row>4</xdr:row>
                    <xdr:rowOff>66675</xdr:rowOff>
                  </from>
                  <to>
                    <xdr:col>5</xdr:col>
                    <xdr:colOff>504825</xdr:colOff>
                    <xdr:row>6</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2</vt:i4>
      </vt:variant>
      <vt:variant>
        <vt:lpstr>Named Ranges</vt:lpstr>
      </vt:variant>
      <vt:variant>
        <vt:i4>11</vt:i4>
      </vt:variant>
    </vt:vector>
  </HeadingPairs>
  <TitlesOfParts>
    <vt:vector size="17" baseType="lpstr">
      <vt:lpstr>Explanation</vt:lpstr>
      <vt:lpstr>Model</vt:lpstr>
      <vt:lpstr>Sensitivity</vt:lpstr>
      <vt:lpstr>Amortization</vt:lpstr>
      <vt:lpstr>SensitivityChart</vt:lpstr>
      <vt:lpstr>AmortizationChart</vt:lpstr>
      <vt:lpstr>DownPayment</vt:lpstr>
      <vt:lpstr>InterestRate</vt:lpstr>
      <vt:lpstr>Loan</vt:lpstr>
      <vt:lpstr>Payment</vt:lpstr>
      <vt:lpstr>Price</vt:lpstr>
      <vt:lpstr>Amortization!Print_Area</vt:lpstr>
      <vt:lpstr>Explanation!Print_Area</vt:lpstr>
      <vt:lpstr>Model!Print_Area</vt:lpstr>
      <vt:lpstr>Sensitivity!Print_Area</vt:lpstr>
      <vt:lpstr>Term</vt:lpstr>
      <vt:lpstr>TotalInterest</vt:lpstr>
    </vt:vector>
  </TitlesOfParts>
  <Company>Kelley School of Business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Chris Albright</cp:lastModifiedBy>
  <cp:lastPrinted>2008-10-29T00:40:25Z</cp:lastPrinted>
  <dcterms:created xsi:type="dcterms:W3CDTF">2000-05-12T19:21:55Z</dcterms:created>
  <dcterms:modified xsi:type="dcterms:W3CDTF">2015-02-09T17:41:14Z</dcterms:modified>
</cp:coreProperties>
</file>