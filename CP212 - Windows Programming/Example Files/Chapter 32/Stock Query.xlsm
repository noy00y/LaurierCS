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32\"/>
    </mc:Choice>
  </mc:AlternateContent>
  <bookViews>
    <workbookView xWindow="-15" yWindow="-15" windowWidth="19170" windowHeight="5880"/>
  </bookViews>
  <sheets>
    <sheet name="Explanation" sheetId="265" r:id="rId1"/>
    <sheet name="Stocks" sheetId="3" r:id="rId2"/>
    <sheet name="ClosingPricesFixed" sheetId="542" state="hidden" r:id="rId3"/>
    <sheet name="ClosingPrices" sheetId="510" r:id="rId4"/>
    <sheet name="Returns" sheetId="4" r:id="rId5"/>
    <sheet name="SummaryMeasures" sheetId="31" r:id="rId6"/>
    <sheet name="Model" sheetId="509" r:id="rId7"/>
    <sheet name="EfficientFrontier" sheetId="101" r:id="rId8"/>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1</definedName>
    <definedName name="_AtRisk_SimSetting_StdRecalcWithoutRiskStatic" hidden="1">0</definedName>
    <definedName name="_AtRisk_SimSetting_StdRecalcWithoutRiskStaticPercentile" hidden="1">0.5</definedName>
    <definedName name="AA" localSheetId="4">Returns!$B$4:$B$62</definedName>
    <definedName name="AAPL" localSheetId="4">Returns!$C$4:$C$135</definedName>
    <definedName name="AXP" localSheetId="4">Returns!$C$4:$C$62</definedName>
    <definedName name="BA" localSheetId="4">Returns!$D$4:$D$135</definedName>
    <definedName name="CAT" localSheetId="4">Returns!$D$4:$D$62</definedName>
    <definedName name="Covar" localSheetId="6">Model!$B$8:$G$13</definedName>
    <definedName name="CSCO" localSheetId="4">Returns!$C$4:$C$27</definedName>
    <definedName name="DD" localSheetId="4">Returns!$E$4:$E$62</definedName>
    <definedName name="DIS" localSheetId="4">Returns!$F$4:$F$62</definedName>
    <definedName name="EK" localSheetId="4">Returns!$H$4:$H$135</definedName>
    <definedName name="FDX" localSheetId="4">Returns!$B$4:$B$27</definedName>
    <definedName name="GE" localSheetId="4">Returns!$C$4:$C$27</definedName>
    <definedName name="GM" localSheetId="4">Returns!$M$4:$M$135</definedName>
    <definedName name="GT" localSheetId="4">Returns!$G$4:$G$62</definedName>
    <definedName name="HPQ" localSheetId="4">Returns!$E$4:$E$27</definedName>
    <definedName name="IBM" localSheetId="4">Returns!$F$4:$F$27</definedName>
    <definedName name="IP" localSheetId="4">Returns!$G$4:$G$27</definedName>
    <definedName name="JNJ" localSheetId="4">Returns!$H$4:$H$27</definedName>
    <definedName name="JPM" localSheetId="4">Returns!$I$4:$I$27</definedName>
    <definedName name="KO" localSheetId="4">Returns!$J$4:$J$27</definedName>
    <definedName name="MCD" localSheetId="4">Returns!$K$4:$K$27</definedName>
    <definedName name="MeanReturn" localSheetId="6">Model!$B$16</definedName>
    <definedName name="Means" localSheetId="6">Model!$B$5:$G$5</definedName>
    <definedName name="MMM" localSheetId="4">Returns!$L$4:$L$27</definedName>
    <definedName name="MO" localSheetId="4">Returns!$M$4:$M$27</definedName>
    <definedName name="MRK" localSheetId="4">Returns!$N$4:$N$27</definedName>
    <definedName name="MSFT" localSheetId="4">Returns!$O$4:$O$27</definedName>
    <definedName name="PG" localSheetId="4">Returns!$P$4:$P$27</definedName>
    <definedName name="PortfolioStdev" localSheetId="6">Model!$B$22</definedName>
    <definedName name="PortfolioVariance" localSheetId="6">Model!$B$19</definedName>
    <definedName name="_xlnm.Print_Area" localSheetId="3">ClosingPrices!$A$1:$G$13</definedName>
    <definedName name="_xlnm.Print_Area" localSheetId="7">EfficientFrontier!$A$1:$J$14</definedName>
    <definedName name="_xlnm.Print_Area" localSheetId="6">Model!$A$1:$H$22</definedName>
    <definedName name="_xlnm.Print_Area" localSheetId="4">Returns!$A$1:$G$12</definedName>
    <definedName name="_xlnm.Print_Area" localSheetId="1">Stocks!$A$1:$K$20</definedName>
    <definedName name="_xlnm.Print_Area" localSheetId="5">SummaryMeasures!$A$1:$G$13</definedName>
    <definedName name="RequiredReturn" localSheetId="6">Model!$D$16</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1000</definedName>
    <definedName name="RiskNumSimulations" hidden="1">5</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FALSE</definedName>
    <definedName name="solver_adj" localSheetId="6" hidden="1">Model!$B$4:$G$4</definedName>
    <definedName name="solver_con1" localSheetId="6" hidden="1">" "</definedName>
    <definedName name="solver_con2" localSheetId="6" hidden="1">" "</definedName>
    <definedName name="solver_cvg" localSheetId="6" hidden="1">0.0001</definedName>
    <definedName name="solver_dia" localSheetId="6" hidden="1">1</definedName>
    <definedName name="solver_drv" localSheetId="6" hidden="1">1</definedName>
    <definedName name="solver_eng" localSheetId="6" hidden="1">1</definedName>
    <definedName name="solver_est" localSheetId="6" hidden="1">1</definedName>
    <definedName name="solver_itr" localSheetId="6" hidden="1">100</definedName>
    <definedName name="solver_lhs1" localSheetId="6" hidden="1">Model!$H$4</definedName>
    <definedName name="solver_lhs2" localSheetId="6" hidden="1">Model!$B$16</definedName>
    <definedName name="solver_lhs3" localSheetId="6" hidden="1">Model!$E$4</definedName>
    <definedName name="solver_lhs4" localSheetId="6" hidden="1">Model!$B$13</definedName>
    <definedName name="solver_lhs5" localSheetId="6" hidden="1">Model!$K$4</definedName>
    <definedName name="solver_lhs6" localSheetId="6" hidden="1">Model!$B$19</definedName>
    <definedName name="solver_lin" localSheetId="6" hidden="1">2</definedName>
    <definedName name="solver_lva" localSheetId="6" hidden="1">0</definedName>
    <definedName name="solver_mip" localSheetId="6" hidden="1">5000</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5000</definedName>
    <definedName name="solver_num" localSheetId="6" hidden="1">2</definedName>
    <definedName name="solver_nwt" localSheetId="6" hidden="1">1</definedName>
    <definedName name="solver_opt" localSheetId="6" hidden="1">Model!$B$19</definedName>
    <definedName name="solver_pre" localSheetId="6" hidden="1">0.000001</definedName>
    <definedName name="solver_psi" localSheetId="6" hidden="1">0</definedName>
    <definedName name="solver_rbv" localSheetId="6" hidden="1">1</definedName>
    <definedName name="solver_rel1" localSheetId="6" hidden="1">2</definedName>
    <definedName name="solver_rel2" localSheetId="6" hidden="1">3</definedName>
    <definedName name="solver_rel3" localSheetId="6" hidden="1">2</definedName>
    <definedName name="solver_rel4" localSheetId="6" hidden="1">3</definedName>
    <definedName name="solver_rel5" localSheetId="6" hidden="1">2</definedName>
    <definedName name="solver_rel6" localSheetId="6" hidden="1">3</definedName>
    <definedName name="solver_rep" localSheetId="6" hidden="1">0</definedName>
    <definedName name="solver_rhs1" localSheetId="6" hidden="1">1</definedName>
    <definedName name="solver_rhs2" localSheetId="6" hidden="1">Model!RequiredReturn</definedName>
    <definedName name="solver_rhs3" localSheetId="6" hidden="1">1</definedName>
    <definedName name="solver_rhs4" localSheetId="6" hidden="1">RequiredReturn</definedName>
    <definedName name="solver_rhs5" localSheetId="6" hidden="1">1</definedName>
    <definedName name="solver_rhs6" localSheetId="6" hidden="1">Model!RequiredReturn</definedName>
    <definedName name="solver_rlx" localSheetId="6" hidden="1">2</definedName>
    <definedName name="solver_rsd" localSheetId="6" hidden="1">0</definedName>
    <definedName name="solver_scl" localSheetId="6" hidden="1">2</definedName>
    <definedName name="solver_sho" localSheetId="6" hidden="1">2</definedName>
    <definedName name="solver_ssz" localSheetId="6" hidden="1">0</definedName>
    <definedName name="solver_tim" localSheetId="6" hidden="1">100</definedName>
    <definedName name="solver_tms" localSheetId="6" hidden="1">0</definedName>
    <definedName name="solver_tol" localSheetId="6" hidden="1">0.05</definedName>
    <definedName name="solver_typ" localSheetId="6" hidden="1">2</definedName>
    <definedName name="solver_val" localSheetId="6" hidden="1">0</definedName>
    <definedName name="solver_var" localSheetId="6" hidden="1">" "</definedName>
    <definedName name="solver_ver" localSheetId="6" hidden="1">3</definedName>
    <definedName name="solver_vir" localSheetId="6" hidden="1">1</definedName>
    <definedName name="solver_vol" localSheetId="6" hidden="1">0</definedName>
    <definedName name="Stocks" localSheetId="1">Stocks!$A$4:$B$29</definedName>
    <definedName name="SumWeights" localSheetId="6">Model!$H$4</definedName>
    <definedName name="T" localSheetId="4">Returns!$Q$4:$Q$27</definedName>
    <definedName name="UTX" localSheetId="4">Returns!$R$4:$R$27</definedName>
    <definedName name="Weights" localSheetId="6">Model!$B$4:$G$4</definedName>
    <definedName name="WMT" localSheetId="4">Returns!$S$4:$S$27</definedName>
  </definedNames>
  <calcPr calcId="152511"/>
</workbook>
</file>

<file path=xl/calcChain.xml><?xml version="1.0" encoding="utf-8"?>
<calcChain xmlns="http://schemas.openxmlformats.org/spreadsheetml/2006/main">
  <c r="B19" i="509" l="1" a="1"/>
  <c r="B19" i="509" s="1"/>
  <c r="B22" i="509" s="1"/>
  <c r="B16" i="509"/>
  <c r="G13" i="509"/>
  <c r="F13" i="509"/>
  <c r="E13" i="509"/>
  <c r="D13" i="509"/>
  <c r="C13" i="509"/>
  <c r="B13" i="509"/>
  <c r="G12" i="509"/>
  <c r="F12" i="509"/>
  <c r="E12" i="509"/>
  <c r="D12" i="509"/>
  <c r="C12" i="509"/>
  <c r="B12" i="509"/>
  <c r="G11" i="509"/>
  <c r="F11" i="509"/>
  <c r="E11" i="509"/>
  <c r="D11" i="509"/>
  <c r="C11" i="509"/>
  <c r="B11" i="509"/>
  <c r="G10" i="509"/>
  <c r="F10" i="509"/>
  <c r="E10" i="509"/>
  <c r="D10" i="509"/>
  <c r="C10" i="509"/>
  <c r="B10" i="509"/>
  <c r="G9" i="509"/>
  <c r="F9" i="509"/>
  <c r="E9" i="509"/>
  <c r="D9" i="509"/>
  <c r="C9" i="509"/>
  <c r="B9" i="509"/>
  <c r="G8" i="509"/>
  <c r="F8" i="509"/>
  <c r="E8" i="509"/>
  <c r="D8" i="509"/>
  <c r="C8" i="509"/>
  <c r="B8" i="509"/>
  <c r="H4" i="509"/>
  <c r="G5" i="509"/>
  <c r="F5" i="509"/>
  <c r="E5" i="509"/>
  <c r="D5" i="509"/>
  <c r="C5" i="509"/>
  <c r="B5" i="509"/>
  <c r="G13" i="31"/>
  <c r="F13" i="31"/>
  <c r="E13" i="31"/>
  <c r="D13" i="31"/>
  <c r="C13" i="31"/>
  <c r="B13" i="31"/>
  <c r="G12" i="31"/>
  <c r="F12" i="31"/>
  <c r="E12" i="31"/>
  <c r="D12" i="31"/>
  <c r="C12" i="31"/>
  <c r="B12" i="31"/>
  <c r="G11" i="31"/>
  <c r="F11" i="31"/>
  <c r="E11" i="31"/>
  <c r="D11" i="31"/>
  <c r="C11" i="31"/>
  <c r="B11" i="31"/>
  <c r="G10" i="31"/>
  <c r="F10" i="31"/>
  <c r="E10" i="31"/>
  <c r="D10" i="31"/>
  <c r="C10" i="31"/>
  <c r="B10" i="31"/>
  <c r="G9" i="31"/>
  <c r="F9" i="31"/>
  <c r="E9" i="31"/>
  <c r="D9" i="31"/>
  <c r="C9" i="31"/>
  <c r="B9" i="31"/>
  <c r="G8" i="31"/>
  <c r="F8" i="31"/>
  <c r="E8" i="31"/>
  <c r="D8" i="31"/>
  <c r="C8" i="31"/>
  <c r="B8" i="31"/>
  <c r="G5" i="31"/>
  <c r="G4" i="31"/>
  <c r="F5" i="31"/>
  <c r="F4" i="31"/>
  <c r="E5" i="31"/>
  <c r="E4" i="31"/>
  <c r="D5" i="31"/>
  <c r="D4" i="31"/>
  <c r="C5" i="31"/>
  <c r="C4" i="31"/>
  <c r="B5" i="31"/>
  <c r="B4" i="31"/>
</calcChain>
</file>

<file path=xl/comments1.xml><?xml version="1.0" encoding="utf-8"?>
<comments xmlns="http://schemas.openxmlformats.org/spreadsheetml/2006/main">
  <authors>
    <author>Chris</author>
  </authors>
  <commentList>
    <comment ref="A1" authorId="0" shapeId="0">
      <text>
        <r>
          <rPr>
            <b/>
            <sz val="9"/>
            <color indexed="81"/>
            <rFont val="Tahoma"/>
            <family val="2"/>
          </rPr>
          <t>The solution shown is when required return is halfway between minimum and maximum of stock returns.</t>
        </r>
        <r>
          <rPr>
            <sz val="9"/>
            <color indexed="81"/>
            <rFont val="Tahoma"/>
            <family val="2"/>
          </rPr>
          <t xml:space="preserve">
</t>
        </r>
      </text>
    </comment>
  </commentList>
</comments>
</file>

<file path=xl/sharedStrings.xml><?xml version="1.0" encoding="utf-8"?>
<sst xmlns="http://schemas.openxmlformats.org/spreadsheetml/2006/main" count="153" uniqueCount="80">
  <si>
    <t>Stock symbols and names to choose from</t>
  </si>
  <si>
    <t>Symbol</t>
  </si>
  <si>
    <t>Name</t>
  </si>
  <si>
    <t>AA</t>
  </si>
  <si>
    <t>AXP</t>
  </si>
  <si>
    <t>American Express</t>
  </si>
  <si>
    <t>BA</t>
  </si>
  <si>
    <t>Boeing</t>
  </si>
  <si>
    <t>CAT</t>
  </si>
  <si>
    <t>Caterpillar</t>
  </si>
  <si>
    <t>DD</t>
  </si>
  <si>
    <t>Du Pont</t>
  </si>
  <si>
    <t>FDX</t>
  </si>
  <si>
    <t>Federal Express</t>
  </si>
  <si>
    <t>GE</t>
  </si>
  <si>
    <t>General Electric</t>
  </si>
  <si>
    <t>GT</t>
  </si>
  <si>
    <t>Goodyear Tire &amp; Rubber</t>
  </si>
  <si>
    <t>IBM</t>
  </si>
  <si>
    <t>IP</t>
  </si>
  <si>
    <t>International Paper</t>
  </si>
  <si>
    <t>JNJ</t>
  </si>
  <si>
    <t>Johnson &amp; Johnson</t>
  </si>
  <si>
    <t>JPM</t>
  </si>
  <si>
    <t>J. P. Morgan</t>
  </si>
  <si>
    <t>KO</t>
  </si>
  <si>
    <t>Coca Cola</t>
  </si>
  <si>
    <t>MCD</t>
  </si>
  <si>
    <t>McDonald's</t>
  </si>
  <si>
    <t>MMM</t>
  </si>
  <si>
    <t>Minnesota Mining &amp; Mfg</t>
  </si>
  <si>
    <t>MO</t>
  </si>
  <si>
    <t>MRK</t>
  </si>
  <si>
    <t>Merck</t>
  </si>
  <si>
    <t>PG</t>
  </si>
  <si>
    <t>Procter &amp; Gamble</t>
  </si>
  <si>
    <t>T</t>
  </si>
  <si>
    <t>AT&amp;T</t>
  </si>
  <si>
    <t>UTX</t>
  </si>
  <si>
    <t>United Technologies</t>
  </si>
  <si>
    <t>WMT</t>
  </si>
  <si>
    <t>Creating Optimal Portfolios Based on Data from the Web</t>
  </si>
  <si>
    <t>International Business Machines</t>
  </si>
  <si>
    <t>ALCOA Inc</t>
  </si>
  <si>
    <t>CSCO</t>
  </si>
  <si>
    <t>Cisco Systems</t>
  </si>
  <si>
    <t>AAPL</t>
  </si>
  <si>
    <t>Apple Computer</t>
  </si>
  <si>
    <t>DIS</t>
  </si>
  <si>
    <t>Disney</t>
  </si>
  <si>
    <t>Hewlett Packard</t>
  </si>
  <si>
    <t>MSFT</t>
  </si>
  <si>
    <t>Microsoft</t>
  </si>
  <si>
    <t>Summary measures for stock returns</t>
  </si>
  <si>
    <t>Stocks</t>
  </si>
  <si>
    <t>Means</t>
  </si>
  <si>
    <t>Stdevs</t>
  </si>
  <si>
    <t>Correlations</t>
  </si>
  <si>
    <t>Stock</t>
  </si>
  <si>
    <t>Weights</t>
  </si>
  <si>
    <t>Sum</t>
  </si>
  <si>
    <t>Covariances</t>
  </si>
  <si>
    <t>Constraint on mean return</t>
  </si>
  <si>
    <t>&gt;=</t>
  </si>
  <si>
    <t>Portfolio variance</t>
  </si>
  <si>
    <t>Portfolio standard deviation</t>
  </si>
  <si>
    <t>Efficient frontier</t>
  </si>
  <si>
    <t>PortStdev</t>
  </si>
  <si>
    <t>ReqdReturn</t>
  </si>
  <si>
    <t>Weights for these optimal portfolios</t>
  </si>
  <si>
    <t>Corresponding returns</t>
  </si>
  <si>
    <t>Time period</t>
  </si>
  <si>
    <t>Portfolio selection model (solution shown is when required return is halfway between minimum and maximum of stock returns)</t>
  </si>
  <si>
    <t>Walmart</t>
  </si>
  <si>
    <t>HPQ</t>
  </si>
  <si>
    <t>Month</t>
  </si>
  <si>
    <t>Altria Group</t>
  </si>
  <si>
    <t>(previously Philip Morris)</t>
  </si>
  <si>
    <t>Monthly closing prices from 01/01/2009 to 12/31/2013</t>
  </si>
  <si>
    <t>Monthly closing prices from 01/01/2009 to 07/31/2014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</si>
</sst>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000"/>
    <numFmt numFmtId="166" formatCode="[$-409]mmm\-yy;@"/>
  </numFmts>
  <fonts count="9" x14ac:knownFonts="1">
    <font>
      <sz val="11"/>
      <name val="Calibri"/>
      <family val="2"/>
      <scheme val="minor"/>
    </font>
    <font>
      <sz val="11"/>
      <name val="Calibri"/>
      <family val="2"/>
      <scheme val="minor"/>
    </font>
    <font>
      <b/>
      <sz val="11"/>
      <name val="Calibri"/>
      <family val="2"/>
      <scheme val="minor"/>
    </font>
    <font>
      <b/>
      <sz val="14"/>
      <name val="Calibri"/>
      <family val="2"/>
      <scheme val="minor"/>
    </font>
    <font>
      <sz val="10"/>
      <name val="Arial"/>
      <family val="2"/>
    </font>
    <font>
      <sz val="11"/>
      <color rgb="FF000000"/>
      <name val="Calibri"/>
      <family val="2"/>
    </font>
    <font>
      <sz val="9"/>
      <color indexed="81"/>
      <name val="Tahoma"/>
      <family val="2"/>
    </font>
    <font>
      <b/>
      <sz val="9"/>
      <color indexed="81"/>
      <name val="Tahoma"/>
      <family val="2"/>
    </font>
    <font>
      <b/>
      <sz val="10"/>
      <name val="Arial"/>
      <family val="2"/>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4" fillId="0" borderId="0"/>
  </cellStyleXfs>
  <cellXfs count="32">
    <xf numFmtId="0" fontId="0" fillId="0" borderId="0" xfId="0"/>
    <xf numFmtId="49" fontId="1" fillId="0" borderId="0" xfId="0" applyNumberFormat="1" applyFont="1" applyFill="1"/>
    <xf numFmtId="0" fontId="1" fillId="0" borderId="0" xfId="0" applyFont="1" applyFill="1"/>
    <xf numFmtId="49" fontId="2" fillId="0" borderId="0" xfId="0" applyNumberFormat="1" applyFont="1" applyFill="1"/>
    <xf numFmtId="49" fontId="1" fillId="0" borderId="0" xfId="0" applyNumberFormat="1" applyFont="1" applyFill="1" applyAlignment="1">
      <alignment horizontal="right"/>
    </xf>
    <xf numFmtId="0" fontId="1" fillId="0" borderId="0" xfId="0" applyFont="1" applyFill="1" applyAlignment="1">
      <alignment horizontal="right"/>
    </xf>
    <xf numFmtId="0" fontId="2" fillId="0" borderId="0" xfId="0" applyFont="1"/>
    <xf numFmtId="0" fontId="1" fillId="0" borderId="0" xfId="0" applyFont="1"/>
    <xf numFmtId="0" fontId="1" fillId="0" borderId="0" xfId="0" applyFont="1" applyAlignment="1">
      <alignment horizontal="left"/>
    </xf>
    <xf numFmtId="166" fontId="2" fillId="0" borderId="0" xfId="0" applyNumberFormat="1" applyFont="1" applyAlignment="1">
      <alignment horizontal="left"/>
    </xf>
    <xf numFmtId="166" fontId="1" fillId="0" borderId="0" xfId="0" applyNumberFormat="1" applyFont="1" applyAlignment="1">
      <alignment horizontal="left"/>
    </xf>
    <xf numFmtId="0" fontId="1" fillId="0" borderId="0" xfId="0" applyFont="1" applyAlignment="1">
      <alignment horizontal="right"/>
    </xf>
    <xf numFmtId="1" fontId="1" fillId="0" borderId="0" xfId="0" applyNumberFormat="1" applyFont="1" applyAlignment="1">
      <alignment horizontal="left"/>
    </xf>
    <xf numFmtId="164" fontId="1" fillId="0" borderId="0" xfId="0" applyNumberFormat="1" applyFont="1"/>
    <xf numFmtId="2" fontId="1" fillId="0" borderId="0" xfId="0" applyNumberFormat="1" applyFont="1"/>
    <xf numFmtId="165" fontId="1" fillId="0" borderId="0" xfId="0" applyNumberFormat="1" applyFont="1"/>
    <xf numFmtId="0" fontId="1" fillId="0" borderId="0" xfId="2" applyFont="1"/>
    <xf numFmtId="166" fontId="1" fillId="0" borderId="0" xfId="2" applyNumberFormat="1" applyFont="1" applyAlignment="1">
      <alignment horizontal="center"/>
    </xf>
    <xf numFmtId="0" fontId="1" fillId="0" borderId="0" xfId="2" applyFont="1" applyAlignment="1">
      <alignment horizontal="right"/>
    </xf>
    <xf numFmtId="17" fontId="1" fillId="0" borderId="0" xfId="2" applyNumberFormat="1" applyFont="1" applyAlignment="1">
      <alignment horizontal="center"/>
    </xf>
    <xf numFmtId="0" fontId="2" fillId="0" borderId="0" xfId="2" applyFont="1"/>
    <xf numFmtId="1" fontId="1" fillId="0" borderId="0" xfId="2" applyNumberFormat="1" applyFont="1" applyAlignment="1">
      <alignment horizontal="center"/>
    </xf>
    <xf numFmtId="166" fontId="8" fillId="0" borderId="0" xfId="0" applyNumberFormat="1" applyFont="1" applyFill="1" applyAlignment="1">
      <alignment horizontal="left"/>
    </xf>
    <xf numFmtId="0" fontId="0" fillId="0" borderId="0" xfId="0" applyFill="1"/>
    <xf numFmtId="166" fontId="0" fillId="0" borderId="0" xfId="0" applyNumberFormat="1" applyFill="1" applyAlignment="1">
      <alignment horizontal="left"/>
    </xf>
    <xf numFmtId="0" fontId="0" fillId="0" borderId="0" xfId="0" applyFill="1" applyAlignment="1">
      <alignment horizontal="right"/>
    </xf>
    <xf numFmtId="2" fontId="0" fillId="0" borderId="0" xfId="0" applyNumberFormat="1" applyFill="1"/>
    <xf numFmtId="166" fontId="0" fillId="0" borderId="0" xfId="0" applyNumberFormat="1" applyFill="1" applyAlignment="1">
      <alignment horizontal="center"/>
    </xf>
    <xf numFmtId="1" fontId="0" fillId="0" borderId="0" xfId="0" applyNumberFormat="1" applyFill="1" applyAlignment="1">
      <alignment horizontal="center"/>
    </xf>
    <xf numFmtId="166" fontId="1" fillId="0" borderId="0" xfId="0" applyNumberFormat="1" applyFont="1" applyAlignment="1">
      <alignment horizontal="center"/>
    </xf>
    <xf numFmtId="1" fontId="1" fillId="0" borderId="0" xfId="0" applyNumberFormat="1" applyFont="1" applyAlignment="1">
      <alignment horizontal="center"/>
    </xf>
    <xf numFmtId="0" fontId="3" fillId="0" borderId="0" xfId="0" applyFont="1" applyFill="1" applyAlignment="1">
      <alignment horizontal="center"/>
    </xf>
  </cellXfs>
  <cellStyles count="3">
    <cellStyle name="Normal" xfId="0" builtinId="0" customBuiltin="1"/>
    <cellStyle name="Normal 2" xfId="1"/>
    <cellStyle name="Normal 3"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Efficient Frontier</a:t>
            </a:r>
          </a:p>
        </c:rich>
      </c:tx>
      <c:layout/>
      <c:overlay val="0"/>
    </c:title>
    <c:autoTitleDeleted val="0"/>
    <c:plotArea>
      <c:layout/>
      <c:scatterChart>
        <c:scatterStyle val="lineMarker"/>
        <c:varyColors val="0"/>
        <c:ser>
          <c:idx val="0"/>
          <c:order val="0"/>
          <c:xVal>
            <c:numRef>
              <c:f>EfficientFrontier!$B$4:$B$14</c:f>
              <c:numCache>
                <c:formatCode>0.0000</c:formatCode>
                <c:ptCount val="11"/>
                <c:pt idx="0">
                  <c:v>6.9066368349468804E-2</c:v>
                </c:pt>
                <c:pt idx="1">
                  <c:v>6.9066368349468804E-2</c:v>
                </c:pt>
                <c:pt idx="2">
                  <c:v>6.9066368349468804E-2</c:v>
                </c:pt>
                <c:pt idx="3">
                  <c:v>6.9066368349468804E-2</c:v>
                </c:pt>
                <c:pt idx="4">
                  <c:v>6.9066368349468804E-2</c:v>
                </c:pt>
                <c:pt idx="5">
                  <c:v>6.9066368349468804E-2</c:v>
                </c:pt>
                <c:pt idx="6">
                  <c:v>7.2618064188811199E-2</c:v>
                </c:pt>
                <c:pt idx="7">
                  <c:v>8.3089040079175627E-2</c:v>
                </c:pt>
                <c:pt idx="8">
                  <c:v>9.8289190283888273E-2</c:v>
                </c:pt>
                <c:pt idx="9">
                  <c:v>0.11638004779451075</c:v>
                </c:pt>
                <c:pt idx="10">
                  <c:v>0.13621465211801501</c:v>
                </c:pt>
              </c:numCache>
            </c:numRef>
          </c:xVal>
          <c:yVal>
            <c:numRef>
              <c:f>EfficientFrontier!$C$4:$C$14</c:f>
              <c:numCache>
                <c:formatCode>0.0000</c:formatCode>
                <c:ptCount val="11"/>
                <c:pt idx="0">
                  <c:v>1.2064188718795776E-2</c:v>
                </c:pt>
                <c:pt idx="1">
                  <c:v>1.4636581763625145E-2</c:v>
                </c:pt>
                <c:pt idx="2">
                  <c:v>1.7208974808454514E-2</c:v>
                </c:pt>
                <c:pt idx="3">
                  <c:v>1.9781367853283882E-2</c:v>
                </c:pt>
                <c:pt idx="4">
                  <c:v>2.2353760898113251E-2</c:v>
                </c:pt>
                <c:pt idx="5">
                  <c:v>2.4926153942942619E-2</c:v>
                </c:pt>
                <c:pt idx="6">
                  <c:v>2.7498546987771988E-2</c:v>
                </c:pt>
                <c:pt idx="7">
                  <c:v>3.0070940032601357E-2</c:v>
                </c:pt>
                <c:pt idx="8">
                  <c:v>3.2643333077430725E-2</c:v>
                </c:pt>
                <c:pt idx="9">
                  <c:v>3.5215727984905243E-2</c:v>
                </c:pt>
                <c:pt idx="10">
                  <c:v>3.7788119167089462E-2</c:v>
                </c:pt>
              </c:numCache>
            </c:numRef>
          </c:yVal>
          <c:smooth val="0"/>
        </c:ser>
        <c:dLbls>
          <c:showLegendKey val="0"/>
          <c:showVal val="0"/>
          <c:showCatName val="0"/>
          <c:showSerName val="0"/>
          <c:showPercent val="0"/>
          <c:showBubbleSize val="0"/>
        </c:dLbls>
        <c:axId val="563946824"/>
        <c:axId val="563953488"/>
      </c:scatterChart>
      <c:valAx>
        <c:axId val="563946824"/>
        <c:scaling>
          <c:orientation val="minMax"/>
          <c:max val="0.1429294876754284"/>
          <c:min val="6.2351538985967639E-2"/>
        </c:scaling>
        <c:delete val="0"/>
        <c:axPos val="b"/>
        <c:title>
          <c:tx>
            <c:rich>
              <a:bodyPr/>
              <a:lstStyle/>
              <a:p>
                <a:pPr>
                  <a:defRPr/>
                </a:pPr>
                <a:r>
                  <a:rPr lang="en-US"/>
                  <a:t>Risk (Standard Deviation)</a:t>
                </a:r>
              </a:p>
            </c:rich>
          </c:tx>
          <c:layout/>
          <c:overlay val="0"/>
        </c:title>
        <c:numFmt formatCode="0.0000" sourceLinked="1"/>
        <c:majorTickMark val="out"/>
        <c:minorTickMark val="none"/>
        <c:tickLblPos val="nextTo"/>
        <c:crossAx val="563953488"/>
        <c:crosses val="autoZero"/>
        <c:crossBetween val="midCat"/>
      </c:valAx>
      <c:valAx>
        <c:axId val="563953488"/>
        <c:scaling>
          <c:orientation val="minMax"/>
          <c:max val="4.0360512211918831E-2"/>
          <c:min val="9.4917956739664078E-3"/>
        </c:scaling>
        <c:delete val="0"/>
        <c:axPos val="l"/>
        <c:majorGridlines>
          <c:spPr>
            <a:ln>
              <a:solidFill>
                <a:schemeClr val="bg1">
                  <a:lumMod val="85000"/>
                </a:schemeClr>
              </a:solidFill>
            </a:ln>
          </c:spPr>
        </c:majorGridlines>
        <c:title>
          <c:tx>
            <c:rich>
              <a:bodyPr rot="-5400000" vert="horz"/>
              <a:lstStyle/>
              <a:p>
                <a:pPr>
                  <a:defRPr/>
                </a:pPr>
                <a:r>
                  <a:rPr lang="en-US"/>
                  <a:t>Return (Mean Return)</a:t>
                </a:r>
              </a:p>
            </c:rich>
          </c:tx>
          <c:layout/>
          <c:overlay val="0"/>
        </c:title>
        <c:numFmt formatCode="0.0000" sourceLinked="1"/>
        <c:majorTickMark val="out"/>
        <c:minorTickMark val="none"/>
        <c:tickLblPos val="nextTo"/>
        <c:crossAx val="563946824"/>
        <c:crosses val="autoZero"/>
        <c:crossBetween val="midCat"/>
      </c:valAx>
    </c:plotArea>
    <c:plotVisOnly val="1"/>
    <c:dispBlanksAs val="gap"/>
    <c:showDLblsOverMax val="0"/>
  </c:chart>
  <c:printSettings>
    <c:headerFooter/>
    <c:pageMargins b="0.75000000000000078" l="0.70000000000000062" r="0.70000000000000062" t="0.75000000000000078"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546100</xdr:colOff>
      <xdr:row>5</xdr:row>
      <xdr:rowOff>63498</xdr:rowOff>
    </xdr:from>
    <xdr:to>
      <xdr:col>10</xdr:col>
      <xdr:colOff>140970</xdr:colOff>
      <xdr:row>28</xdr:row>
      <xdr:rowOff>104775</xdr:rowOff>
    </xdr:to>
    <xdr:sp macro="" textlink="">
      <xdr:nvSpPr>
        <xdr:cNvPr id="3" name="TextBox 2"/>
        <xdr:cNvSpPr txBox="1"/>
      </xdr:nvSpPr>
      <xdr:spPr>
        <a:xfrm>
          <a:off x="546100" y="1035048"/>
          <a:ext cx="6090920" cy="4251327"/>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The purpose of this application is to get stock prices from the Web for any period of time and any chosen stocks. It brings the Web data into a temporary sheet, then it transfers all of the closing stock prices to the ClosingPrices sheet, and then it calculates the stock returns on the Returns sheet. Next, it creates summary data (means, standard deviations, and correlations) for the stock returns on the SummaryMeasures sheet. Finally, it sets up a portfolio selection optimization model on the Model sheet and runs Solver several times to obtain the efficient frontier. The results appear in tabular and graphical form in the EfficientFrontier sheet.
You must enter choices for the starting and ending time periods of interest, as well as a time interval (monthly, weekly, or daily). You must also select the stocks for which you want data. The Stocks sheet has a list of stocks you can choose from.  Before running the application, you can add stocks to this list if you like. But see the note on the Stocks sheet about possible problems.</a:t>
          </a:r>
        </a:p>
        <a:p>
          <a:endParaRPr lang="en-US" sz="1100"/>
        </a:p>
        <a:p>
          <a:r>
            <a:rPr lang="en-US" sz="1100"/>
            <a:t>Due to the peculiarities</a:t>
          </a:r>
          <a:r>
            <a:rPr lang="en-US" sz="1100" baseline="0"/>
            <a:t> of the Yahoo site that this application queries, the application fails to work sometimes. I am convinced that it has to do with browser settings or the Yahoo site, but I'm not sure which settings guarantee success (or failure). Rather than having the application fail with an obscure error message, I changed the application so that if the Web query fails, the </a:t>
          </a:r>
          <a:r>
            <a:rPr lang="en-US" sz="1100" i="1" baseline="0"/>
            <a:t>rest </a:t>
          </a:r>
          <a:r>
            <a:rPr lang="en-US" sz="1100" i="0" baseline="0"/>
            <a:t>of the application starts with </a:t>
          </a:r>
          <a:r>
            <a:rPr lang="en-US" sz="1100" i="1" baseline="0"/>
            <a:t>fixed </a:t>
          </a:r>
          <a:r>
            <a:rPr lang="en-US" sz="1100" i="0" baseline="0"/>
            <a:t>stock price data I downloaded when I created this application. (This fixed data is on the hidden StockPricesFixed sheet.) Of course, unless you replace this fixed data with new data, the application will give the same results every time you run it, but this is better than nothing!</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352425</xdr:colOff>
          <xdr:row>2</xdr:row>
          <xdr:rowOff>114300</xdr:rowOff>
        </xdr:from>
        <xdr:to>
          <xdr:col>6</xdr:col>
          <xdr:colOff>381000</xdr:colOff>
          <xdr:row>4</xdr:row>
          <xdr:rowOff>57150</xdr:rowOff>
        </xdr:to>
        <xdr:sp macro="" textlink="">
          <xdr:nvSpPr>
            <xdr:cNvPr id="141313" name="Button 1" hidden="1">
              <a:extLst>
                <a:ext uri="{63B3BB69-23CF-44E3-9099-C40C66FF867C}">
                  <a14:compatExt spid="_x0000_s141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127000</xdr:colOff>
      <xdr:row>1</xdr:row>
      <xdr:rowOff>177800</xdr:rowOff>
    </xdr:from>
    <xdr:to>
      <xdr:col>11</xdr:col>
      <xdr:colOff>76200</xdr:colOff>
      <xdr:row>19</xdr:row>
      <xdr:rowOff>142875</xdr:rowOff>
    </xdr:to>
    <xdr:sp macro="" textlink="">
      <xdr:nvSpPr>
        <xdr:cNvPr id="3" name="TextBox 2"/>
        <xdr:cNvSpPr txBox="1"/>
      </xdr:nvSpPr>
      <xdr:spPr>
        <a:xfrm>
          <a:off x="2632075" y="368300"/>
          <a:ext cx="5435600" cy="3394075"/>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You can add any other stocks to this list (or delete any).  If you want to add any, enter the stock symbol in column A, the name in column B. However, I suggest you first visit the Web with a URL something like the following:
http://finance.yahoo.com/q/hp?</a:t>
          </a:r>
          <a:r>
            <a:rPr lang="en-US" sz="1100">
              <a:solidFill>
                <a:schemeClr val="dk1"/>
              </a:solidFill>
              <a:latin typeface="+mn-lt"/>
              <a:ea typeface="+mn-ea"/>
              <a:cs typeface="+mn-cs"/>
            </a:rPr>
            <a:t>s=IBM&amp;</a:t>
          </a:r>
          <a:r>
            <a:rPr lang="en-US" sz="1100"/>
            <a:t>a=0&amp;b=1&amp;c=1992&amp;d=3&amp;e=1&amp;f=2008&amp;g=m
This gets monthly prices for IBM from January 1992 through April 2008. In general, you can replace </a:t>
          </a:r>
          <a:r>
            <a:rPr lang="en-US" sz="1100">
              <a:solidFill>
                <a:schemeClr val="dk1"/>
              </a:solidFill>
              <a:latin typeface="+mn-lt"/>
              <a:ea typeface="+mn-ea"/>
              <a:cs typeface="+mn-cs"/>
            </a:rPr>
            <a:t>the s parameter by the stock's ticker symbol, </a:t>
          </a:r>
          <a:r>
            <a:rPr lang="en-US" sz="1100"/>
            <a:t>the a and d by the months (starting at 0) you want, the b and e parameters by the days you want, the c and f parameters by the years you want, and the g parameter by d, w, </a:t>
          </a:r>
          <a:r>
            <a:rPr lang="en-US" sz="1100" baseline="0"/>
            <a:t> or m (daily, weekly, or monthly)</a:t>
          </a:r>
          <a:r>
            <a:rPr lang="en-US" sz="1100"/>
            <a:t>. If any prices are missing, then adding this stock to your portfolio could cause the application to fail.
If you add any stocks to the list, make sure the name of the range that includes the ticker symbols and the company names (columns A, B, starting in row 4) is still </a:t>
          </a:r>
          <a:r>
            <a:rPr lang="en-US" sz="1100" b="1"/>
            <a:t>Stocks</a:t>
          </a:r>
          <a:r>
            <a:rPr lang="en-US" sz="1100"/>
            <a:t>. This range name is used to populate the list of stocks when you run the query.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581024</xdr:colOff>
      <xdr:row>16</xdr:row>
      <xdr:rowOff>19049</xdr:rowOff>
    </xdr:from>
    <xdr:to>
      <xdr:col>13</xdr:col>
      <xdr:colOff>438149</xdr:colOff>
      <xdr:row>36</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A1:I62"/>
  <sheetViews>
    <sheetView showGridLines="0" showRowColHeaders="0" tabSelected="1" workbookViewId="0"/>
  </sheetViews>
  <sheetFormatPr defaultRowHeight="15" x14ac:dyDescent="0.25"/>
  <cols>
    <col min="1" max="1" width="15.140625" style="1" customWidth="1"/>
    <col min="2" max="16384" width="9.140625" style="2"/>
  </cols>
  <sheetData>
    <row r="1" spans="1:9" ht="12.75" customHeight="1" x14ac:dyDescent="0.25"/>
    <row r="2" spans="1:9" ht="18.75" x14ac:dyDescent="0.3">
      <c r="B2" s="31" t="s">
        <v>41</v>
      </c>
      <c r="C2" s="31"/>
      <c r="D2" s="31"/>
      <c r="E2" s="31"/>
      <c r="F2" s="31"/>
      <c r="G2" s="31"/>
      <c r="H2" s="31"/>
      <c r="I2" s="31"/>
    </row>
    <row r="13" spans="1:9" x14ac:dyDescent="0.25">
      <c r="A13" s="3"/>
    </row>
    <row r="14" spans="1:9" s="5" customFormat="1" x14ac:dyDescent="0.25">
      <c r="A14" s="1"/>
      <c r="B14" s="4"/>
    </row>
    <row r="15" spans="1:9" x14ac:dyDescent="0.25">
      <c r="B15" s="4"/>
    </row>
    <row r="16" spans="1:9" x14ac:dyDescent="0.25">
      <c r="B16" s="4"/>
    </row>
    <row r="17" spans="1:2" ht="12.75" customHeight="1" x14ac:dyDescent="0.25">
      <c r="B17" s="4"/>
    </row>
    <row r="18" spans="1:2" x14ac:dyDescent="0.25">
      <c r="B18" s="4"/>
    </row>
    <row r="19" spans="1:2" x14ac:dyDescent="0.25">
      <c r="B19" s="4"/>
    </row>
    <row r="20" spans="1:2" ht="12.75" customHeight="1" x14ac:dyDescent="0.25">
      <c r="A20" s="3"/>
      <c r="B20" s="4"/>
    </row>
    <row r="21" spans="1:2" ht="12.75" customHeight="1" x14ac:dyDescent="0.25">
      <c r="B21" s="4"/>
    </row>
    <row r="24" spans="1:2" ht="12.75" customHeight="1" x14ac:dyDescent="0.25"/>
    <row r="25" spans="1:2" ht="12.75" customHeight="1" x14ac:dyDescent="0.25"/>
    <row r="28" spans="1:2" ht="12.75" customHeight="1" x14ac:dyDescent="0.25"/>
    <row r="29" spans="1:2" ht="12.75" customHeight="1" x14ac:dyDescent="0.25"/>
    <row r="32" spans="1:2" ht="12.75" customHeight="1" x14ac:dyDescent="0.25"/>
    <row r="33" ht="12.75" customHeight="1" x14ac:dyDescent="0.25"/>
    <row r="34" ht="12.75" customHeight="1" x14ac:dyDescent="0.25"/>
    <row r="36" ht="12.75" customHeight="1" x14ac:dyDescent="0.25"/>
    <row r="38" ht="12.75" customHeight="1" x14ac:dyDescent="0.25"/>
    <row r="40" ht="12.75" customHeight="1" x14ac:dyDescent="0.25"/>
    <row r="42" ht="12.75" customHeight="1" x14ac:dyDescent="0.25"/>
    <row r="44" ht="12.75" customHeight="1" x14ac:dyDescent="0.25"/>
    <row r="46" ht="12.75" customHeight="1" x14ac:dyDescent="0.25"/>
    <row r="49" ht="12.75" customHeight="1" x14ac:dyDescent="0.25"/>
    <row r="50" ht="12.75" customHeight="1" x14ac:dyDescent="0.25"/>
    <row r="52" ht="12.75" customHeight="1" x14ac:dyDescent="0.25"/>
    <row r="54" ht="12.75" customHeight="1" x14ac:dyDescent="0.25"/>
    <row r="56" ht="12.75" customHeight="1" x14ac:dyDescent="0.25"/>
    <row r="58" ht="12.75" customHeight="1" x14ac:dyDescent="0.25"/>
    <row r="61" ht="12.75" customHeight="1" x14ac:dyDescent="0.25"/>
    <row r="62" ht="12.75" customHeight="1" x14ac:dyDescent="0.25"/>
  </sheetData>
  <mergeCells count="1">
    <mergeCell ref="B2:I2"/>
  </mergeCells>
  <phoneticPr fontId="0" type="noConversion"/>
  <pageMargins left="0.75" right="0.75" top="1" bottom="1" header="0.5" footer="0.5"/>
  <pageSetup scale="8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autoFill="0" autoPict="0" macro="[0]!Module1.MainStockQuery">
                <anchor moveWithCells="1" sizeWithCells="1">
                  <from>
                    <xdr:col>3</xdr:col>
                    <xdr:colOff>352425</xdr:colOff>
                    <xdr:row>2</xdr:row>
                    <xdr:rowOff>114300</xdr:rowOff>
                  </from>
                  <to>
                    <xdr:col>6</xdr:col>
                    <xdr:colOff>381000</xdr:colOff>
                    <xdr:row>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Stocks">
    <pageSetUpPr fitToPage="1"/>
  </sheetPr>
  <dimension ref="A1:C29"/>
  <sheetViews>
    <sheetView workbookViewId="0"/>
  </sheetViews>
  <sheetFormatPr defaultRowHeight="15" x14ac:dyDescent="0.25"/>
  <cols>
    <col min="1" max="1" width="9.140625" style="7"/>
    <col min="2" max="2" width="28.42578125" style="7" customWidth="1"/>
    <col min="3" max="16384" width="9.140625" style="7"/>
  </cols>
  <sheetData>
    <row r="1" spans="1:2" x14ac:dyDescent="0.25">
      <c r="A1" s="6" t="s">
        <v>0</v>
      </c>
    </row>
    <row r="3" spans="1:2" x14ac:dyDescent="0.25">
      <c r="A3" s="7" t="s">
        <v>1</v>
      </c>
      <c r="B3" s="7" t="s">
        <v>2</v>
      </c>
    </row>
    <row r="4" spans="1:2" x14ac:dyDescent="0.25">
      <c r="A4" s="7" t="s">
        <v>3</v>
      </c>
      <c r="B4" s="7" t="s">
        <v>43</v>
      </c>
    </row>
    <row r="5" spans="1:2" x14ac:dyDescent="0.25">
      <c r="A5" s="7" t="s">
        <v>46</v>
      </c>
      <c r="B5" s="7" t="s">
        <v>47</v>
      </c>
    </row>
    <row r="6" spans="1:2" x14ac:dyDescent="0.25">
      <c r="A6" s="7" t="s">
        <v>4</v>
      </c>
      <c r="B6" s="7" t="s">
        <v>5</v>
      </c>
    </row>
    <row r="7" spans="1:2" x14ac:dyDescent="0.25">
      <c r="A7" s="7" t="s">
        <v>6</v>
      </c>
      <c r="B7" s="7" t="s">
        <v>7</v>
      </c>
    </row>
    <row r="8" spans="1:2" x14ac:dyDescent="0.25">
      <c r="A8" s="7" t="s">
        <v>8</v>
      </c>
      <c r="B8" s="7" t="s">
        <v>9</v>
      </c>
    </row>
    <row r="9" spans="1:2" x14ac:dyDescent="0.25">
      <c r="A9" s="7" t="s">
        <v>44</v>
      </c>
      <c r="B9" s="7" t="s">
        <v>45</v>
      </c>
    </row>
    <row r="10" spans="1:2" x14ac:dyDescent="0.25">
      <c r="A10" s="8" t="s">
        <v>10</v>
      </c>
      <c r="B10" s="8" t="s">
        <v>11</v>
      </c>
    </row>
    <row r="11" spans="1:2" x14ac:dyDescent="0.25">
      <c r="A11" s="8" t="s">
        <v>48</v>
      </c>
      <c r="B11" s="8" t="s">
        <v>49</v>
      </c>
    </row>
    <row r="12" spans="1:2" x14ac:dyDescent="0.25">
      <c r="A12" s="7" t="s">
        <v>12</v>
      </c>
      <c r="B12" s="7" t="s">
        <v>13</v>
      </c>
    </row>
    <row r="13" spans="1:2" x14ac:dyDescent="0.25">
      <c r="A13" s="7" t="s">
        <v>14</v>
      </c>
      <c r="B13" s="7" t="s">
        <v>15</v>
      </c>
    </row>
    <row r="14" spans="1:2" x14ac:dyDescent="0.25">
      <c r="A14" s="7" t="s">
        <v>16</v>
      </c>
      <c r="B14" s="7" t="s">
        <v>17</v>
      </c>
    </row>
    <row r="15" spans="1:2" x14ac:dyDescent="0.25">
      <c r="A15" s="7" t="s">
        <v>74</v>
      </c>
      <c r="B15" s="7" t="s">
        <v>50</v>
      </c>
    </row>
    <row r="16" spans="1:2" x14ac:dyDescent="0.25">
      <c r="A16" s="7" t="s">
        <v>18</v>
      </c>
      <c r="B16" s="7" t="s">
        <v>42</v>
      </c>
    </row>
    <row r="17" spans="1:3" x14ac:dyDescent="0.25">
      <c r="A17" s="7" t="s">
        <v>19</v>
      </c>
      <c r="B17" s="7" t="s">
        <v>20</v>
      </c>
    </row>
    <row r="18" spans="1:3" x14ac:dyDescent="0.25">
      <c r="A18" s="7" t="s">
        <v>21</v>
      </c>
      <c r="B18" s="7" t="s">
        <v>22</v>
      </c>
    </row>
    <row r="19" spans="1:3" x14ac:dyDescent="0.25">
      <c r="A19" s="7" t="s">
        <v>23</v>
      </c>
      <c r="B19" s="7" t="s">
        <v>24</v>
      </c>
    </row>
    <row r="20" spans="1:3" x14ac:dyDescent="0.25">
      <c r="A20" s="7" t="s">
        <v>25</v>
      </c>
      <c r="B20" s="7" t="s">
        <v>26</v>
      </c>
    </row>
    <row r="21" spans="1:3" x14ac:dyDescent="0.25">
      <c r="A21" s="7" t="s">
        <v>27</v>
      </c>
      <c r="B21" s="7" t="s">
        <v>28</v>
      </c>
    </row>
    <row r="22" spans="1:3" x14ac:dyDescent="0.25">
      <c r="A22" s="7" t="s">
        <v>29</v>
      </c>
      <c r="B22" s="7" t="s">
        <v>30</v>
      </c>
    </row>
    <row r="23" spans="1:3" x14ac:dyDescent="0.25">
      <c r="A23" s="7" t="s">
        <v>31</v>
      </c>
      <c r="B23" s="7" t="s">
        <v>76</v>
      </c>
      <c r="C23" s="7" t="s">
        <v>77</v>
      </c>
    </row>
    <row r="24" spans="1:3" x14ac:dyDescent="0.25">
      <c r="A24" s="7" t="s">
        <v>32</v>
      </c>
      <c r="B24" s="7" t="s">
        <v>33</v>
      </c>
    </row>
    <row r="25" spans="1:3" x14ac:dyDescent="0.25">
      <c r="A25" s="7" t="s">
        <v>51</v>
      </c>
      <c r="B25" s="7" t="s">
        <v>52</v>
      </c>
    </row>
    <row r="26" spans="1:3" x14ac:dyDescent="0.25">
      <c r="A26" s="7" t="s">
        <v>34</v>
      </c>
      <c r="B26" s="7" t="s">
        <v>35</v>
      </c>
    </row>
    <row r="27" spans="1:3" x14ac:dyDescent="0.25">
      <c r="A27" s="7" t="s">
        <v>36</v>
      </c>
      <c r="B27" s="7" t="s">
        <v>37</v>
      </c>
    </row>
    <row r="28" spans="1:3" x14ac:dyDescent="0.25">
      <c r="A28" s="7" t="s">
        <v>38</v>
      </c>
      <c r="B28" s="7" t="s">
        <v>39</v>
      </c>
    </row>
    <row r="29" spans="1:3" x14ac:dyDescent="0.25">
      <c r="A29" s="7" t="s">
        <v>40</v>
      </c>
      <c r="B29" s="7" t="s">
        <v>73</v>
      </c>
    </row>
  </sheetData>
  <phoneticPr fontId="0" type="noConversion"/>
  <printOptions headings="1" gridLines="1"/>
  <pageMargins left="0.75" right="0.75" top="1" bottom="1" header="0.5" footer="0.5"/>
  <pageSetup scale="72"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ClosingPricesFixed"/>
  <dimension ref="A1:S136"/>
  <sheetViews>
    <sheetView workbookViewId="0"/>
  </sheetViews>
  <sheetFormatPr defaultRowHeight="15" x14ac:dyDescent="0.25"/>
  <cols>
    <col min="1" max="16384" width="9.140625" style="16"/>
  </cols>
  <sheetData>
    <row r="1" spans="1:19" x14ac:dyDescent="0.25">
      <c r="A1" s="22" t="s">
        <v>79</v>
      </c>
      <c r="B1" s="23"/>
      <c r="C1" s="23"/>
      <c r="D1" s="23"/>
      <c r="E1" s="23"/>
      <c r="F1" s="23"/>
      <c r="G1" s="23"/>
      <c r="H1" s="23"/>
      <c r="I1" s="23"/>
      <c r="J1" s="23"/>
      <c r="K1" s="23"/>
      <c r="L1" s="23"/>
      <c r="M1" s="23"/>
      <c r="N1" s="23"/>
      <c r="O1" s="23"/>
      <c r="P1" s="23"/>
      <c r="Q1" s="23"/>
      <c r="R1" s="23"/>
    </row>
    <row r="2" spans="1:19" x14ac:dyDescent="0.25">
      <c r="A2" s="24"/>
      <c r="B2" s="23"/>
      <c r="C2" s="23"/>
      <c r="D2" s="23"/>
      <c r="E2" s="23"/>
      <c r="F2" s="23"/>
      <c r="G2" s="23"/>
      <c r="H2" s="23"/>
      <c r="I2" s="23"/>
      <c r="J2" s="23"/>
      <c r="K2" s="23"/>
      <c r="L2" s="23"/>
      <c r="M2" s="23"/>
      <c r="N2" s="23"/>
      <c r="O2" s="23"/>
      <c r="P2" s="23"/>
      <c r="Q2" s="23"/>
      <c r="R2" s="23"/>
    </row>
    <row r="3" spans="1:19" x14ac:dyDescent="0.25">
      <c r="A3" s="27" t="s">
        <v>75</v>
      </c>
      <c r="B3" s="25" t="s">
        <v>3</v>
      </c>
      <c r="C3" s="25" t="s">
        <v>46</v>
      </c>
      <c r="D3" s="25" t="s">
        <v>6</v>
      </c>
      <c r="E3" s="25" t="s">
        <v>8</v>
      </c>
      <c r="F3" s="25" t="s">
        <v>10</v>
      </c>
      <c r="G3" s="25" t="s">
        <v>48</v>
      </c>
      <c r="H3" s="25" t="s">
        <v>12</v>
      </c>
      <c r="I3" s="25" t="s">
        <v>18</v>
      </c>
      <c r="J3" s="25" t="s">
        <v>21</v>
      </c>
      <c r="K3" s="25" t="s">
        <v>25</v>
      </c>
      <c r="L3" s="25" t="s">
        <v>27</v>
      </c>
      <c r="M3" s="25" t="s">
        <v>31</v>
      </c>
      <c r="N3" s="25" t="s">
        <v>32</v>
      </c>
      <c r="O3" s="25" t="s">
        <v>51</v>
      </c>
      <c r="P3" s="25" t="s">
        <v>34</v>
      </c>
      <c r="Q3" s="25" t="s">
        <v>36</v>
      </c>
      <c r="R3" s="25" t="s">
        <v>40</v>
      </c>
      <c r="S3" s="18"/>
    </row>
    <row r="4" spans="1:19" x14ac:dyDescent="0.25">
      <c r="A4" s="28">
        <v>1</v>
      </c>
      <c r="B4" s="26">
        <v>7.19</v>
      </c>
      <c r="C4" s="26">
        <v>12.25</v>
      </c>
      <c r="D4" s="26">
        <v>36.5</v>
      </c>
      <c r="E4" s="26">
        <v>26.76</v>
      </c>
      <c r="F4" s="26">
        <v>18.45</v>
      </c>
      <c r="G4" s="26">
        <v>19.350000000000001</v>
      </c>
      <c r="H4" s="26">
        <v>49.24</v>
      </c>
      <c r="I4" s="26">
        <v>82.22</v>
      </c>
      <c r="J4" s="26">
        <v>48</v>
      </c>
      <c r="K4" s="26">
        <v>18.11</v>
      </c>
      <c r="L4" s="26">
        <v>48.61</v>
      </c>
      <c r="M4" s="26">
        <v>11.94</v>
      </c>
      <c r="N4" s="26">
        <v>22.58</v>
      </c>
      <c r="O4" s="26">
        <v>14.74</v>
      </c>
      <c r="P4" s="26">
        <v>45.81</v>
      </c>
      <c r="Q4" s="26">
        <v>18.05</v>
      </c>
      <c r="R4" s="26">
        <v>41</v>
      </c>
    </row>
    <row r="5" spans="1:19" x14ac:dyDescent="0.25">
      <c r="A5" s="28">
        <v>2</v>
      </c>
      <c r="B5" s="26">
        <v>7.19</v>
      </c>
      <c r="C5" s="26">
        <v>12.25</v>
      </c>
      <c r="D5" s="26">
        <v>36.5</v>
      </c>
      <c r="E5" s="26">
        <v>26.76</v>
      </c>
      <c r="F5" s="26">
        <v>18.45</v>
      </c>
      <c r="G5" s="26">
        <v>19.350000000000001</v>
      </c>
      <c r="H5" s="26">
        <v>49.24</v>
      </c>
      <c r="I5" s="26">
        <v>82.22</v>
      </c>
      <c r="J5" s="26">
        <v>48</v>
      </c>
      <c r="K5" s="26">
        <v>18.11</v>
      </c>
      <c r="L5" s="26">
        <v>48.61</v>
      </c>
      <c r="M5" s="26">
        <v>11.94</v>
      </c>
      <c r="N5" s="26">
        <v>22.58</v>
      </c>
      <c r="O5" s="26">
        <v>14.74</v>
      </c>
      <c r="P5" s="26">
        <v>45.81</v>
      </c>
      <c r="Q5" s="26">
        <v>18.05</v>
      </c>
      <c r="R5" s="26">
        <v>41</v>
      </c>
    </row>
    <row r="6" spans="1:19" x14ac:dyDescent="0.25">
      <c r="A6" s="28">
        <v>3</v>
      </c>
      <c r="B6" s="26">
        <v>5.87</v>
      </c>
      <c r="C6" s="26">
        <v>12.13</v>
      </c>
      <c r="D6" s="26">
        <v>27.39</v>
      </c>
      <c r="E6" s="26">
        <v>21.35</v>
      </c>
      <c r="F6" s="26">
        <v>15.34</v>
      </c>
      <c r="G6" s="26">
        <v>15.69</v>
      </c>
      <c r="H6" s="26">
        <v>41.77</v>
      </c>
      <c r="I6" s="26">
        <v>83.01</v>
      </c>
      <c r="J6" s="26">
        <v>41.95</v>
      </c>
      <c r="K6" s="26">
        <v>17.32</v>
      </c>
      <c r="L6" s="26">
        <v>44.18</v>
      </c>
      <c r="M6" s="26">
        <v>11.14</v>
      </c>
      <c r="N6" s="26">
        <v>19.14</v>
      </c>
      <c r="O6" s="26">
        <v>14.02</v>
      </c>
      <c r="P6" s="26">
        <v>40.49</v>
      </c>
      <c r="Q6" s="26">
        <v>17.43</v>
      </c>
      <c r="R6" s="26">
        <v>42.85</v>
      </c>
    </row>
    <row r="7" spans="1:19" x14ac:dyDescent="0.25">
      <c r="A7" s="28">
        <v>4</v>
      </c>
      <c r="B7" s="26">
        <v>6.92</v>
      </c>
      <c r="C7" s="26">
        <v>14.28</v>
      </c>
      <c r="D7" s="26">
        <v>31</v>
      </c>
      <c r="E7" s="26">
        <v>24.26</v>
      </c>
      <c r="F7" s="26">
        <v>18.260000000000002</v>
      </c>
      <c r="G7" s="26">
        <v>16.989999999999998</v>
      </c>
      <c r="H7" s="26">
        <v>43.14</v>
      </c>
      <c r="I7" s="26">
        <v>87.39</v>
      </c>
      <c r="J7" s="26">
        <v>44.13</v>
      </c>
      <c r="K7" s="26">
        <v>18.829999999999998</v>
      </c>
      <c r="L7" s="26">
        <v>46.14</v>
      </c>
      <c r="M7" s="26">
        <v>11.79</v>
      </c>
      <c r="N7" s="26">
        <v>21.51</v>
      </c>
      <c r="O7" s="26">
        <v>15.94</v>
      </c>
      <c r="P7" s="26">
        <v>39.58</v>
      </c>
      <c r="Q7" s="26">
        <v>18.48</v>
      </c>
      <c r="R7" s="26">
        <v>45.59</v>
      </c>
    </row>
    <row r="8" spans="1:19" x14ac:dyDescent="0.25">
      <c r="A8" s="28">
        <v>5</v>
      </c>
      <c r="B8" s="26">
        <v>8.5500000000000007</v>
      </c>
      <c r="C8" s="26">
        <v>17.100000000000001</v>
      </c>
      <c r="D8" s="26">
        <v>34.9</v>
      </c>
      <c r="E8" s="26">
        <v>31.27</v>
      </c>
      <c r="F8" s="26">
        <v>22.81</v>
      </c>
      <c r="G8" s="26">
        <v>20.49</v>
      </c>
      <c r="H8" s="26">
        <v>54.26</v>
      </c>
      <c r="I8" s="26">
        <v>93.09</v>
      </c>
      <c r="J8" s="26">
        <v>43.93</v>
      </c>
      <c r="K8" s="26">
        <v>18.440000000000001</v>
      </c>
      <c r="L8" s="26">
        <v>45.06</v>
      </c>
      <c r="M8" s="26">
        <v>12.02</v>
      </c>
      <c r="N8" s="26">
        <v>19.5</v>
      </c>
      <c r="O8" s="26">
        <v>17.579999999999998</v>
      </c>
      <c r="P8" s="26">
        <v>41.92</v>
      </c>
      <c r="Q8" s="26">
        <v>19.079999999999998</v>
      </c>
      <c r="R8" s="26">
        <v>44.1</v>
      </c>
    </row>
    <row r="9" spans="1:19" x14ac:dyDescent="0.25">
      <c r="A9" s="28">
        <v>6</v>
      </c>
      <c r="B9" s="26">
        <v>8.7200000000000006</v>
      </c>
      <c r="C9" s="26">
        <v>18.45</v>
      </c>
      <c r="D9" s="26">
        <v>39.46</v>
      </c>
      <c r="E9" s="26">
        <v>31.16</v>
      </c>
      <c r="F9" s="26">
        <v>23.62</v>
      </c>
      <c r="G9" s="26">
        <v>22.66</v>
      </c>
      <c r="H9" s="26">
        <v>53.75</v>
      </c>
      <c r="I9" s="26">
        <v>96.36</v>
      </c>
      <c r="J9" s="26">
        <v>46.69</v>
      </c>
      <c r="K9" s="26">
        <v>21.06</v>
      </c>
      <c r="L9" s="26">
        <v>49.88</v>
      </c>
      <c r="M9" s="26">
        <v>12.58</v>
      </c>
      <c r="N9" s="26">
        <v>22.18</v>
      </c>
      <c r="O9" s="26">
        <v>18.25</v>
      </c>
      <c r="P9" s="26">
        <v>44.04</v>
      </c>
      <c r="Q9" s="26">
        <v>18.46</v>
      </c>
      <c r="R9" s="26">
        <v>43.76</v>
      </c>
    </row>
    <row r="10" spans="1:19" x14ac:dyDescent="0.25">
      <c r="A10" s="28">
        <v>7</v>
      </c>
      <c r="B10" s="26">
        <v>9.76</v>
      </c>
      <c r="C10" s="26">
        <v>19.350000000000001</v>
      </c>
      <c r="D10" s="26">
        <v>37.39</v>
      </c>
      <c r="E10" s="26">
        <v>29.03</v>
      </c>
      <c r="F10" s="26">
        <v>21.26</v>
      </c>
      <c r="G10" s="26">
        <v>21.83</v>
      </c>
      <c r="H10" s="26">
        <v>54.05</v>
      </c>
      <c r="I10" s="26">
        <v>94.68</v>
      </c>
      <c r="J10" s="26">
        <v>48.08</v>
      </c>
      <c r="K10" s="26">
        <v>20.73</v>
      </c>
      <c r="L10" s="26">
        <v>49.01</v>
      </c>
      <c r="M10" s="26">
        <v>12.3</v>
      </c>
      <c r="N10" s="26">
        <v>22.8</v>
      </c>
      <c r="O10" s="26">
        <v>20.76</v>
      </c>
      <c r="P10" s="26">
        <v>43.33</v>
      </c>
      <c r="Q10" s="26">
        <v>18.5</v>
      </c>
      <c r="R10" s="26">
        <v>42.62</v>
      </c>
    </row>
    <row r="11" spans="1:19" x14ac:dyDescent="0.25">
      <c r="A11" s="28">
        <v>8</v>
      </c>
      <c r="B11" s="26">
        <v>11.12</v>
      </c>
      <c r="C11" s="26">
        <v>22.2</v>
      </c>
      <c r="D11" s="26">
        <v>37.76</v>
      </c>
      <c r="E11" s="26">
        <v>39.200000000000003</v>
      </c>
      <c r="F11" s="26">
        <v>25.66</v>
      </c>
      <c r="G11" s="26">
        <v>23.5</v>
      </c>
      <c r="H11" s="26">
        <v>65.92</v>
      </c>
      <c r="I11" s="26">
        <v>106.93</v>
      </c>
      <c r="J11" s="26">
        <v>51.54</v>
      </c>
      <c r="K11" s="26">
        <v>21.53</v>
      </c>
      <c r="L11" s="26">
        <v>46.94</v>
      </c>
      <c r="M11" s="26">
        <v>13.15</v>
      </c>
      <c r="N11" s="26">
        <v>24.47</v>
      </c>
      <c r="O11" s="26">
        <v>20.54</v>
      </c>
      <c r="P11" s="26">
        <v>47.44</v>
      </c>
      <c r="Q11" s="26">
        <v>19.87</v>
      </c>
      <c r="R11" s="26">
        <v>43.88</v>
      </c>
    </row>
    <row r="12" spans="1:19" x14ac:dyDescent="0.25">
      <c r="A12" s="28">
        <v>9</v>
      </c>
      <c r="B12" s="26">
        <v>11.42</v>
      </c>
      <c r="C12" s="26">
        <v>22.85</v>
      </c>
      <c r="D12" s="26">
        <v>44.12</v>
      </c>
      <c r="E12" s="26">
        <v>40.32</v>
      </c>
      <c r="F12" s="26">
        <v>26.83</v>
      </c>
      <c r="G12" s="26">
        <v>24.36</v>
      </c>
      <c r="H12" s="26">
        <v>66.77</v>
      </c>
      <c r="I12" s="26">
        <v>107.54</v>
      </c>
      <c r="J12" s="26">
        <v>51.57</v>
      </c>
      <c r="K12" s="26">
        <v>21.07</v>
      </c>
      <c r="L12" s="26">
        <v>48.37</v>
      </c>
      <c r="M12" s="26">
        <v>13.71</v>
      </c>
      <c r="N12" s="26">
        <v>26.45</v>
      </c>
      <c r="O12" s="26">
        <v>21.65</v>
      </c>
      <c r="P12" s="26">
        <v>46.24</v>
      </c>
      <c r="Q12" s="26">
        <v>19.73</v>
      </c>
      <c r="R12" s="26">
        <v>45</v>
      </c>
    </row>
    <row r="13" spans="1:19" x14ac:dyDescent="0.25">
      <c r="A13" s="28">
        <v>10</v>
      </c>
      <c r="B13" s="26">
        <v>12.43</v>
      </c>
      <c r="C13" s="26">
        <v>25.18</v>
      </c>
      <c r="D13" s="26">
        <v>48.1</v>
      </c>
      <c r="E13" s="26">
        <v>45.67</v>
      </c>
      <c r="F13" s="26">
        <v>27</v>
      </c>
      <c r="G13" s="26">
        <v>25.69</v>
      </c>
      <c r="H13" s="26">
        <v>73.209999999999994</v>
      </c>
      <c r="I13" s="26">
        <v>108.96</v>
      </c>
      <c r="J13" s="26">
        <v>51.96</v>
      </c>
      <c r="K13" s="26">
        <v>23.39</v>
      </c>
      <c r="L13" s="26">
        <v>49.09</v>
      </c>
      <c r="M13" s="26">
        <v>13.61</v>
      </c>
      <c r="N13" s="26">
        <v>26.11</v>
      </c>
      <c r="O13" s="26">
        <v>22.59</v>
      </c>
      <c r="P13" s="26">
        <v>49.5</v>
      </c>
      <c r="Q13" s="26">
        <v>20.46</v>
      </c>
      <c r="R13" s="26">
        <v>43.43</v>
      </c>
    </row>
    <row r="14" spans="1:19" x14ac:dyDescent="0.25">
      <c r="A14" s="28">
        <v>11</v>
      </c>
      <c r="B14" s="26">
        <v>11.77</v>
      </c>
      <c r="C14" s="26">
        <v>25.61</v>
      </c>
      <c r="D14" s="26">
        <v>42.46</v>
      </c>
      <c r="E14" s="26">
        <v>49.35</v>
      </c>
      <c r="F14" s="26">
        <v>26.73</v>
      </c>
      <c r="G14" s="26">
        <v>25.61</v>
      </c>
      <c r="H14" s="26">
        <v>70.739999999999995</v>
      </c>
      <c r="I14" s="26">
        <v>109.87</v>
      </c>
      <c r="J14" s="26">
        <v>50.39</v>
      </c>
      <c r="K14" s="26">
        <v>23.22</v>
      </c>
      <c r="L14" s="26">
        <v>50.41</v>
      </c>
      <c r="M14" s="26">
        <v>13.84</v>
      </c>
      <c r="N14" s="26">
        <v>25.53</v>
      </c>
      <c r="O14" s="26">
        <v>24.36</v>
      </c>
      <c r="P14" s="26">
        <v>49.95</v>
      </c>
      <c r="Q14" s="26">
        <v>19.739999999999998</v>
      </c>
      <c r="R14" s="26">
        <v>43.95</v>
      </c>
    </row>
    <row r="15" spans="1:19" x14ac:dyDescent="0.25">
      <c r="A15" s="28">
        <v>12</v>
      </c>
      <c r="B15" s="26">
        <v>11.89</v>
      </c>
      <c r="C15" s="26">
        <v>27.16</v>
      </c>
      <c r="D15" s="26">
        <v>46.97</v>
      </c>
      <c r="E15" s="26">
        <v>52.33</v>
      </c>
      <c r="F15" s="26">
        <v>29.4</v>
      </c>
      <c r="G15" s="26">
        <v>28.28</v>
      </c>
      <c r="H15" s="26">
        <v>82.19</v>
      </c>
      <c r="I15" s="26">
        <v>115.61</v>
      </c>
      <c r="J15" s="26">
        <v>54.04</v>
      </c>
      <c r="K15" s="26">
        <v>25.09</v>
      </c>
      <c r="L15" s="26">
        <v>54.87</v>
      </c>
      <c r="M15" s="26">
        <v>14.38</v>
      </c>
      <c r="N15" s="26">
        <v>29.89</v>
      </c>
      <c r="O15" s="26">
        <v>25.95</v>
      </c>
      <c r="P15" s="26">
        <v>53.69</v>
      </c>
      <c r="Q15" s="26">
        <v>20.72</v>
      </c>
      <c r="R15" s="26">
        <v>48.26</v>
      </c>
    </row>
    <row r="16" spans="1:19" x14ac:dyDescent="0.25">
      <c r="A16" s="28">
        <v>13</v>
      </c>
      <c r="B16" s="26">
        <v>15.31</v>
      </c>
      <c r="C16" s="26">
        <v>28.63</v>
      </c>
      <c r="D16" s="26">
        <v>48.51</v>
      </c>
      <c r="E16" s="26">
        <v>51.08</v>
      </c>
      <c r="F16" s="26">
        <v>28.63</v>
      </c>
      <c r="G16" s="26">
        <v>30.52</v>
      </c>
      <c r="H16" s="26">
        <v>81.319999999999993</v>
      </c>
      <c r="I16" s="26">
        <v>119.78</v>
      </c>
      <c r="J16" s="26">
        <v>55.39</v>
      </c>
      <c r="K16" s="26">
        <v>25</v>
      </c>
      <c r="L16" s="26">
        <v>54.17</v>
      </c>
      <c r="M16" s="26">
        <v>15.26</v>
      </c>
      <c r="N16" s="26">
        <v>30.47</v>
      </c>
      <c r="O16" s="26">
        <v>26.89</v>
      </c>
      <c r="P16" s="26">
        <v>52.21</v>
      </c>
      <c r="Q16" s="26">
        <v>21.56</v>
      </c>
      <c r="R16" s="26">
        <v>47.52</v>
      </c>
    </row>
    <row r="17" spans="1:18" x14ac:dyDescent="0.25">
      <c r="A17" s="28">
        <v>14</v>
      </c>
      <c r="B17" s="26">
        <v>12.09</v>
      </c>
      <c r="C17" s="26">
        <v>26.1</v>
      </c>
      <c r="D17" s="26">
        <v>54.31</v>
      </c>
      <c r="E17" s="26">
        <v>47.14</v>
      </c>
      <c r="F17" s="26">
        <v>27.73</v>
      </c>
      <c r="G17" s="26">
        <v>27.97</v>
      </c>
      <c r="H17" s="26">
        <v>76.349999999999994</v>
      </c>
      <c r="I17" s="26">
        <v>111.99</v>
      </c>
      <c r="J17" s="26">
        <v>54.06</v>
      </c>
      <c r="K17" s="26">
        <v>23.8</v>
      </c>
      <c r="L17" s="26">
        <v>54.16</v>
      </c>
      <c r="M17" s="26">
        <v>15.44</v>
      </c>
      <c r="N17" s="26">
        <v>31.83</v>
      </c>
      <c r="O17" s="26">
        <v>24.86</v>
      </c>
      <c r="P17" s="26">
        <v>53.38</v>
      </c>
      <c r="Q17" s="26">
        <v>19.79</v>
      </c>
      <c r="R17" s="26">
        <v>47.5</v>
      </c>
    </row>
    <row r="18" spans="1:18" x14ac:dyDescent="0.25">
      <c r="A18" s="28">
        <v>15</v>
      </c>
      <c r="B18" s="26">
        <v>12.66</v>
      </c>
      <c r="C18" s="26">
        <v>27.8</v>
      </c>
      <c r="D18" s="26">
        <v>56.99</v>
      </c>
      <c r="E18" s="26">
        <v>51.48</v>
      </c>
      <c r="F18" s="26">
        <v>29.03</v>
      </c>
      <c r="G18" s="26">
        <v>29.57</v>
      </c>
      <c r="H18" s="26">
        <v>82.59</v>
      </c>
      <c r="I18" s="26">
        <v>116.87</v>
      </c>
      <c r="J18" s="26">
        <v>54.6</v>
      </c>
      <c r="K18" s="26">
        <v>23.13</v>
      </c>
      <c r="L18" s="26">
        <v>55.86</v>
      </c>
      <c r="M18" s="26">
        <v>15.64</v>
      </c>
      <c r="N18" s="26">
        <v>30.75</v>
      </c>
      <c r="O18" s="26">
        <v>25.41</v>
      </c>
      <c r="P18" s="26">
        <v>54.88</v>
      </c>
      <c r="Q18" s="26">
        <v>19.37</v>
      </c>
      <c r="R18" s="26">
        <v>48.07</v>
      </c>
    </row>
    <row r="19" spans="1:18" x14ac:dyDescent="0.25">
      <c r="A19" s="28">
        <v>16</v>
      </c>
      <c r="B19" s="26">
        <v>13.55</v>
      </c>
      <c r="C19" s="26">
        <v>31.93</v>
      </c>
      <c r="D19" s="26">
        <v>65.510000000000005</v>
      </c>
      <c r="E19" s="26">
        <v>56.71</v>
      </c>
      <c r="F19" s="26">
        <v>32.06</v>
      </c>
      <c r="G19" s="26">
        <v>33.04</v>
      </c>
      <c r="H19" s="26">
        <v>91.13</v>
      </c>
      <c r="I19" s="26">
        <v>117.88</v>
      </c>
      <c r="J19" s="26">
        <v>56.5</v>
      </c>
      <c r="K19" s="26">
        <v>24.32</v>
      </c>
      <c r="L19" s="26">
        <v>58.37</v>
      </c>
      <c r="M19" s="26">
        <v>16.22</v>
      </c>
      <c r="N19" s="26">
        <v>31.47</v>
      </c>
      <c r="O19" s="26">
        <v>25.96</v>
      </c>
      <c r="P19" s="26">
        <v>54.88</v>
      </c>
      <c r="Q19" s="26">
        <v>20.170000000000002</v>
      </c>
      <c r="R19" s="26">
        <v>49.71</v>
      </c>
    </row>
    <row r="20" spans="1:18" x14ac:dyDescent="0.25">
      <c r="A20" s="28">
        <v>17</v>
      </c>
      <c r="B20" s="26">
        <v>12.78</v>
      </c>
      <c r="C20" s="26">
        <v>35.47</v>
      </c>
      <c r="D20" s="26">
        <v>65.349999999999994</v>
      </c>
      <c r="E20" s="26">
        <v>61.82</v>
      </c>
      <c r="F20" s="26">
        <v>34.299999999999997</v>
      </c>
      <c r="G20" s="26">
        <v>34.869999999999997</v>
      </c>
      <c r="H20" s="26">
        <v>87.82</v>
      </c>
      <c r="I20" s="26">
        <v>118.57</v>
      </c>
      <c r="J20" s="26">
        <v>55.72</v>
      </c>
      <c r="K20" s="26">
        <v>23.64</v>
      </c>
      <c r="L20" s="26">
        <v>61.76</v>
      </c>
      <c r="M20" s="26">
        <v>16.75</v>
      </c>
      <c r="N20" s="26">
        <v>29.52</v>
      </c>
      <c r="O20" s="26">
        <v>27.07</v>
      </c>
      <c r="P20" s="26">
        <v>54.33</v>
      </c>
      <c r="Q20" s="26">
        <v>20.67</v>
      </c>
      <c r="R20" s="26">
        <v>47.96</v>
      </c>
    </row>
    <row r="21" spans="1:18" x14ac:dyDescent="0.25">
      <c r="A21" s="28">
        <v>18</v>
      </c>
      <c r="B21" s="26">
        <v>11.11</v>
      </c>
      <c r="C21" s="26">
        <v>34.9</v>
      </c>
      <c r="D21" s="26">
        <v>58.24</v>
      </c>
      <c r="E21" s="26">
        <v>55.17</v>
      </c>
      <c r="F21" s="26">
        <v>31.48</v>
      </c>
      <c r="G21" s="26">
        <v>31.63</v>
      </c>
      <c r="H21" s="26">
        <v>81.459999999999994</v>
      </c>
      <c r="I21" s="26">
        <v>115.72</v>
      </c>
      <c r="J21" s="26">
        <v>50.99</v>
      </c>
      <c r="K21" s="26">
        <v>22.73</v>
      </c>
      <c r="L21" s="26">
        <v>58.99</v>
      </c>
      <c r="M21" s="26">
        <v>16.04</v>
      </c>
      <c r="N21" s="26">
        <v>28.39</v>
      </c>
      <c r="O21" s="26">
        <v>22.97</v>
      </c>
      <c r="P21" s="26">
        <v>53.39</v>
      </c>
      <c r="Q21" s="26">
        <v>19.28</v>
      </c>
      <c r="R21" s="26">
        <v>45.47</v>
      </c>
    </row>
    <row r="22" spans="1:18" x14ac:dyDescent="0.25">
      <c r="A22" s="28">
        <v>19</v>
      </c>
      <c r="B22" s="26">
        <v>9.6</v>
      </c>
      <c r="C22" s="26">
        <v>34.18</v>
      </c>
      <c r="D22" s="26">
        <v>56.95</v>
      </c>
      <c r="E22" s="26">
        <v>54.54</v>
      </c>
      <c r="F22" s="26">
        <v>30.11</v>
      </c>
      <c r="G22" s="26">
        <v>29.81</v>
      </c>
      <c r="H22" s="26">
        <v>68.510000000000005</v>
      </c>
      <c r="I22" s="26">
        <v>114.07</v>
      </c>
      <c r="J22" s="26">
        <v>51.65</v>
      </c>
      <c r="K22" s="26">
        <v>22.35</v>
      </c>
      <c r="L22" s="26">
        <v>58.11</v>
      </c>
      <c r="M22" s="26">
        <v>16.12</v>
      </c>
      <c r="N22" s="26">
        <v>29.79</v>
      </c>
      <c r="O22" s="26">
        <v>20.49</v>
      </c>
      <c r="P22" s="26">
        <v>52.42</v>
      </c>
      <c r="Q22" s="26">
        <v>19.190000000000001</v>
      </c>
      <c r="R22" s="26">
        <v>43.23</v>
      </c>
    </row>
    <row r="23" spans="1:18" x14ac:dyDescent="0.25">
      <c r="A23" s="28">
        <v>20</v>
      </c>
      <c r="B23" s="26">
        <v>10.66</v>
      </c>
      <c r="C23" s="26">
        <v>34.950000000000003</v>
      </c>
      <c r="D23" s="26">
        <v>61.84</v>
      </c>
      <c r="E23" s="26">
        <v>63.75</v>
      </c>
      <c r="F23" s="26">
        <v>35.4</v>
      </c>
      <c r="G23" s="26">
        <v>31.89</v>
      </c>
      <c r="H23" s="26">
        <v>80.66</v>
      </c>
      <c r="I23" s="26">
        <v>118.62</v>
      </c>
      <c r="J23" s="26">
        <v>50.8</v>
      </c>
      <c r="K23" s="26">
        <v>24.58</v>
      </c>
      <c r="L23" s="26">
        <v>61.52</v>
      </c>
      <c r="M23" s="26">
        <v>17.82</v>
      </c>
      <c r="N23" s="26">
        <v>29.36</v>
      </c>
      <c r="O23" s="26">
        <v>22.98</v>
      </c>
      <c r="P23" s="26">
        <v>53.87</v>
      </c>
      <c r="Q23" s="26">
        <v>20.94</v>
      </c>
      <c r="R23" s="26">
        <v>46.03</v>
      </c>
    </row>
    <row r="24" spans="1:18" x14ac:dyDescent="0.25">
      <c r="A24" s="28">
        <v>21</v>
      </c>
      <c r="B24" s="26">
        <v>9.7799999999999994</v>
      </c>
      <c r="C24" s="26">
        <v>33.03</v>
      </c>
      <c r="D24" s="26">
        <v>55.81</v>
      </c>
      <c r="E24" s="26">
        <v>59.56</v>
      </c>
      <c r="F24" s="26">
        <v>35.83</v>
      </c>
      <c r="G24" s="26">
        <v>30.8</v>
      </c>
      <c r="H24" s="26">
        <v>76.260000000000005</v>
      </c>
      <c r="I24" s="26">
        <v>114.31</v>
      </c>
      <c r="J24" s="26">
        <v>50.34</v>
      </c>
      <c r="K24" s="26">
        <v>24.92</v>
      </c>
      <c r="L24" s="26">
        <v>64.94</v>
      </c>
      <c r="M24" s="26">
        <v>17.95</v>
      </c>
      <c r="N24" s="26">
        <v>29.95</v>
      </c>
      <c r="O24" s="26">
        <v>21.01</v>
      </c>
      <c r="P24" s="26">
        <v>52.56</v>
      </c>
      <c r="Q24" s="26">
        <v>21.82</v>
      </c>
      <c r="R24" s="26">
        <v>45.35</v>
      </c>
    </row>
    <row r="25" spans="1:18" x14ac:dyDescent="0.25">
      <c r="A25" s="28">
        <v>22</v>
      </c>
      <c r="B25" s="26">
        <v>11.58</v>
      </c>
      <c r="C25" s="26">
        <v>38.549999999999997</v>
      </c>
      <c r="D25" s="26">
        <v>60.75</v>
      </c>
      <c r="E25" s="26">
        <v>71.91</v>
      </c>
      <c r="F25" s="26">
        <v>39.22</v>
      </c>
      <c r="G25" s="26">
        <v>31.33</v>
      </c>
      <c r="H25" s="26">
        <v>83.67</v>
      </c>
      <c r="I25" s="26">
        <v>124.54</v>
      </c>
      <c r="J25" s="26">
        <v>54.7</v>
      </c>
      <c r="K25" s="26">
        <v>26.3</v>
      </c>
      <c r="L25" s="26">
        <v>66.23</v>
      </c>
      <c r="M25" s="26">
        <v>19.63</v>
      </c>
      <c r="N25" s="26">
        <v>31.69</v>
      </c>
      <c r="O25" s="26">
        <v>21.92</v>
      </c>
      <c r="P25" s="26">
        <v>52.82</v>
      </c>
      <c r="Q25" s="26">
        <v>23.08</v>
      </c>
      <c r="R25" s="26">
        <v>48.41</v>
      </c>
    </row>
    <row r="26" spans="1:18" x14ac:dyDescent="0.25">
      <c r="A26" s="28">
        <v>23</v>
      </c>
      <c r="B26" s="26">
        <v>12.57</v>
      </c>
      <c r="C26" s="26">
        <v>40.89</v>
      </c>
      <c r="D26" s="26">
        <v>64.489999999999995</v>
      </c>
      <c r="E26" s="26">
        <v>72.239999999999995</v>
      </c>
      <c r="F26" s="26">
        <v>41.56</v>
      </c>
      <c r="G26" s="26">
        <v>34.200000000000003</v>
      </c>
      <c r="H26" s="26">
        <v>85.84</v>
      </c>
      <c r="I26" s="26">
        <v>133.32</v>
      </c>
      <c r="J26" s="26">
        <v>56.27</v>
      </c>
      <c r="K26" s="26">
        <v>27.55</v>
      </c>
      <c r="L26" s="26">
        <v>69.12</v>
      </c>
      <c r="M26" s="26">
        <v>20.78</v>
      </c>
      <c r="N26" s="26">
        <v>31.26</v>
      </c>
      <c r="O26" s="26">
        <v>23.87</v>
      </c>
      <c r="P26" s="26">
        <v>56.43</v>
      </c>
      <c r="Q26" s="26">
        <v>23.35</v>
      </c>
      <c r="R26" s="26">
        <v>49</v>
      </c>
    </row>
    <row r="27" spans="1:18" x14ac:dyDescent="0.25">
      <c r="A27" s="28">
        <v>24</v>
      </c>
      <c r="B27" s="26">
        <v>12.59</v>
      </c>
      <c r="C27" s="26">
        <v>42.28</v>
      </c>
      <c r="D27" s="26">
        <v>58.58</v>
      </c>
      <c r="E27" s="26">
        <v>77.75</v>
      </c>
      <c r="F27" s="26">
        <v>41.66</v>
      </c>
      <c r="G27" s="26">
        <v>34.549999999999997</v>
      </c>
      <c r="H27" s="26">
        <v>89.29</v>
      </c>
      <c r="I27" s="26">
        <v>131.91999999999999</v>
      </c>
      <c r="J27" s="26">
        <v>54.8</v>
      </c>
      <c r="K27" s="26">
        <v>28.58</v>
      </c>
      <c r="L27" s="26">
        <v>70.14</v>
      </c>
      <c r="M27" s="26">
        <v>19.62</v>
      </c>
      <c r="N27" s="26">
        <v>29.67</v>
      </c>
      <c r="O27" s="26">
        <v>22.75</v>
      </c>
      <c r="P27" s="26">
        <v>54.21</v>
      </c>
      <c r="Q27" s="26">
        <v>22.75</v>
      </c>
      <c r="R27" s="26">
        <v>48.93</v>
      </c>
    </row>
    <row r="28" spans="1:18" x14ac:dyDescent="0.25">
      <c r="A28" s="28">
        <v>25</v>
      </c>
      <c r="B28" s="26">
        <v>14.76</v>
      </c>
      <c r="C28" s="26">
        <v>43.83</v>
      </c>
      <c r="D28" s="26">
        <v>59.94</v>
      </c>
      <c r="E28" s="26">
        <v>86.08</v>
      </c>
      <c r="F28" s="26">
        <v>44.22</v>
      </c>
      <c r="G28" s="26">
        <v>35.89</v>
      </c>
      <c r="H28" s="26">
        <v>91.14</v>
      </c>
      <c r="I28" s="26">
        <v>136.86000000000001</v>
      </c>
      <c r="J28" s="26">
        <v>55.07</v>
      </c>
      <c r="K28" s="26">
        <v>29.76</v>
      </c>
      <c r="L28" s="26">
        <v>68.760000000000005</v>
      </c>
      <c r="M28" s="26">
        <v>20.43</v>
      </c>
      <c r="N28" s="26">
        <v>31.35</v>
      </c>
      <c r="O28" s="26">
        <v>25.14</v>
      </c>
      <c r="P28" s="26">
        <v>57.1</v>
      </c>
      <c r="Q28" s="26">
        <v>24.06</v>
      </c>
      <c r="R28" s="26">
        <v>49.05</v>
      </c>
    </row>
    <row r="29" spans="1:18" x14ac:dyDescent="0.25">
      <c r="A29" s="28">
        <v>26</v>
      </c>
      <c r="B29" s="26">
        <v>15.89</v>
      </c>
      <c r="C29" s="26">
        <v>46.1</v>
      </c>
      <c r="D29" s="26">
        <v>63.82</v>
      </c>
      <c r="E29" s="26">
        <v>89.58</v>
      </c>
      <c r="F29" s="26">
        <v>44.93</v>
      </c>
      <c r="G29" s="26">
        <v>37.19</v>
      </c>
      <c r="H29" s="26">
        <v>88.51</v>
      </c>
      <c r="I29" s="26">
        <v>151.07</v>
      </c>
      <c r="J29" s="26">
        <v>53.22</v>
      </c>
      <c r="K29" s="26">
        <v>28.44</v>
      </c>
      <c r="L29" s="26">
        <v>65.989999999999995</v>
      </c>
      <c r="M29" s="26">
        <v>19.510000000000002</v>
      </c>
      <c r="N29" s="26">
        <v>28.86</v>
      </c>
      <c r="O29" s="26">
        <v>24.97</v>
      </c>
      <c r="P29" s="26">
        <v>56.45</v>
      </c>
      <c r="Q29" s="26">
        <v>22.86</v>
      </c>
      <c r="R29" s="26">
        <v>51</v>
      </c>
    </row>
    <row r="30" spans="1:18" x14ac:dyDescent="0.25">
      <c r="A30" s="28">
        <v>27</v>
      </c>
      <c r="B30" s="26">
        <v>16.18</v>
      </c>
      <c r="C30" s="26">
        <v>47.99</v>
      </c>
      <c r="D30" s="26">
        <v>66.53</v>
      </c>
      <c r="E30" s="26">
        <v>95.04</v>
      </c>
      <c r="F30" s="26">
        <v>49.01</v>
      </c>
      <c r="G30" s="26">
        <v>41.85</v>
      </c>
      <c r="H30" s="26">
        <v>88.21</v>
      </c>
      <c r="I30" s="26">
        <v>151.56</v>
      </c>
      <c r="J30" s="26">
        <v>55.2</v>
      </c>
      <c r="K30" s="26">
        <v>28.92</v>
      </c>
      <c r="L30" s="26">
        <v>68.349999999999994</v>
      </c>
      <c r="M30" s="26">
        <v>21.05</v>
      </c>
      <c r="N30" s="26">
        <v>28.34</v>
      </c>
      <c r="O30" s="26">
        <v>24.08</v>
      </c>
      <c r="P30" s="26">
        <v>56.38</v>
      </c>
      <c r="Q30" s="26">
        <v>23.58</v>
      </c>
      <c r="R30" s="26">
        <v>47.28</v>
      </c>
    </row>
    <row r="31" spans="1:18" x14ac:dyDescent="0.25">
      <c r="A31" s="28">
        <v>28</v>
      </c>
      <c r="B31" s="26">
        <v>16.96</v>
      </c>
      <c r="C31" s="26">
        <v>47.35</v>
      </c>
      <c r="D31" s="26">
        <v>68.3</v>
      </c>
      <c r="E31" s="26">
        <v>102.82</v>
      </c>
      <c r="F31" s="26">
        <v>49.1</v>
      </c>
      <c r="G31" s="26">
        <v>41.23</v>
      </c>
      <c r="H31" s="26">
        <v>91.8</v>
      </c>
      <c r="I31" s="26">
        <v>152.66999999999999</v>
      </c>
      <c r="J31" s="26">
        <v>53.23</v>
      </c>
      <c r="K31" s="26">
        <v>30.23</v>
      </c>
      <c r="L31" s="26">
        <v>68.72</v>
      </c>
      <c r="M31" s="26">
        <v>21.93</v>
      </c>
      <c r="N31" s="26">
        <v>29.05</v>
      </c>
      <c r="O31" s="26">
        <v>23</v>
      </c>
      <c r="P31" s="26">
        <v>55.08</v>
      </c>
      <c r="Q31" s="26">
        <v>25.43</v>
      </c>
      <c r="R31" s="26">
        <v>47.67</v>
      </c>
    </row>
    <row r="32" spans="1:18" x14ac:dyDescent="0.25">
      <c r="A32" s="28">
        <v>29</v>
      </c>
      <c r="B32" s="26">
        <v>16.329999999999998</v>
      </c>
      <c r="C32" s="26">
        <v>47.57</v>
      </c>
      <c r="D32" s="26">
        <v>73.709999999999994</v>
      </c>
      <c r="E32" s="26">
        <v>107.01</v>
      </c>
      <c r="F32" s="26">
        <v>50.73</v>
      </c>
      <c r="G32" s="26">
        <v>41.24</v>
      </c>
      <c r="H32" s="26">
        <v>93.88</v>
      </c>
      <c r="I32" s="26">
        <v>159.69999999999999</v>
      </c>
      <c r="J32" s="26">
        <v>59.04</v>
      </c>
      <c r="K32" s="26">
        <v>30.74</v>
      </c>
      <c r="L32" s="26">
        <v>70.72</v>
      </c>
      <c r="M32" s="26">
        <v>22.61</v>
      </c>
      <c r="N32" s="26">
        <v>31.64</v>
      </c>
      <c r="O32" s="26">
        <v>23.48</v>
      </c>
      <c r="P32" s="26">
        <v>58.51</v>
      </c>
      <c r="Q32" s="26">
        <v>26.22</v>
      </c>
      <c r="R32" s="26">
        <v>50.36</v>
      </c>
    </row>
    <row r="33" spans="1:18" x14ac:dyDescent="0.25">
      <c r="A33" s="28">
        <v>30</v>
      </c>
      <c r="B33" s="26">
        <v>16.170000000000002</v>
      </c>
      <c r="C33" s="26">
        <v>47.26</v>
      </c>
      <c r="D33" s="26">
        <v>72.47</v>
      </c>
      <c r="E33" s="26">
        <v>98.1</v>
      </c>
      <c r="F33" s="26">
        <v>47.96</v>
      </c>
      <c r="G33" s="26">
        <v>39.83</v>
      </c>
      <c r="H33" s="26">
        <v>91.88</v>
      </c>
      <c r="I33" s="26">
        <v>158.86000000000001</v>
      </c>
      <c r="J33" s="26">
        <v>60.98</v>
      </c>
      <c r="K33" s="26">
        <v>30.45</v>
      </c>
      <c r="L33" s="26">
        <v>74.19</v>
      </c>
      <c r="M33" s="26">
        <v>23.64</v>
      </c>
      <c r="N33" s="26">
        <v>32.35</v>
      </c>
      <c r="O33" s="26">
        <v>22.81</v>
      </c>
      <c r="P33" s="26">
        <v>60.41</v>
      </c>
      <c r="Q33" s="26">
        <v>26.59</v>
      </c>
      <c r="R33" s="26">
        <v>50.91</v>
      </c>
    </row>
    <row r="34" spans="1:18" x14ac:dyDescent="0.25">
      <c r="A34" s="28">
        <v>31</v>
      </c>
      <c r="B34" s="26">
        <v>15.26</v>
      </c>
      <c r="C34" s="26">
        <v>45.61</v>
      </c>
      <c r="D34" s="26">
        <v>68.66</v>
      </c>
      <c r="E34" s="26">
        <v>98.71</v>
      </c>
      <c r="F34" s="26">
        <v>48.64</v>
      </c>
      <c r="G34" s="26">
        <v>37.35</v>
      </c>
      <c r="H34" s="26">
        <v>93.21</v>
      </c>
      <c r="I34" s="26">
        <v>161.33000000000001</v>
      </c>
      <c r="J34" s="26">
        <v>60.28</v>
      </c>
      <c r="K34" s="26">
        <v>30.89</v>
      </c>
      <c r="L34" s="26">
        <v>76.72</v>
      </c>
      <c r="M34" s="26">
        <v>22.56</v>
      </c>
      <c r="N34" s="26">
        <v>31.4</v>
      </c>
      <c r="O34" s="26">
        <v>23.71</v>
      </c>
      <c r="P34" s="26">
        <v>57.32</v>
      </c>
      <c r="Q34" s="26">
        <v>26.46</v>
      </c>
      <c r="R34" s="26">
        <v>48.99</v>
      </c>
    </row>
    <row r="35" spans="1:18" x14ac:dyDescent="0.25">
      <c r="A35" s="28">
        <v>32</v>
      </c>
      <c r="B35" s="26">
        <v>14.17</v>
      </c>
      <c r="C35" s="26">
        <v>53.05</v>
      </c>
      <c r="D35" s="26">
        <v>65.45</v>
      </c>
      <c r="E35" s="26">
        <v>91.99</v>
      </c>
      <c r="F35" s="26">
        <v>46.27</v>
      </c>
      <c r="G35" s="26">
        <v>36.950000000000003</v>
      </c>
      <c r="H35" s="26">
        <v>85.38</v>
      </c>
      <c r="I35" s="26">
        <v>171.01</v>
      </c>
      <c r="J35" s="26">
        <v>58.71</v>
      </c>
      <c r="K35" s="26">
        <v>31.22</v>
      </c>
      <c r="L35" s="26">
        <v>78.680000000000007</v>
      </c>
      <c r="M35" s="26">
        <v>22.47</v>
      </c>
      <c r="N35" s="26">
        <v>30.37</v>
      </c>
      <c r="O35" s="26">
        <v>24.99</v>
      </c>
      <c r="P35" s="26">
        <v>55.89</v>
      </c>
      <c r="Q35" s="26">
        <v>24.99</v>
      </c>
      <c r="R35" s="26">
        <v>48.6</v>
      </c>
    </row>
    <row r="36" spans="1:18" x14ac:dyDescent="0.25">
      <c r="A36" s="28">
        <v>33</v>
      </c>
      <c r="B36" s="26">
        <v>12.34</v>
      </c>
      <c r="C36" s="26">
        <v>52.29</v>
      </c>
      <c r="D36" s="26">
        <v>62.52</v>
      </c>
      <c r="E36" s="26">
        <v>84.73</v>
      </c>
      <c r="F36" s="26">
        <v>43.84</v>
      </c>
      <c r="G36" s="26">
        <v>32.590000000000003</v>
      </c>
      <c r="H36" s="26">
        <v>77.36</v>
      </c>
      <c r="I36" s="26">
        <v>162.37</v>
      </c>
      <c r="J36" s="26">
        <v>60.16</v>
      </c>
      <c r="K36" s="26">
        <v>32.340000000000003</v>
      </c>
      <c r="L36" s="26">
        <v>82.81</v>
      </c>
      <c r="M36" s="26">
        <v>23.23</v>
      </c>
      <c r="N36" s="26">
        <v>29.45</v>
      </c>
      <c r="O36" s="26">
        <v>24.41</v>
      </c>
      <c r="P36" s="26">
        <v>57.89</v>
      </c>
      <c r="Q36" s="26">
        <v>24.33</v>
      </c>
      <c r="R36" s="26">
        <v>49.39</v>
      </c>
    </row>
    <row r="37" spans="1:18" x14ac:dyDescent="0.25">
      <c r="A37" s="28">
        <v>34</v>
      </c>
      <c r="B37" s="26">
        <v>9.23</v>
      </c>
      <c r="C37" s="26">
        <v>51.81</v>
      </c>
      <c r="D37" s="26">
        <v>56.58</v>
      </c>
      <c r="E37" s="26">
        <v>68.75</v>
      </c>
      <c r="F37" s="26">
        <v>36.299999999999997</v>
      </c>
      <c r="G37" s="26">
        <v>28.86</v>
      </c>
      <c r="H37" s="26">
        <v>66.62</v>
      </c>
      <c r="I37" s="26">
        <v>165.17</v>
      </c>
      <c r="J37" s="26">
        <v>58.23</v>
      </c>
      <c r="K37" s="26">
        <v>31.22</v>
      </c>
      <c r="L37" s="26">
        <v>80.44</v>
      </c>
      <c r="M37" s="26">
        <v>23.27</v>
      </c>
      <c r="N37" s="26">
        <v>29.44</v>
      </c>
      <c r="O37" s="26">
        <v>22.84</v>
      </c>
      <c r="P37" s="26">
        <v>57.43</v>
      </c>
      <c r="Q37" s="26">
        <v>24.36</v>
      </c>
      <c r="R37" s="26">
        <v>48.2</v>
      </c>
    </row>
    <row r="38" spans="1:18" x14ac:dyDescent="0.25">
      <c r="A38" s="28">
        <v>35</v>
      </c>
      <c r="B38" s="26">
        <v>10.37</v>
      </c>
      <c r="C38" s="26">
        <v>55</v>
      </c>
      <c r="D38" s="26">
        <v>61.52</v>
      </c>
      <c r="E38" s="26">
        <v>88.44</v>
      </c>
      <c r="F38" s="26">
        <v>43.66</v>
      </c>
      <c r="G38" s="26">
        <v>33.369999999999997</v>
      </c>
      <c r="H38" s="26">
        <v>80.55</v>
      </c>
      <c r="I38" s="26">
        <v>174.38</v>
      </c>
      <c r="J38" s="26">
        <v>58.87</v>
      </c>
      <c r="K38" s="26">
        <v>31.58</v>
      </c>
      <c r="L38" s="26">
        <v>85.05</v>
      </c>
      <c r="M38" s="26">
        <v>23.91</v>
      </c>
      <c r="N38" s="26">
        <v>31.06</v>
      </c>
      <c r="O38" s="26">
        <v>24.44</v>
      </c>
      <c r="P38" s="26">
        <v>58.64</v>
      </c>
      <c r="Q38" s="26">
        <v>25.42</v>
      </c>
      <c r="R38" s="26">
        <v>52.67</v>
      </c>
    </row>
    <row r="39" spans="1:18" x14ac:dyDescent="0.25">
      <c r="A39" s="28">
        <v>36</v>
      </c>
      <c r="B39" s="26">
        <v>9.69</v>
      </c>
      <c r="C39" s="26">
        <v>51.93</v>
      </c>
      <c r="D39" s="26">
        <v>64.64</v>
      </c>
      <c r="E39" s="26">
        <v>91.64</v>
      </c>
      <c r="F39" s="26">
        <v>43.72</v>
      </c>
      <c r="G39" s="26">
        <v>34.299999999999997</v>
      </c>
      <c r="H39" s="26">
        <v>81.78</v>
      </c>
      <c r="I39" s="26">
        <v>178.28</v>
      </c>
      <c r="J39" s="26">
        <v>59.72</v>
      </c>
      <c r="K39" s="26">
        <v>31.3</v>
      </c>
      <c r="L39" s="26">
        <v>88.15</v>
      </c>
      <c r="M39" s="26">
        <v>24.9</v>
      </c>
      <c r="N39" s="26">
        <v>32.19</v>
      </c>
      <c r="O39" s="26">
        <v>23.65</v>
      </c>
      <c r="P39" s="26">
        <v>59.17</v>
      </c>
      <c r="Q39" s="26">
        <v>25.13</v>
      </c>
      <c r="R39" s="26">
        <v>54.7</v>
      </c>
    </row>
    <row r="40" spans="1:18" x14ac:dyDescent="0.25">
      <c r="A40" s="28">
        <v>37</v>
      </c>
      <c r="B40" s="26">
        <v>8.36</v>
      </c>
      <c r="C40" s="26">
        <v>55.03</v>
      </c>
      <c r="D40" s="26">
        <v>69.02</v>
      </c>
      <c r="E40" s="26">
        <v>84.83</v>
      </c>
      <c r="F40" s="26">
        <v>41.94</v>
      </c>
      <c r="G40" s="26">
        <v>36.479999999999997</v>
      </c>
      <c r="H40" s="26">
        <v>82.34</v>
      </c>
      <c r="I40" s="26">
        <v>174.37</v>
      </c>
      <c r="J40" s="26">
        <v>60.52</v>
      </c>
      <c r="K40" s="26">
        <v>32.57</v>
      </c>
      <c r="L40" s="26">
        <v>92.59</v>
      </c>
      <c r="M40" s="26">
        <v>26.08</v>
      </c>
      <c r="N40" s="26">
        <v>34.35</v>
      </c>
      <c r="O40" s="26">
        <v>24</v>
      </c>
      <c r="P40" s="26">
        <v>61.13</v>
      </c>
      <c r="Q40" s="26">
        <v>26.23</v>
      </c>
      <c r="R40" s="26">
        <v>55.84</v>
      </c>
    </row>
    <row r="41" spans="1:18" x14ac:dyDescent="0.25">
      <c r="A41" s="28">
        <v>38</v>
      </c>
      <c r="B41" s="26">
        <v>9.82</v>
      </c>
      <c r="C41" s="26">
        <v>62.02</v>
      </c>
      <c r="D41" s="26">
        <v>69.8</v>
      </c>
      <c r="E41" s="26">
        <v>102.62</v>
      </c>
      <c r="F41" s="26">
        <v>46.62</v>
      </c>
      <c r="G41" s="26">
        <v>37.840000000000003</v>
      </c>
      <c r="H41" s="26">
        <v>90.2</v>
      </c>
      <c r="I41" s="26">
        <v>182.64</v>
      </c>
      <c r="J41" s="26">
        <v>60.82</v>
      </c>
      <c r="K41" s="26">
        <v>31.44</v>
      </c>
      <c r="L41" s="26">
        <v>91.41</v>
      </c>
      <c r="M41" s="26">
        <v>24.98</v>
      </c>
      <c r="N41" s="26">
        <v>34.869999999999997</v>
      </c>
      <c r="O41" s="26">
        <v>27.3</v>
      </c>
      <c r="P41" s="26">
        <v>58.23</v>
      </c>
      <c r="Q41" s="26">
        <v>25.88</v>
      </c>
      <c r="R41" s="26">
        <v>57.34</v>
      </c>
    </row>
    <row r="42" spans="1:18" x14ac:dyDescent="0.25">
      <c r="A42" s="28">
        <v>39</v>
      </c>
      <c r="B42" s="26">
        <v>9.86</v>
      </c>
      <c r="C42" s="26">
        <v>73.7</v>
      </c>
      <c r="D42" s="26">
        <v>70.94</v>
      </c>
      <c r="E42" s="26">
        <v>107.41</v>
      </c>
      <c r="F42" s="26">
        <v>46.96</v>
      </c>
      <c r="G42" s="26">
        <v>40.85</v>
      </c>
      <c r="H42" s="26">
        <v>88.73</v>
      </c>
      <c r="I42" s="26">
        <v>187.29</v>
      </c>
      <c r="J42" s="26">
        <v>60.58</v>
      </c>
      <c r="K42" s="26">
        <v>32.520000000000003</v>
      </c>
      <c r="L42" s="26">
        <v>92.27</v>
      </c>
      <c r="M42" s="26">
        <v>26.48</v>
      </c>
      <c r="N42" s="26">
        <v>34.78</v>
      </c>
      <c r="O42" s="26">
        <v>29.54</v>
      </c>
      <c r="P42" s="26">
        <v>62.46</v>
      </c>
      <c r="Q42" s="26">
        <v>26.92</v>
      </c>
      <c r="R42" s="26">
        <v>55.21</v>
      </c>
    </row>
    <row r="43" spans="1:18" x14ac:dyDescent="0.25">
      <c r="A43" s="28">
        <v>40</v>
      </c>
      <c r="B43" s="26">
        <v>9.7200000000000006</v>
      </c>
      <c r="C43" s="26">
        <v>81.459999999999994</v>
      </c>
      <c r="D43" s="26">
        <v>70.400000000000006</v>
      </c>
      <c r="E43" s="26">
        <v>100.18</v>
      </c>
      <c r="F43" s="26">
        <v>48.85</v>
      </c>
      <c r="G43" s="26">
        <v>42.59</v>
      </c>
      <c r="H43" s="26">
        <v>90.8</v>
      </c>
      <c r="I43" s="26">
        <v>198.63</v>
      </c>
      <c r="J43" s="26">
        <v>61.4</v>
      </c>
      <c r="K43" s="26">
        <v>34.71</v>
      </c>
      <c r="L43" s="26">
        <v>91.17</v>
      </c>
      <c r="M43" s="26">
        <v>27.53</v>
      </c>
      <c r="N43" s="26">
        <v>35.380000000000003</v>
      </c>
      <c r="O43" s="26">
        <v>30.02</v>
      </c>
      <c r="P43" s="26">
        <v>62.08</v>
      </c>
      <c r="Q43" s="26">
        <v>27.48</v>
      </c>
      <c r="R43" s="26">
        <v>57.57</v>
      </c>
    </row>
    <row r="44" spans="1:18" x14ac:dyDescent="0.25">
      <c r="A44" s="28">
        <v>41</v>
      </c>
      <c r="B44" s="26">
        <v>9.44</v>
      </c>
      <c r="C44" s="26">
        <v>79.34</v>
      </c>
      <c r="D44" s="26">
        <v>72.7</v>
      </c>
      <c r="E44" s="26">
        <v>97.06</v>
      </c>
      <c r="F44" s="26">
        <v>49.37</v>
      </c>
      <c r="G44" s="26">
        <v>41.94</v>
      </c>
      <c r="H44" s="26">
        <v>87.13</v>
      </c>
      <c r="I44" s="26">
        <v>197.14</v>
      </c>
      <c r="J44" s="26">
        <v>60.6</v>
      </c>
      <c r="K44" s="26">
        <v>35.79</v>
      </c>
      <c r="L44" s="26">
        <v>90.57</v>
      </c>
      <c r="M44" s="26">
        <v>28.72</v>
      </c>
      <c r="N44" s="26">
        <v>36.15</v>
      </c>
      <c r="O44" s="26">
        <v>29.8</v>
      </c>
      <c r="P44" s="26">
        <v>59.28</v>
      </c>
      <c r="Q44" s="26">
        <v>29.37</v>
      </c>
      <c r="R44" s="26">
        <v>55.42</v>
      </c>
    </row>
    <row r="45" spans="1:18" x14ac:dyDescent="0.25">
      <c r="A45" s="28">
        <v>42</v>
      </c>
      <c r="B45" s="26">
        <v>8.32</v>
      </c>
      <c r="C45" s="26">
        <v>78.5</v>
      </c>
      <c r="D45" s="26">
        <v>66.28</v>
      </c>
      <c r="E45" s="26">
        <v>82.75</v>
      </c>
      <c r="F45" s="26">
        <v>44.94</v>
      </c>
      <c r="G45" s="26">
        <v>44.47</v>
      </c>
      <c r="H45" s="26">
        <v>88.02</v>
      </c>
      <c r="I45" s="26">
        <v>184.41</v>
      </c>
      <c r="J45" s="26">
        <v>58.68</v>
      </c>
      <c r="K45" s="26">
        <v>35.04</v>
      </c>
      <c r="L45" s="26">
        <v>83.68</v>
      </c>
      <c r="M45" s="26">
        <v>28.7</v>
      </c>
      <c r="N45" s="26">
        <v>34.619999999999997</v>
      </c>
      <c r="O45" s="26">
        <v>27.34</v>
      </c>
      <c r="P45" s="26">
        <v>58.03</v>
      </c>
      <c r="Q45" s="26">
        <v>30.5</v>
      </c>
      <c r="R45" s="26">
        <v>62.34</v>
      </c>
    </row>
    <row r="46" spans="1:18" x14ac:dyDescent="0.25">
      <c r="A46" s="28">
        <v>43</v>
      </c>
      <c r="B46" s="26">
        <v>8.51</v>
      </c>
      <c r="C46" s="26">
        <v>79.349999999999994</v>
      </c>
      <c r="D46" s="26">
        <v>70.739999999999995</v>
      </c>
      <c r="E46" s="26">
        <v>80.19</v>
      </c>
      <c r="F46" s="26">
        <v>47.09</v>
      </c>
      <c r="G46" s="26">
        <v>47.18</v>
      </c>
      <c r="H46" s="26">
        <v>90.6</v>
      </c>
      <c r="I46" s="26">
        <v>186.97</v>
      </c>
      <c r="J46" s="26">
        <v>63.51</v>
      </c>
      <c r="K46" s="26">
        <v>36.92</v>
      </c>
      <c r="L46" s="26">
        <v>82.92</v>
      </c>
      <c r="M46" s="26">
        <v>31.19</v>
      </c>
      <c r="N46" s="26">
        <v>38.89</v>
      </c>
      <c r="O46" s="26">
        <v>28.66</v>
      </c>
      <c r="P46" s="26">
        <v>57.06</v>
      </c>
      <c r="Q46" s="26">
        <v>31.83</v>
      </c>
      <c r="R46" s="26">
        <v>66.03</v>
      </c>
    </row>
    <row r="47" spans="1:18" x14ac:dyDescent="0.25">
      <c r="A47" s="28">
        <v>44</v>
      </c>
      <c r="B47" s="26">
        <v>8.24</v>
      </c>
      <c r="C47" s="26">
        <v>82.98</v>
      </c>
      <c r="D47" s="26">
        <v>70.37</v>
      </c>
      <c r="E47" s="26">
        <v>80.040000000000006</v>
      </c>
      <c r="F47" s="26">
        <v>46.28</v>
      </c>
      <c r="G47" s="26">
        <v>47.81</v>
      </c>
      <c r="H47" s="26">
        <v>89.31</v>
      </c>
      <c r="I47" s="26">
        <v>187.35</v>
      </c>
      <c r="J47" s="26">
        <v>65.069999999999993</v>
      </c>
      <c r="K47" s="26">
        <v>38.15</v>
      </c>
      <c r="L47" s="26">
        <v>83.7</v>
      </c>
      <c r="M47" s="26">
        <v>32.47</v>
      </c>
      <c r="N47" s="26">
        <v>41.14</v>
      </c>
      <c r="O47" s="26">
        <v>27.61</v>
      </c>
      <c r="P47" s="26">
        <v>60.64</v>
      </c>
      <c r="Q47" s="26">
        <v>34.26</v>
      </c>
      <c r="R47" s="26">
        <v>70.489999999999995</v>
      </c>
    </row>
    <row r="48" spans="1:18" x14ac:dyDescent="0.25">
      <c r="A48" s="28">
        <v>45</v>
      </c>
      <c r="B48" s="26">
        <v>8.36</v>
      </c>
      <c r="C48" s="26">
        <v>90.77</v>
      </c>
      <c r="D48" s="26">
        <v>68.39</v>
      </c>
      <c r="E48" s="26">
        <v>81.099999999999994</v>
      </c>
      <c r="F48" s="26">
        <v>46.72</v>
      </c>
      <c r="G48" s="26">
        <v>48.13</v>
      </c>
      <c r="H48" s="26">
        <v>86.66</v>
      </c>
      <c r="I48" s="26">
        <v>187.07</v>
      </c>
      <c r="J48" s="26">
        <v>63.96</v>
      </c>
      <c r="K48" s="26">
        <v>35.32</v>
      </c>
      <c r="L48" s="26">
        <v>84.48</v>
      </c>
      <c r="M48" s="26">
        <v>30.66</v>
      </c>
      <c r="N48" s="26">
        <v>40.1</v>
      </c>
      <c r="O48" s="26">
        <v>29.06</v>
      </c>
      <c r="P48" s="26">
        <v>63.13</v>
      </c>
      <c r="Q48" s="26">
        <v>33.11</v>
      </c>
      <c r="R48" s="26">
        <v>69.13</v>
      </c>
    </row>
    <row r="49" spans="1:18" x14ac:dyDescent="0.25">
      <c r="A49" s="28">
        <v>46</v>
      </c>
      <c r="B49" s="26">
        <v>8.65</v>
      </c>
      <c r="C49" s="26">
        <v>91.03</v>
      </c>
      <c r="D49" s="26">
        <v>66.66</v>
      </c>
      <c r="E49" s="26">
        <v>81.78</v>
      </c>
      <c r="F49" s="26">
        <v>47.21</v>
      </c>
      <c r="G49" s="26">
        <v>50.86</v>
      </c>
      <c r="H49" s="26">
        <v>83.82</v>
      </c>
      <c r="I49" s="26">
        <v>199.17</v>
      </c>
      <c r="J49" s="26">
        <v>65.36</v>
      </c>
      <c r="K49" s="26">
        <v>36.06</v>
      </c>
      <c r="L49" s="26">
        <v>86.61</v>
      </c>
      <c r="M49" s="26">
        <v>30.53</v>
      </c>
      <c r="N49" s="26">
        <v>42.41</v>
      </c>
      <c r="O49" s="26">
        <v>28.06</v>
      </c>
      <c r="P49" s="26">
        <v>65.17</v>
      </c>
      <c r="Q49" s="26">
        <v>34.07</v>
      </c>
      <c r="R49" s="26">
        <v>70.27</v>
      </c>
    </row>
    <row r="50" spans="1:18" x14ac:dyDescent="0.25">
      <c r="A50" s="28">
        <v>47</v>
      </c>
      <c r="B50" s="26">
        <v>8.4</v>
      </c>
      <c r="C50" s="26">
        <v>81.23</v>
      </c>
      <c r="D50" s="26">
        <v>67.47</v>
      </c>
      <c r="E50" s="26">
        <v>81.099999999999994</v>
      </c>
      <c r="F50" s="26">
        <v>41.81</v>
      </c>
      <c r="G50" s="26">
        <v>47.79</v>
      </c>
      <c r="H50" s="26">
        <v>91.13</v>
      </c>
      <c r="I50" s="26">
        <v>186.76</v>
      </c>
      <c r="J50" s="26">
        <v>67.180000000000007</v>
      </c>
      <c r="K50" s="26">
        <v>35.35</v>
      </c>
      <c r="L50" s="26">
        <v>81.94</v>
      </c>
      <c r="M50" s="26">
        <v>29.08</v>
      </c>
      <c r="N50" s="26">
        <v>42.91</v>
      </c>
      <c r="O50" s="26">
        <v>26.91</v>
      </c>
      <c r="P50" s="26">
        <v>65.59</v>
      </c>
      <c r="Q50" s="26">
        <v>31.62</v>
      </c>
      <c r="R50" s="26">
        <v>71.430000000000007</v>
      </c>
    </row>
    <row r="51" spans="1:18" x14ac:dyDescent="0.25">
      <c r="A51" s="28">
        <v>48</v>
      </c>
      <c r="B51" s="26">
        <v>8.24</v>
      </c>
      <c r="C51" s="26">
        <v>80.23</v>
      </c>
      <c r="D51" s="26">
        <v>71.58</v>
      </c>
      <c r="E51" s="26">
        <v>81.510000000000005</v>
      </c>
      <c r="F51" s="26">
        <v>40.92</v>
      </c>
      <c r="G51" s="26">
        <v>48.31</v>
      </c>
      <c r="H51" s="26">
        <v>88.83</v>
      </c>
      <c r="I51" s="26">
        <v>183.28</v>
      </c>
      <c r="J51" s="26">
        <v>66.73</v>
      </c>
      <c r="K51" s="26">
        <v>36.299999999999997</v>
      </c>
      <c r="L51" s="26">
        <v>82.9</v>
      </c>
      <c r="M51" s="26">
        <v>30.92</v>
      </c>
      <c r="N51" s="26">
        <v>41.65</v>
      </c>
      <c r="O51" s="26">
        <v>25.31</v>
      </c>
      <c r="P51" s="26">
        <v>66.150000000000006</v>
      </c>
      <c r="Q51" s="26">
        <v>31.2</v>
      </c>
      <c r="R51" s="26">
        <v>68.58</v>
      </c>
    </row>
    <row r="52" spans="1:18" x14ac:dyDescent="0.25">
      <c r="A52" s="28">
        <v>49</v>
      </c>
      <c r="B52" s="26">
        <v>8.51</v>
      </c>
      <c r="C52" s="26">
        <v>72.95</v>
      </c>
      <c r="D52" s="26">
        <v>72.62</v>
      </c>
      <c r="E52" s="26">
        <v>86.18</v>
      </c>
      <c r="F52" s="26">
        <v>42.67</v>
      </c>
      <c r="G52" s="26">
        <v>49.18</v>
      </c>
      <c r="H52" s="26">
        <v>91.01</v>
      </c>
      <c r="I52" s="26">
        <v>184.71</v>
      </c>
      <c r="J52" s="26">
        <v>67.08</v>
      </c>
      <c r="K52" s="26">
        <v>34.700000000000003</v>
      </c>
      <c r="L52" s="26">
        <v>84.02</v>
      </c>
      <c r="M52" s="26">
        <v>29.14</v>
      </c>
      <c r="N52" s="26">
        <v>38.86</v>
      </c>
      <c r="O52" s="26">
        <v>25.39</v>
      </c>
      <c r="P52" s="26">
        <v>64.31</v>
      </c>
      <c r="Q52" s="26">
        <v>30.81</v>
      </c>
      <c r="R52" s="26">
        <v>65.33</v>
      </c>
    </row>
    <row r="53" spans="1:18" x14ac:dyDescent="0.25">
      <c r="A53" s="28">
        <v>50</v>
      </c>
      <c r="B53" s="26">
        <v>8.66</v>
      </c>
      <c r="C53" s="26">
        <v>62.44</v>
      </c>
      <c r="D53" s="26">
        <v>71.19</v>
      </c>
      <c r="E53" s="26">
        <v>94.62</v>
      </c>
      <c r="F53" s="26">
        <v>45.01</v>
      </c>
      <c r="G53" s="26">
        <v>53.22</v>
      </c>
      <c r="H53" s="26">
        <v>100.66</v>
      </c>
      <c r="I53" s="26">
        <v>195.81</v>
      </c>
      <c r="J53" s="26">
        <v>70.739999999999995</v>
      </c>
      <c r="K53" s="26">
        <v>35.65</v>
      </c>
      <c r="L53" s="26">
        <v>90.76</v>
      </c>
      <c r="M53" s="26">
        <v>31.22</v>
      </c>
      <c r="N53" s="26">
        <v>41.06</v>
      </c>
      <c r="O53" s="26">
        <v>26.1</v>
      </c>
      <c r="P53" s="26">
        <v>71.78</v>
      </c>
      <c r="Q53" s="26">
        <v>32.21</v>
      </c>
      <c r="R53" s="26">
        <v>66.98</v>
      </c>
    </row>
    <row r="54" spans="1:18" x14ac:dyDescent="0.25">
      <c r="A54" s="28">
        <v>51</v>
      </c>
      <c r="B54" s="26">
        <v>8.3800000000000008</v>
      </c>
      <c r="C54" s="26">
        <v>60.86</v>
      </c>
      <c r="D54" s="26">
        <v>74.59</v>
      </c>
      <c r="E54" s="26">
        <v>88.84</v>
      </c>
      <c r="F54" s="26">
        <v>45.85</v>
      </c>
      <c r="G54" s="26">
        <v>53.92</v>
      </c>
      <c r="H54" s="26">
        <v>104.61</v>
      </c>
      <c r="I54" s="26">
        <v>194.47</v>
      </c>
      <c r="J54" s="26">
        <v>73.41</v>
      </c>
      <c r="K54" s="26">
        <v>37.06</v>
      </c>
      <c r="L54" s="26">
        <v>92.08</v>
      </c>
      <c r="M54" s="26">
        <v>31.1</v>
      </c>
      <c r="N54" s="26">
        <v>40.56</v>
      </c>
      <c r="O54" s="26">
        <v>26.65</v>
      </c>
      <c r="P54" s="26">
        <v>72.75</v>
      </c>
      <c r="Q54" s="26">
        <v>33.25</v>
      </c>
      <c r="R54" s="26">
        <v>67.77</v>
      </c>
    </row>
    <row r="55" spans="1:18" x14ac:dyDescent="0.25">
      <c r="A55" s="28">
        <v>52</v>
      </c>
      <c r="B55" s="26">
        <v>8.3800000000000008</v>
      </c>
      <c r="C55" s="26">
        <v>61.03</v>
      </c>
      <c r="D55" s="26">
        <v>83.27</v>
      </c>
      <c r="E55" s="26">
        <v>83.64</v>
      </c>
      <c r="F55" s="26">
        <v>47.05</v>
      </c>
      <c r="G55" s="26">
        <v>56.11</v>
      </c>
      <c r="H55" s="26">
        <v>97.56</v>
      </c>
      <c r="I55" s="26">
        <v>206.54</v>
      </c>
      <c r="J55" s="26">
        <v>78.64</v>
      </c>
      <c r="K55" s="26">
        <v>38.99</v>
      </c>
      <c r="L55" s="26">
        <v>95.72</v>
      </c>
      <c r="M55" s="26">
        <v>32.29</v>
      </c>
      <c r="N55" s="26">
        <v>42.36</v>
      </c>
      <c r="O55" s="26">
        <v>27.43</v>
      </c>
      <c r="P55" s="26">
        <v>73.59</v>
      </c>
      <c r="Q55" s="26">
        <v>33.97</v>
      </c>
      <c r="R55" s="26">
        <v>72.11</v>
      </c>
    </row>
    <row r="56" spans="1:18" x14ac:dyDescent="0.25">
      <c r="A56" s="28">
        <v>53</v>
      </c>
      <c r="B56" s="26">
        <v>8.36</v>
      </c>
      <c r="C56" s="26">
        <v>61.05</v>
      </c>
      <c r="D56" s="26">
        <v>88.66</v>
      </c>
      <c r="E56" s="26">
        <v>81.95</v>
      </c>
      <c r="F56" s="26">
        <v>52.17</v>
      </c>
      <c r="G56" s="26">
        <v>62.07</v>
      </c>
      <c r="H56" s="26">
        <v>93.4</v>
      </c>
      <c r="I56" s="26">
        <v>196.12</v>
      </c>
      <c r="J56" s="26">
        <v>82.21</v>
      </c>
      <c r="K56" s="26">
        <v>40.81</v>
      </c>
      <c r="L56" s="26">
        <v>98.07</v>
      </c>
      <c r="M56" s="26">
        <v>34.28</v>
      </c>
      <c r="N56" s="26">
        <v>45.05</v>
      </c>
      <c r="O56" s="26">
        <v>31.73</v>
      </c>
      <c r="P56" s="26">
        <v>73.86</v>
      </c>
      <c r="Q56" s="26">
        <v>35.1</v>
      </c>
      <c r="R56" s="26">
        <v>74.900000000000006</v>
      </c>
    </row>
    <row r="57" spans="1:18" x14ac:dyDescent="0.25">
      <c r="A57" s="28">
        <v>54</v>
      </c>
      <c r="B57" s="26">
        <v>8.39</v>
      </c>
      <c r="C57" s="26">
        <v>62.42</v>
      </c>
      <c r="D57" s="26">
        <v>96.53</v>
      </c>
      <c r="E57" s="26">
        <v>83.05</v>
      </c>
      <c r="F57" s="26">
        <v>53.84</v>
      </c>
      <c r="G57" s="26">
        <v>62.31</v>
      </c>
      <c r="H57" s="26">
        <v>95.71</v>
      </c>
      <c r="I57" s="26">
        <v>202.38</v>
      </c>
      <c r="J57" s="26">
        <v>81.81</v>
      </c>
      <c r="K57" s="26">
        <v>38.56</v>
      </c>
      <c r="L57" s="26">
        <v>93.45</v>
      </c>
      <c r="M57" s="26">
        <v>33.9</v>
      </c>
      <c r="N57" s="26">
        <v>44.76</v>
      </c>
      <c r="O57" s="26">
        <v>33.69</v>
      </c>
      <c r="P57" s="26">
        <v>73.849999999999994</v>
      </c>
      <c r="Q57" s="26">
        <v>32.78</v>
      </c>
      <c r="R57" s="26">
        <v>72.55</v>
      </c>
    </row>
    <row r="58" spans="1:18" x14ac:dyDescent="0.25">
      <c r="A58" s="28">
        <v>55</v>
      </c>
      <c r="B58" s="26">
        <v>7.71</v>
      </c>
      <c r="C58" s="26">
        <v>55.03</v>
      </c>
      <c r="D58" s="26">
        <v>99.87</v>
      </c>
      <c r="E58" s="26">
        <v>79.84</v>
      </c>
      <c r="F58" s="26">
        <v>50.66</v>
      </c>
      <c r="G58" s="26">
        <v>62.38</v>
      </c>
      <c r="H58" s="26">
        <v>98.09</v>
      </c>
      <c r="I58" s="26">
        <v>185.92</v>
      </c>
      <c r="J58" s="26">
        <v>83.44</v>
      </c>
      <c r="K58" s="26">
        <v>38.94</v>
      </c>
      <c r="L58" s="26">
        <v>95.8</v>
      </c>
      <c r="M58" s="26">
        <v>33.26</v>
      </c>
      <c r="N58" s="26">
        <v>44.93</v>
      </c>
      <c r="O58" s="26">
        <v>33.340000000000003</v>
      </c>
      <c r="P58" s="26">
        <v>74.069999999999993</v>
      </c>
      <c r="Q58" s="26">
        <v>33.17</v>
      </c>
      <c r="R58" s="26">
        <v>72.209999999999994</v>
      </c>
    </row>
    <row r="59" spans="1:18" x14ac:dyDescent="0.25">
      <c r="A59" s="28">
        <v>56</v>
      </c>
      <c r="B59" s="26">
        <v>7.84</v>
      </c>
      <c r="C59" s="26">
        <v>62.81</v>
      </c>
      <c r="D59" s="26">
        <v>102.46</v>
      </c>
      <c r="E59" s="26">
        <v>80.81</v>
      </c>
      <c r="F59" s="26">
        <v>55.67</v>
      </c>
      <c r="G59" s="26">
        <v>63.86</v>
      </c>
      <c r="H59" s="26">
        <v>105.47</v>
      </c>
      <c r="I59" s="26">
        <v>189.75</v>
      </c>
      <c r="J59" s="26">
        <v>90.87</v>
      </c>
      <c r="K59" s="26">
        <v>38.909999999999997</v>
      </c>
      <c r="L59" s="26">
        <v>94.91</v>
      </c>
      <c r="M59" s="26">
        <v>33.33</v>
      </c>
      <c r="N59" s="26">
        <v>46.59</v>
      </c>
      <c r="O59" s="26">
        <v>30.74</v>
      </c>
      <c r="P59" s="26">
        <v>77.83</v>
      </c>
      <c r="Q59" s="26">
        <v>33.47</v>
      </c>
      <c r="R59" s="26">
        <v>75.56</v>
      </c>
    </row>
    <row r="60" spans="1:18" x14ac:dyDescent="0.25">
      <c r="A60" s="28">
        <v>57</v>
      </c>
      <c r="B60" s="26">
        <v>7.63</v>
      </c>
      <c r="C60" s="26">
        <v>68.069999999999993</v>
      </c>
      <c r="D60" s="26">
        <v>101.77</v>
      </c>
      <c r="E60" s="26">
        <v>80.45</v>
      </c>
      <c r="F60" s="26">
        <v>55.05</v>
      </c>
      <c r="G60" s="26">
        <v>60.09</v>
      </c>
      <c r="H60" s="26">
        <v>106.83</v>
      </c>
      <c r="I60" s="26">
        <v>178.21</v>
      </c>
      <c r="J60" s="26">
        <v>84.61</v>
      </c>
      <c r="K60" s="26">
        <v>37.07</v>
      </c>
      <c r="L60" s="26">
        <v>92.05</v>
      </c>
      <c r="M60" s="26">
        <v>32.21</v>
      </c>
      <c r="N60" s="26">
        <v>45.74</v>
      </c>
      <c r="O60" s="26">
        <v>32.47</v>
      </c>
      <c r="P60" s="26">
        <v>75.489999999999995</v>
      </c>
      <c r="Q60" s="26">
        <v>32.1</v>
      </c>
      <c r="R60" s="26">
        <v>71.180000000000007</v>
      </c>
    </row>
    <row r="61" spans="1:18" x14ac:dyDescent="0.25">
      <c r="A61" s="28">
        <v>58</v>
      </c>
      <c r="B61" s="26">
        <v>8.0399999999999991</v>
      </c>
      <c r="C61" s="26">
        <v>66.599999999999994</v>
      </c>
      <c r="D61" s="26">
        <v>115.07</v>
      </c>
      <c r="E61" s="26">
        <v>81.290000000000006</v>
      </c>
      <c r="F61" s="26">
        <v>56.94</v>
      </c>
      <c r="G61" s="26">
        <v>63.7</v>
      </c>
      <c r="H61" s="26">
        <v>113.7</v>
      </c>
      <c r="I61" s="26">
        <v>181.06</v>
      </c>
      <c r="J61" s="26">
        <v>84.88</v>
      </c>
      <c r="K61" s="26">
        <v>37.04</v>
      </c>
      <c r="L61" s="26">
        <v>93.85</v>
      </c>
      <c r="M61" s="26">
        <v>33.1</v>
      </c>
      <c r="N61" s="26">
        <v>46.47</v>
      </c>
      <c r="O61" s="26">
        <v>32.35</v>
      </c>
      <c r="P61" s="26">
        <v>73.27</v>
      </c>
      <c r="Q61" s="26">
        <v>32.090000000000003</v>
      </c>
      <c r="R61" s="26">
        <v>72.14</v>
      </c>
    </row>
    <row r="62" spans="1:18" x14ac:dyDescent="0.25">
      <c r="A62" s="28">
        <v>59</v>
      </c>
      <c r="B62" s="26">
        <v>9.18</v>
      </c>
      <c r="C62" s="26">
        <v>73.02</v>
      </c>
      <c r="D62" s="26">
        <v>127.8</v>
      </c>
      <c r="E62" s="26">
        <v>81.819999999999993</v>
      </c>
      <c r="F62" s="26">
        <v>59.5</v>
      </c>
      <c r="G62" s="26">
        <v>67.75</v>
      </c>
      <c r="H62" s="26">
        <v>130.53</v>
      </c>
      <c r="I62" s="26">
        <v>175.22</v>
      </c>
      <c r="J62" s="26">
        <v>90.68</v>
      </c>
      <c r="K62" s="26">
        <v>38.69</v>
      </c>
      <c r="L62" s="26">
        <v>94.16</v>
      </c>
      <c r="M62" s="26">
        <v>35.880000000000003</v>
      </c>
      <c r="N62" s="26">
        <v>44.01</v>
      </c>
      <c r="O62" s="26">
        <v>34.42</v>
      </c>
      <c r="P62" s="26">
        <v>78.88</v>
      </c>
      <c r="Q62" s="26">
        <v>34.81</v>
      </c>
      <c r="R62" s="26">
        <v>74.86</v>
      </c>
    </row>
    <row r="63" spans="1:18" x14ac:dyDescent="0.25">
      <c r="A63" s="28">
        <v>60</v>
      </c>
      <c r="B63" s="26">
        <v>9.5500000000000007</v>
      </c>
      <c r="C63" s="26">
        <v>78.14</v>
      </c>
      <c r="D63" s="26">
        <v>131.94999999999999</v>
      </c>
      <c r="E63" s="26">
        <v>83.03</v>
      </c>
      <c r="F63" s="26">
        <v>60.11</v>
      </c>
      <c r="G63" s="26">
        <v>69.680000000000007</v>
      </c>
      <c r="H63" s="26">
        <v>138.19999999999999</v>
      </c>
      <c r="I63" s="26">
        <v>176.62</v>
      </c>
      <c r="J63" s="26">
        <v>93.33</v>
      </c>
      <c r="K63" s="26">
        <v>39.58</v>
      </c>
      <c r="L63" s="26">
        <v>95.78</v>
      </c>
      <c r="M63" s="26">
        <v>35.64</v>
      </c>
      <c r="N63" s="26">
        <v>48.63</v>
      </c>
      <c r="O63" s="26">
        <v>37.35</v>
      </c>
      <c r="P63" s="26">
        <v>82.27</v>
      </c>
      <c r="Q63" s="26">
        <v>33.86</v>
      </c>
      <c r="R63" s="26">
        <v>79.010000000000005</v>
      </c>
    </row>
    <row r="64" spans="1:18" x14ac:dyDescent="0.25">
      <c r="A64" s="28">
        <v>61</v>
      </c>
      <c r="B64" s="26">
        <v>10.56</v>
      </c>
      <c r="C64" s="26">
        <v>78.83</v>
      </c>
      <c r="D64" s="26">
        <v>134.15</v>
      </c>
      <c r="E64" s="26">
        <v>89.13</v>
      </c>
      <c r="F64" s="26">
        <v>63.63</v>
      </c>
      <c r="G64" s="26">
        <v>76.400000000000006</v>
      </c>
      <c r="H64" s="26">
        <v>143.41</v>
      </c>
      <c r="I64" s="26">
        <v>184.38</v>
      </c>
      <c r="J64" s="26">
        <v>90.31</v>
      </c>
      <c r="K64" s="26">
        <v>40.68</v>
      </c>
      <c r="L64" s="26">
        <v>95.44</v>
      </c>
      <c r="M64" s="26">
        <v>37.46</v>
      </c>
      <c r="N64" s="26">
        <v>49.29</v>
      </c>
      <c r="O64" s="26">
        <v>36.64</v>
      </c>
      <c r="P64" s="26">
        <v>79.52</v>
      </c>
      <c r="Q64" s="26">
        <v>33.81</v>
      </c>
      <c r="R64" s="26">
        <v>77.2</v>
      </c>
    </row>
    <row r="65" spans="1:18" x14ac:dyDescent="0.25">
      <c r="A65" s="28">
        <v>62</v>
      </c>
      <c r="B65" s="26">
        <v>11.43</v>
      </c>
      <c r="C65" s="26">
        <v>70.34</v>
      </c>
      <c r="D65" s="26">
        <v>123.12</v>
      </c>
      <c r="E65" s="26">
        <v>92.77</v>
      </c>
      <c r="F65" s="26">
        <v>59.75</v>
      </c>
      <c r="G65" s="26">
        <v>72.61</v>
      </c>
      <c r="H65" s="26">
        <v>132.97999999999999</v>
      </c>
      <c r="I65" s="26">
        <v>173.67</v>
      </c>
      <c r="J65" s="26">
        <v>87.23</v>
      </c>
      <c r="K65" s="26">
        <v>37.24</v>
      </c>
      <c r="L65" s="26">
        <v>92.63</v>
      </c>
      <c r="M65" s="26">
        <v>34.369999999999997</v>
      </c>
      <c r="N65" s="26">
        <v>52.17</v>
      </c>
      <c r="O65" s="26">
        <v>37.06</v>
      </c>
      <c r="P65" s="26">
        <v>75.41</v>
      </c>
      <c r="Q65" s="26">
        <v>32.47</v>
      </c>
      <c r="R65" s="26">
        <v>73.260000000000005</v>
      </c>
    </row>
    <row r="66" spans="1:18" x14ac:dyDescent="0.25">
      <c r="A66" s="28">
        <v>63</v>
      </c>
      <c r="B66" s="26">
        <v>11.69</v>
      </c>
      <c r="C66" s="26">
        <v>74.39</v>
      </c>
      <c r="D66" s="26">
        <v>127.43</v>
      </c>
      <c r="E66" s="26">
        <v>95.8</v>
      </c>
      <c r="F66" s="26">
        <v>65.709999999999994</v>
      </c>
      <c r="G66" s="26">
        <v>80.81</v>
      </c>
      <c r="H66" s="26">
        <v>132.99</v>
      </c>
      <c r="I66" s="26">
        <v>183.02</v>
      </c>
      <c r="J66" s="26">
        <v>91.48</v>
      </c>
      <c r="K66" s="26">
        <v>37.619999999999997</v>
      </c>
      <c r="L66" s="26">
        <v>94.39</v>
      </c>
      <c r="M66" s="26">
        <v>35.380000000000003</v>
      </c>
      <c r="N66" s="26">
        <v>56.13</v>
      </c>
      <c r="O66" s="26">
        <v>37.81</v>
      </c>
      <c r="P66" s="26">
        <v>77.42</v>
      </c>
      <c r="Q66" s="26">
        <v>31.11</v>
      </c>
      <c r="R66" s="26">
        <v>73.28</v>
      </c>
    </row>
    <row r="67" spans="1:18" x14ac:dyDescent="0.25">
      <c r="A67" s="28">
        <v>64</v>
      </c>
      <c r="B67" s="26">
        <v>12.82</v>
      </c>
      <c r="C67" s="26">
        <v>75.87</v>
      </c>
      <c r="D67" s="26">
        <v>124.04</v>
      </c>
      <c r="E67" s="26">
        <v>98.17</v>
      </c>
      <c r="F67" s="26">
        <v>66.180000000000007</v>
      </c>
      <c r="G67" s="26">
        <v>80.069999999999993</v>
      </c>
      <c r="H67" s="26">
        <v>132.37</v>
      </c>
      <c r="I67" s="26">
        <v>190.25</v>
      </c>
      <c r="J67" s="26">
        <v>97.55</v>
      </c>
      <c r="K67" s="26">
        <v>38.369999999999997</v>
      </c>
      <c r="L67" s="26">
        <v>97.25</v>
      </c>
      <c r="M67" s="26">
        <v>37.01</v>
      </c>
      <c r="N67" s="26">
        <v>56.35</v>
      </c>
      <c r="O67" s="26">
        <v>40.450000000000003</v>
      </c>
      <c r="P67" s="26">
        <v>79.33</v>
      </c>
      <c r="Q67" s="26">
        <v>34.17</v>
      </c>
      <c r="R67" s="26">
        <v>75.459999999999994</v>
      </c>
    </row>
    <row r="68" spans="1:18" x14ac:dyDescent="0.25">
      <c r="A68" s="28">
        <v>65</v>
      </c>
      <c r="B68" s="26">
        <v>13.42</v>
      </c>
      <c r="C68" s="26">
        <v>83.42</v>
      </c>
      <c r="D68" s="26">
        <v>127.53</v>
      </c>
      <c r="E68" s="26">
        <v>104.74</v>
      </c>
      <c r="F68" s="26">
        <v>66.400000000000006</v>
      </c>
      <c r="G68" s="26">
        <v>79.34</v>
      </c>
      <c r="H68" s="26">
        <v>136.05000000000001</v>
      </c>
      <c r="I68" s="26">
        <v>194.18</v>
      </c>
      <c r="J68" s="26">
        <v>100.59</v>
      </c>
      <c r="K68" s="26">
        <v>40.49</v>
      </c>
      <c r="L68" s="26">
        <v>100.57</v>
      </c>
      <c r="M68" s="26">
        <v>39.659999999999997</v>
      </c>
      <c r="N68" s="26">
        <v>58.12</v>
      </c>
      <c r="O68" s="26">
        <v>39.869999999999997</v>
      </c>
      <c r="P68" s="26">
        <v>81.900000000000006</v>
      </c>
      <c r="Q68" s="26">
        <v>35.24</v>
      </c>
      <c r="R68" s="26">
        <v>78.7</v>
      </c>
    </row>
    <row r="69" spans="1:18" x14ac:dyDescent="0.25">
      <c r="A69" s="28">
        <v>66</v>
      </c>
      <c r="B69" s="26">
        <v>13.59</v>
      </c>
      <c r="C69" s="26">
        <v>89.98</v>
      </c>
      <c r="D69" s="26">
        <v>134.44</v>
      </c>
      <c r="E69" s="26">
        <v>101.59</v>
      </c>
      <c r="F69" s="26">
        <v>68.81</v>
      </c>
      <c r="G69" s="26">
        <v>84.01</v>
      </c>
      <c r="H69" s="26">
        <v>143.94999999999999</v>
      </c>
      <c r="I69" s="26">
        <v>183.28</v>
      </c>
      <c r="J69" s="26">
        <v>101.46</v>
      </c>
      <c r="K69" s="26">
        <v>40.6</v>
      </c>
      <c r="L69" s="26">
        <v>101.43</v>
      </c>
      <c r="M69" s="26">
        <v>41.09</v>
      </c>
      <c r="N69" s="26">
        <v>57.43</v>
      </c>
      <c r="O69" s="26">
        <v>40.69</v>
      </c>
      <c r="P69" s="26">
        <v>80.150000000000006</v>
      </c>
      <c r="Q69" s="26">
        <v>35.020000000000003</v>
      </c>
      <c r="R69" s="26">
        <v>76.27</v>
      </c>
    </row>
    <row r="70" spans="1:18" x14ac:dyDescent="0.25">
      <c r="A70" s="28">
        <v>67</v>
      </c>
      <c r="B70" s="26">
        <v>14.86</v>
      </c>
      <c r="C70" s="26">
        <v>92.47</v>
      </c>
      <c r="D70" s="26">
        <v>126.46</v>
      </c>
      <c r="E70" s="26">
        <v>107.99</v>
      </c>
      <c r="F70" s="26">
        <v>64.97</v>
      </c>
      <c r="G70" s="26">
        <v>85.74</v>
      </c>
      <c r="H70" s="26">
        <v>151.38</v>
      </c>
      <c r="I70" s="26">
        <v>180.2</v>
      </c>
      <c r="J70" s="26">
        <v>104.62</v>
      </c>
      <c r="K70" s="26">
        <v>42.36</v>
      </c>
      <c r="L70" s="26">
        <v>100.74</v>
      </c>
      <c r="M70" s="26">
        <v>41.94</v>
      </c>
      <c r="N70" s="26">
        <v>57.85</v>
      </c>
      <c r="O70" s="26">
        <v>41.44</v>
      </c>
      <c r="P70" s="26">
        <v>77.97</v>
      </c>
      <c r="Q70" s="26">
        <v>34.909999999999997</v>
      </c>
      <c r="R70" s="26">
        <v>74.58</v>
      </c>
    </row>
    <row r="71" spans="1:18" x14ac:dyDescent="0.25">
      <c r="A71" s="28">
        <v>68</v>
      </c>
      <c r="B71" s="26">
        <v>16.36</v>
      </c>
      <c r="C71" s="26">
        <v>95.13</v>
      </c>
      <c r="D71" s="26">
        <v>119.75</v>
      </c>
      <c r="E71" s="26">
        <v>100.75</v>
      </c>
      <c r="F71" s="26">
        <v>63.85</v>
      </c>
      <c r="G71" s="26">
        <v>85.88</v>
      </c>
      <c r="H71" s="26">
        <v>146.88</v>
      </c>
      <c r="I71" s="26">
        <v>190.54</v>
      </c>
      <c r="J71" s="26">
        <v>100.09</v>
      </c>
      <c r="K71" s="26">
        <v>39.29</v>
      </c>
      <c r="L71" s="26">
        <v>94.56</v>
      </c>
      <c r="M71" s="26">
        <v>40.6</v>
      </c>
      <c r="N71" s="26">
        <v>56.74</v>
      </c>
      <c r="O71" s="26">
        <v>42.89</v>
      </c>
      <c r="P71" s="26">
        <v>77.319999999999993</v>
      </c>
      <c r="Q71" s="26">
        <v>35.590000000000003</v>
      </c>
      <c r="R71" s="26">
        <v>73.099999999999994</v>
      </c>
    </row>
    <row r="72" spans="1:18" x14ac:dyDescent="0.25">
      <c r="A72" s="21"/>
    </row>
    <row r="73" spans="1:18" x14ac:dyDescent="0.25">
      <c r="A73" s="21"/>
    </row>
    <row r="74" spans="1:18" x14ac:dyDescent="0.25">
      <c r="A74" s="21"/>
    </row>
    <row r="75" spans="1:18" x14ac:dyDescent="0.25">
      <c r="A75" s="21"/>
    </row>
    <row r="76" spans="1:18" x14ac:dyDescent="0.25">
      <c r="A76" s="21"/>
    </row>
    <row r="77" spans="1:18" x14ac:dyDescent="0.25">
      <c r="A77" s="21"/>
    </row>
    <row r="78" spans="1:18" x14ac:dyDescent="0.25">
      <c r="A78" s="21"/>
    </row>
    <row r="79" spans="1:18" x14ac:dyDescent="0.25">
      <c r="A79" s="21"/>
    </row>
    <row r="80" spans="1:18" x14ac:dyDescent="0.25">
      <c r="A80" s="21"/>
    </row>
    <row r="81" spans="1:1" x14ac:dyDescent="0.25">
      <c r="A81" s="21"/>
    </row>
    <row r="82" spans="1:1" x14ac:dyDescent="0.25">
      <c r="A82" s="21"/>
    </row>
    <row r="83" spans="1:1" x14ac:dyDescent="0.25">
      <c r="A83" s="21"/>
    </row>
    <row r="84" spans="1:1" x14ac:dyDescent="0.25">
      <c r="A84" s="21"/>
    </row>
    <row r="85" spans="1:1" x14ac:dyDescent="0.25">
      <c r="A85" s="21"/>
    </row>
    <row r="86" spans="1:1" x14ac:dyDescent="0.25">
      <c r="A86" s="21"/>
    </row>
    <row r="87" spans="1:1" x14ac:dyDescent="0.25">
      <c r="A87" s="21"/>
    </row>
    <row r="88" spans="1:1" x14ac:dyDescent="0.25">
      <c r="A88" s="21"/>
    </row>
    <row r="89" spans="1:1" x14ac:dyDescent="0.25">
      <c r="A89" s="21"/>
    </row>
    <row r="90" spans="1:1" x14ac:dyDescent="0.25">
      <c r="A90" s="21"/>
    </row>
    <row r="91" spans="1:1" x14ac:dyDescent="0.25">
      <c r="A91" s="21"/>
    </row>
    <row r="92" spans="1:1" x14ac:dyDescent="0.25">
      <c r="A92" s="21"/>
    </row>
    <row r="93" spans="1:1" x14ac:dyDescent="0.25">
      <c r="A93" s="21"/>
    </row>
    <row r="94" spans="1:1" x14ac:dyDescent="0.25">
      <c r="A94" s="21"/>
    </row>
    <row r="95" spans="1:1" x14ac:dyDescent="0.25">
      <c r="A95" s="21"/>
    </row>
    <row r="96" spans="1:1" x14ac:dyDescent="0.25">
      <c r="A96" s="21"/>
    </row>
    <row r="97" spans="1:1" x14ac:dyDescent="0.25">
      <c r="A97" s="21"/>
    </row>
    <row r="98" spans="1:1" x14ac:dyDescent="0.25">
      <c r="A98" s="21"/>
    </row>
    <row r="99" spans="1:1" x14ac:dyDescent="0.25">
      <c r="A99" s="21"/>
    </row>
    <row r="100" spans="1:1" x14ac:dyDescent="0.25">
      <c r="A100" s="21"/>
    </row>
    <row r="101" spans="1:1" x14ac:dyDescent="0.25">
      <c r="A101" s="21"/>
    </row>
    <row r="102" spans="1:1" x14ac:dyDescent="0.25">
      <c r="A102" s="21"/>
    </row>
    <row r="103" spans="1:1" x14ac:dyDescent="0.25">
      <c r="A103" s="21"/>
    </row>
    <row r="104" spans="1:1" x14ac:dyDescent="0.25">
      <c r="A104" s="21"/>
    </row>
    <row r="105" spans="1:1" x14ac:dyDescent="0.25">
      <c r="A105" s="21"/>
    </row>
    <row r="106" spans="1:1" x14ac:dyDescent="0.25">
      <c r="A106" s="21"/>
    </row>
    <row r="107" spans="1:1" x14ac:dyDescent="0.25">
      <c r="A107" s="21"/>
    </row>
    <row r="108" spans="1:1" x14ac:dyDescent="0.25">
      <c r="A108" s="21"/>
    </row>
    <row r="109" spans="1:1" x14ac:dyDescent="0.25">
      <c r="A109" s="21"/>
    </row>
    <row r="110" spans="1:1" x14ac:dyDescent="0.25">
      <c r="A110" s="21"/>
    </row>
    <row r="111" spans="1:1" x14ac:dyDescent="0.25">
      <c r="A111" s="21"/>
    </row>
    <row r="112" spans="1:1" x14ac:dyDescent="0.25">
      <c r="A112" s="21"/>
    </row>
    <row r="113" spans="1:1" x14ac:dyDescent="0.25">
      <c r="A113" s="21"/>
    </row>
    <row r="114" spans="1:1" x14ac:dyDescent="0.25">
      <c r="A114" s="21"/>
    </row>
    <row r="115" spans="1:1" x14ac:dyDescent="0.25">
      <c r="A115" s="21"/>
    </row>
    <row r="116" spans="1:1" x14ac:dyDescent="0.25">
      <c r="A116" s="21"/>
    </row>
    <row r="117" spans="1:1" x14ac:dyDescent="0.25">
      <c r="A117" s="21"/>
    </row>
    <row r="118" spans="1:1" x14ac:dyDescent="0.25">
      <c r="A118" s="21"/>
    </row>
    <row r="119" spans="1:1" x14ac:dyDescent="0.25">
      <c r="A119" s="21"/>
    </row>
    <row r="120" spans="1:1" x14ac:dyDescent="0.25">
      <c r="A120" s="21"/>
    </row>
    <row r="121" spans="1:1" x14ac:dyDescent="0.25">
      <c r="A121" s="21"/>
    </row>
    <row r="122" spans="1:1" x14ac:dyDescent="0.25">
      <c r="A122" s="21"/>
    </row>
    <row r="123" spans="1:1" x14ac:dyDescent="0.25">
      <c r="A123" s="21"/>
    </row>
    <row r="124" spans="1:1" x14ac:dyDescent="0.25">
      <c r="A124" s="21"/>
    </row>
    <row r="125" spans="1:1" x14ac:dyDescent="0.25">
      <c r="A125" s="21"/>
    </row>
    <row r="126" spans="1:1" x14ac:dyDescent="0.25">
      <c r="A126" s="21"/>
    </row>
    <row r="127" spans="1:1" x14ac:dyDescent="0.25">
      <c r="A127" s="21"/>
    </row>
    <row r="128" spans="1:1" x14ac:dyDescent="0.25">
      <c r="A128" s="21"/>
    </row>
    <row r="129" spans="1:1" x14ac:dyDescent="0.25">
      <c r="A129" s="21"/>
    </row>
    <row r="130" spans="1:1" x14ac:dyDescent="0.25">
      <c r="A130" s="21"/>
    </row>
    <row r="131" spans="1:1" x14ac:dyDescent="0.25">
      <c r="A131" s="21"/>
    </row>
    <row r="132" spans="1:1" x14ac:dyDescent="0.25">
      <c r="A132" s="21"/>
    </row>
    <row r="133" spans="1:1" x14ac:dyDescent="0.25">
      <c r="A133" s="21"/>
    </row>
    <row r="134" spans="1:1" x14ac:dyDescent="0.25">
      <c r="A134" s="21"/>
    </row>
    <row r="135" spans="1:1" x14ac:dyDescent="0.25">
      <c r="A135" s="21"/>
    </row>
    <row r="136" spans="1:1" x14ac:dyDescent="0.25">
      <c r="A136" s="2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ClosingPrices">
    <pageSetUpPr fitToPage="1"/>
  </sheetPr>
  <dimension ref="A1:S196"/>
  <sheetViews>
    <sheetView workbookViewId="0"/>
  </sheetViews>
  <sheetFormatPr defaultRowHeight="15" x14ac:dyDescent="0.25"/>
  <cols>
    <col min="1" max="1" width="9.140625" style="12"/>
    <col min="2" max="16384" width="9.140625" style="14"/>
  </cols>
  <sheetData>
    <row r="1" spans="1:19" s="7" customFormat="1" x14ac:dyDescent="0.25">
      <c r="A1" s="20" t="s">
        <v>78</v>
      </c>
      <c r="B1" s="16"/>
      <c r="C1" s="16"/>
      <c r="D1" s="16"/>
      <c r="E1" s="16"/>
      <c r="F1" s="16"/>
      <c r="G1" s="16"/>
      <c r="H1" s="16"/>
      <c r="I1" s="16"/>
      <c r="J1" s="16"/>
      <c r="K1" s="16"/>
      <c r="L1" s="16"/>
      <c r="M1" s="16"/>
      <c r="N1" s="16"/>
      <c r="O1" s="16"/>
      <c r="P1" s="16"/>
      <c r="Q1" s="16"/>
      <c r="R1" s="16"/>
      <c r="S1" s="16"/>
    </row>
    <row r="2" spans="1:19" s="7" customFormat="1" x14ac:dyDescent="0.25">
      <c r="A2" s="16"/>
      <c r="B2" s="16"/>
      <c r="C2" s="16"/>
      <c r="D2" s="16"/>
      <c r="E2" s="16"/>
      <c r="F2" s="16"/>
      <c r="G2" s="16"/>
      <c r="H2" s="16"/>
      <c r="I2" s="16"/>
      <c r="J2" s="16"/>
      <c r="K2" s="16"/>
      <c r="L2" s="16"/>
      <c r="M2" s="16"/>
      <c r="N2" s="16"/>
      <c r="O2" s="16"/>
      <c r="P2" s="16"/>
      <c r="Q2" s="16"/>
      <c r="R2" s="16"/>
      <c r="S2" s="16"/>
    </row>
    <row r="3" spans="1:19" s="11" customFormat="1" x14ac:dyDescent="0.25">
      <c r="A3" s="19" t="s">
        <v>75</v>
      </c>
      <c r="B3" s="18" t="s">
        <v>3</v>
      </c>
      <c r="C3" s="18" t="s">
        <v>4</v>
      </c>
      <c r="D3" s="18" t="s">
        <v>8</v>
      </c>
      <c r="E3" s="18" t="s">
        <v>10</v>
      </c>
      <c r="F3" s="18" t="s">
        <v>48</v>
      </c>
      <c r="G3" s="18" t="s">
        <v>16</v>
      </c>
      <c r="H3" s="18"/>
      <c r="I3" s="18"/>
      <c r="J3" s="18"/>
      <c r="K3" s="18"/>
      <c r="L3" s="18"/>
      <c r="M3" s="18"/>
      <c r="N3" s="18"/>
      <c r="O3" s="18"/>
      <c r="P3" s="18"/>
      <c r="Q3" s="18"/>
      <c r="R3" s="18"/>
      <c r="S3" s="18"/>
    </row>
    <row r="4" spans="1:19" x14ac:dyDescent="0.25">
      <c r="A4" s="21">
        <v>1</v>
      </c>
      <c r="B4" s="16">
        <v>7.19</v>
      </c>
      <c r="C4" s="16">
        <v>15.22</v>
      </c>
      <c r="D4" s="16">
        <v>26.76</v>
      </c>
      <c r="E4" s="16">
        <v>18.45</v>
      </c>
      <c r="F4" s="16">
        <v>19.350000000000001</v>
      </c>
      <c r="G4" s="16">
        <v>6.12</v>
      </c>
      <c r="H4" s="16"/>
      <c r="I4" s="16"/>
      <c r="J4" s="16"/>
      <c r="K4" s="16"/>
      <c r="L4" s="16"/>
      <c r="M4" s="16"/>
      <c r="N4" s="16"/>
      <c r="O4" s="16"/>
      <c r="P4" s="16"/>
      <c r="Q4" s="16"/>
      <c r="R4" s="16"/>
      <c r="S4" s="16"/>
    </row>
    <row r="5" spans="1:19" x14ac:dyDescent="0.25">
      <c r="A5" s="21">
        <v>2</v>
      </c>
      <c r="B5" s="16">
        <v>5.87</v>
      </c>
      <c r="C5" s="16">
        <v>10.97</v>
      </c>
      <c r="D5" s="16">
        <v>21.35</v>
      </c>
      <c r="E5" s="16">
        <v>15.34</v>
      </c>
      <c r="F5" s="16">
        <v>15.69</v>
      </c>
      <c r="G5" s="16">
        <v>4.4000000000000004</v>
      </c>
      <c r="H5" s="16"/>
      <c r="I5" s="16"/>
      <c r="J5" s="16"/>
      <c r="K5" s="16"/>
      <c r="L5" s="16"/>
      <c r="M5" s="16"/>
      <c r="N5" s="16"/>
      <c r="O5" s="16"/>
      <c r="P5" s="16"/>
      <c r="Q5" s="16"/>
      <c r="R5" s="16"/>
      <c r="S5" s="16"/>
    </row>
    <row r="6" spans="1:19" x14ac:dyDescent="0.25">
      <c r="A6" s="21">
        <v>3</v>
      </c>
      <c r="B6" s="16">
        <v>6.92</v>
      </c>
      <c r="C6" s="16">
        <v>12.4</v>
      </c>
      <c r="D6" s="16">
        <v>24.26</v>
      </c>
      <c r="E6" s="16">
        <v>18.260000000000002</v>
      </c>
      <c r="F6" s="16">
        <v>16.989999999999998</v>
      </c>
      <c r="G6" s="16">
        <v>6.21</v>
      </c>
      <c r="H6" s="16"/>
      <c r="I6" s="16"/>
      <c r="J6" s="16"/>
      <c r="K6" s="16"/>
      <c r="L6" s="16"/>
      <c r="M6" s="16"/>
      <c r="N6" s="16"/>
      <c r="O6" s="16"/>
      <c r="P6" s="16"/>
      <c r="Q6" s="16"/>
      <c r="R6" s="16"/>
      <c r="S6" s="16"/>
    </row>
    <row r="7" spans="1:19" x14ac:dyDescent="0.25">
      <c r="A7" s="21">
        <v>4</v>
      </c>
      <c r="B7" s="16">
        <v>8.5500000000000007</v>
      </c>
      <c r="C7" s="16">
        <v>23.26</v>
      </c>
      <c r="D7" s="16">
        <v>31.27</v>
      </c>
      <c r="E7" s="16">
        <v>22.81</v>
      </c>
      <c r="F7" s="16">
        <v>20.49</v>
      </c>
      <c r="G7" s="16">
        <v>10.9</v>
      </c>
      <c r="H7" s="16"/>
      <c r="I7" s="16"/>
      <c r="J7" s="16"/>
      <c r="K7" s="16"/>
      <c r="L7" s="16"/>
      <c r="M7" s="16"/>
      <c r="N7" s="16"/>
      <c r="O7" s="16"/>
      <c r="P7" s="16"/>
      <c r="Q7" s="16"/>
      <c r="R7" s="16"/>
      <c r="S7" s="16"/>
    </row>
    <row r="8" spans="1:19" x14ac:dyDescent="0.25">
      <c r="A8" s="21">
        <v>5</v>
      </c>
      <c r="B8" s="16">
        <v>8.7200000000000006</v>
      </c>
      <c r="C8" s="16">
        <v>22.92</v>
      </c>
      <c r="D8" s="16">
        <v>31.16</v>
      </c>
      <c r="E8" s="16">
        <v>23.62</v>
      </c>
      <c r="F8" s="16">
        <v>22.66</v>
      </c>
      <c r="G8" s="16">
        <v>11.35</v>
      </c>
      <c r="H8" s="16"/>
      <c r="I8" s="16"/>
      <c r="J8" s="16"/>
      <c r="K8" s="16"/>
      <c r="L8" s="16"/>
      <c r="M8" s="16"/>
      <c r="N8" s="16"/>
      <c r="O8" s="16"/>
      <c r="P8" s="16"/>
      <c r="Q8" s="16"/>
      <c r="R8" s="16"/>
      <c r="S8" s="16"/>
    </row>
    <row r="9" spans="1:19" x14ac:dyDescent="0.25">
      <c r="A9" s="21">
        <v>6</v>
      </c>
      <c r="B9" s="16">
        <v>9.76</v>
      </c>
      <c r="C9" s="16">
        <v>21.59</v>
      </c>
      <c r="D9" s="16">
        <v>29.03</v>
      </c>
      <c r="E9" s="16">
        <v>21.26</v>
      </c>
      <c r="F9" s="16">
        <v>21.83</v>
      </c>
      <c r="G9" s="16">
        <v>11.16</v>
      </c>
      <c r="H9" s="16"/>
      <c r="I9" s="16"/>
      <c r="J9" s="16"/>
      <c r="K9" s="16"/>
      <c r="L9" s="16"/>
      <c r="M9" s="16"/>
      <c r="N9" s="16"/>
      <c r="O9" s="16"/>
      <c r="P9" s="16"/>
      <c r="Q9" s="16"/>
      <c r="R9" s="16"/>
      <c r="S9" s="16"/>
    </row>
    <row r="10" spans="1:19" x14ac:dyDescent="0.25">
      <c r="A10" s="21">
        <v>7</v>
      </c>
      <c r="B10" s="16">
        <v>11.12</v>
      </c>
      <c r="C10" s="16">
        <v>26.32</v>
      </c>
      <c r="D10" s="16">
        <v>39.200000000000003</v>
      </c>
      <c r="E10" s="16">
        <v>25.66</v>
      </c>
      <c r="F10" s="16">
        <v>23.5</v>
      </c>
      <c r="G10" s="16">
        <v>16.87</v>
      </c>
      <c r="H10" s="16"/>
      <c r="I10" s="16"/>
      <c r="J10" s="16"/>
      <c r="K10" s="16"/>
      <c r="L10" s="16"/>
      <c r="M10" s="16"/>
      <c r="N10" s="16"/>
      <c r="O10" s="16"/>
      <c r="P10" s="16"/>
      <c r="Q10" s="16"/>
      <c r="R10" s="16"/>
      <c r="S10" s="16"/>
    </row>
    <row r="11" spans="1:19" x14ac:dyDescent="0.25">
      <c r="A11" s="21">
        <v>8</v>
      </c>
      <c r="B11" s="16">
        <v>11.42</v>
      </c>
      <c r="C11" s="16">
        <v>31.42</v>
      </c>
      <c r="D11" s="16">
        <v>40.32</v>
      </c>
      <c r="E11" s="16">
        <v>26.83</v>
      </c>
      <c r="F11" s="16">
        <v>24.36</v>
      </c>
      <c r="G11" s="16">
        <v>16.350000000000001</v>
      </c>
      <c r="H11" s="16"/>
      <c r="I11" s="16"/>
      <c r="J11" s="16"/>
      <c r="K11" s="16"/>
      <c r="L11" s="16"/>
      <c r="M11" s="16"/>
      <c r="N11" s="16"/>
      <c r="O11" s="16"/>
      <c r="P11" s="16"/>
      <c r="Q11" s="16"/>
      <c r="R11" s="16"/>
      <c r="S11" s="16"/>
    </row>
    <row r="12" spans="1:19" x14ac:dyDescent="0.25">
      <c r="A12" s="21">
        <v>9</v>
      </c>
      <c r="B12" s="16">
        <v>12.43</v>
      </c>
      <c r="C12" s="16">
        <v>31.66</v>
      </c>
      <c r="D12" s="16">
        <v>45.67</v>
      </c>
      <c r="E12" s="16">
        <v>27</v>
      </c>
      <c r="F12" s="16">
        <v>25.69</v>
      </c>
      <c r="G12" s="16">
        <v>16.88</v>
      </c>
      <c r="H12" s="16"/>
      <c r="I12" s="16"/>
      <c r="J12" s="16"/>
      <c r="K12" s="16"/>
      <c r="L12" s="16"/>
      <c r="M12" s="16"/>
      <c r="N12" s="16"/>
      <c r="O12" s="16"/>
      <c r="P12" s="16"/>
      <c r="Q12" s="16"/>
      <c r="R12" s="16"/>
      <c r="S12" s="16"/>
    </row>
    <row r="13" spans="1:19" x14ac:dyDescent="0.25">
      <c r="A13" s="21">
        <v>10</v>
      </c>
      <c r="B13" s="16">
        <v>11.77</v>
      </c>
      <c r="C13" s="16">
        <v>32.54</v>
      </c>
      <c r="D13" s="16">
        <v>49.35</v>
      </c>
      <c r="E13" s="16">
        <v>26.73</v>
      </c>
      <c r="F13" s="16">
        <v>25.61</v>
      </c>
      <c r="G13" s="16">
        <v>12.77</v>
      </c>
      <c r="H13" s="16"/>
      <c r="I13" s="16"/>
      <c r="J13" s="16"/>
      <c r="K13" s="16"/>
      <c r="L13" s="16"/>
      <c r="M13" s="16"/>
      <c r="N13" s="16"/>
      <c r="O13" s="16"/>
      <c r="P13" s="16"/>
      <c r="Q13" s="16"/>
      <c r="R13" s="16"/>
      <c r="S13" s="16"/>
    </row>
    <row r="14" spans="1:19" x14ac:dyDescent="0.25">
      <c r="A14" s="21">
        <v>11</v>
      </c>
      <c r="B14" s="16">
        <v>11.89</v>
      </c>
      <c r="C14" s="16">
        <v>39.07</v>
      </c>
      <c r="D14" s="16">
        <v>52.33</v>
      </c>
      <c r="E14" s="16">
        <v>29.4</v>
      </c>
      <c r="F14" s="16">
        <v>28.28</v>
      </c>
      <c r="G14" s="16">
        <v>13.59</v>
      </c>
      <c r="H14" s="16"/>
      <c r="I14" s="16"/>
      <c r="J14" s="16"/>
      <c r="K14" s="16"/>
      <c r="L14" s="16"/>
      <c r="M14" s="16"/>
      <c r="N14" s="16"/>
      <c r="O14" s="16"/>
      <c r="P14" s="16"/>
      <c r="Q14" s="16"/>
      <c r="R14" s="16"/>
      <c r="S14" s="16"/>
    </row>
    <row r="15" spans="1:19" x14ac:dyDescent="0.25">
      <c r="A15" s="21">
        <v>12</v>
      </c>
      <c r="B15" s="16">
        <v>15.31</v>
      </c>
      <c r="C15" s="16">
        <v>37.85</v>
      </c>
      <c r="D15" s="16">
        <v>51.08</v>
      </c>
      <c r="E15" s="16">
        <v>28.63</v>
      </c>
      <c r="F15" s="16">
        <v>30.52</v>
      </c>
      <c r="G15" s="16">
        <v>13.98</v>
      </c>
      <c r="H15" s="16"/>
      <c r="I15" s="16"/>
      <c r="J15" s="16"/>
      <c r="K15" s="16"/>
      <c r="L15" s="16"/>
      <c r="M15" s="16"/>
      <c r="N15" s="16"/>
      <c r="O15" s="16"/>
      <c r="P15" s="16"/>
      <c r="Q15" s="16"/>
      <c r="R15" s="16"/>
      <c r="S15" s="16"/>
    </row>
    <row r="16" spans="1:19" x14ac:dyDescent="0.25">
      <c r="A16" s="21">
        <v>13</v>
      </c>
      <c r="B16" s="16">
        <v>12.09</v>
      </c>
      <c r="C16" s="16">
        <v>35.33</v>
      </c>
      <c r="D16" s="16">
        <v>47.14</v>
      </c>
      <c r="E16" s="16">
        <v>27.73</v>
      </c>
      <c r="F16" s="16">
        <v>27.97</v>
      </c>
      <c r="G16" s="16">
        <v>13.23</v>
      </c>
      <c r="H16" s="16"/>
      <c r="I16" s="16"/>
      <c r="J16" s="16"/>
      <c r="K16" s="16"/>
      <c r="L16" s="16"/>
      <c r="M16" s="16"/>
      <c r="N16" s="16"/>
      <c r="O16" s="16"/>
      <c r="P16" s="16"/>
      <c r="Q16" s="16"/>
      <c r="R16" s="16"/>
      <c r="S16" s="16"/>
    </row>
    <row r="17" spans="1:19" x14ac:dyDescent="0.25">
      <c r="A17" s="21">
        <v>14</v>
      </c>
      <c r="B17" s="16">
        <v>12.66</v>
      </c>
      <c r="C17" s="16">
        <v>35.83</v>
      </c>
      <c r="D17" s="16">
        <v>51.48</v>
      </c>
      <c r="E17" s="16">
        <v>29.03</v>
      </c>
      <c r="F17" s="16">
        <v>29.57</v>
      </c>
      <c r="G17" s="16">
        <v>12.88</v>
      </c>
      <c r="H17" s="16"/>
      <c r="I17" s="16"/>
      <c r="J17" s="16"/>
      <c r="K17" s="16"/>
      <c r="L17" s="16"/>
      <c r="M17" s="16"/>
      <c r="N17" s="16"/>
      <c r="O17" s="16"/>
      <c r="P17" s="16"/>
      <c r="Q17" s="16"/>
      <c r="R17" s="16"/>
      <c r="S17" s="16"/>
    </row>
    <row r="18" spans="1:19" x14ac:dyDescent="0.25">
      <c r="A18" s="21">
        <v>15</v>
      </c>
      <c r="B18" s="16">
        <v>13.55</v>
      </c>
      <c r="C18" s="16">
        <v>38.880000000000003</v>
      </c>
      <c r="D18" s="16">
        <v>56.71</v>
      </c>
      <c r="E18" s="16">
        <v>32.06</v>
      </c>
      <c r="F18" s="16">
        <v>33.04</v>
      </c>
      <c r="G18" s="16">
        <v>12.53</v>
      </c>
      <c r="H18" s="16"/>
      <c r="I18" s="16"/>
      <c r="J18" s="16"/>
      <c r="K18" s="16"/>
      <c r="L18" s="16"/>
      <c r="M18" s="16"/>
      <c r="N18" s="16"/>
      <c r="O18" s="16"/>
      <c r="P18" s="16"/>
      <c r="Q18" s="16"/>
      <c r="R18" s="16"/>
      <c r="S18" s="16"/>
    </row>
    <row r="19" spans="1:19" x14ac:dyDescent="0.25">
      <c r="A19" s="21">
        <v>16</v>
      </c>
      <c r="B19" s="16">
        <v>12.78</v>
      </c>
      <c r="C19" s="16">
        <v>43.46</v>
      </c>
      <c r="D19" s="16">
        <v>61.82</v>
      </c>
      <c r="E19" s="16">
        <v>34.299999999999997</v>
      </c>
      <c r="F19" s="16">
        <v>34.869999999999997</v>
      </c>
      <c r="G19" s="16">
        <v>13.32</v>
      </c>
      <c r="H19" s="16"/>
      <c r="I19" s="16"/>
      <c r="J19" s="16"/>
      <c r="K19" s="16"/>
      <c r="L19" s="16"/>
      <c r="M19" s="16"/>
      <c r="N19" s="16"/>
      <c r="O19" s="16"/>
      <c r="P19" s="16"/>
      <c r="Q19" s="16"/>
      <c r="R19" s="16"/>
      <c r="S19" s="16"/>
    </row>
    <row r="20" spans="1:19" x14ac:dyDescent="0.25">
      <c r="A20" s="21">
        <v>17</v>
      </c>
      <c r="B20" s="16">
        <v>11.11</v>
      </c>
      <c r="C20" s="16">
        <v>37.57</v>
      </c>
      <c r="D20" s="16">
        <v>55.17</v>
      </c>
      <c r="E20" s="16">
        <v>31.48</v>
      </c>
      <c r="F20" s="16">
        <v>31.63</v>
      </c>
      <c r="G20" s="16">
        <v>11.8</v>
      </c>
      <c r="H20" s="16"/>
      <c r="I20" s="16"/>
      <c r="J20" s="16"/>
      <c r="K20" s="16"/>
      <c r="L20" s="16"/>
      <c r="M20" s="16"/>
      <c r="N20" s="16"/>
      <c r="O20" s="16"/>
      <c r="P20" s="16"/>
      <c r="Q20" s="16"/>
      <c r="R20" s="16"/>
      <c r="S20" s="16"/>
    </row>
    <row r="21" spans="1:19" x14ac:dyDescent="0.25">
      <c r="A21" s="21">
        <v>18</v>
      </c>
      <c r="B21" s="16">
        <v>9.6</v>
      </c>
      <c r="C21" s="16">
        <v>37.57</v>
      </c>
      <c r="D21" s="16">
        <v>54.54</v>
      </c>
      <c r="E21" s="16">
        <v>30.11</v>
      </c>
      <c r="F21" s="16">
        <v>29.81</v>
      </c>
      <c r="G21" s="16">
        <v>9.86</v>
      </c>
      <c r="H21" s="16"/>
      <c r="I21" s="16"/>
      <c r="J21" s="16"/>
      <c r="K21" s="16"/>
      <c r="L21" s="16"/>
      <c r="M21" s="16"/>
      <c r="N21" s="16"/>
      <c r="O21" s="16"/>
      <c r="P21" s="16"/>
      <c r="Q21" s="16"/>
      <c r="R21" s="16"/>
      <c r="S21" s="16"/>
    </row>
    <row r="22" spans="1:19" x14ac:dyDescent="0.25">
      <c r="A22" s="21">
        <v>19</v>
      </c>
      <c r="B22" s="16">
        <v>10.66</v>
      </c>
      <c r="C22" s="16">
        <v>42.25</v>
      </c>
      <c r="D22" s="16">
        <v>63.75</v>
      </c>
      <c r="E22" s="16">
        <v>35.4</v>
      </c>
      <c r="F22" s="16">
        <v>31.89</v>
      </c>
      <c r="G22" s="16">
        <v>10.58</v>
      </c>
      <c r="H22" s="16"/>
      <c r="I22" s="16"/>
      <c r="J22" s="16"/>
      <c r="K22" s="16"/>
      <c r="L22" s="16"/>
      <c r="M22" s="16"/>
      <c r="N22" s="16"/>
      <c r="O22" s="16"/>
      <c r="P22" s="16"/>
      <c r="Q22" s="16"/>
      <c r="R22" s="16"/>
      <c r="S22" s="16"/>
    </row>
    <row r="23" spans="1:19" x14ac:dyDescent="0.25">
      <c r="A23" s="21">
        <v>20</v>
      </c>
      <c r="B23" s="16">
        <v>9.7799999999999994</v>
      </c>
      <c r="C23" s="16">
        <v>37.74</v>
      </c>
      <c r="D23" s="16">
        <v>59.56</v>
      </c>
      <c r="E23" s="16">
        <v>35.83</v>
      </c>
      <c r="F23" s="16">
        <v>30.8</v>
      </c>
      <c r="G23" s="16">
        <v>9.16</v>
      </c>
      <c r="H23" s="16"/>
      <c r="I23" s="16"/>
      <c r="J23" s="16"/>
      <c r="K23" s="16"/>
      <c r="L23" s="16"/>
      <c r="M23" s="16"/>
      <c r="N23" s="16"/>
      <c r="O23" s="16"/>
      <c r="P23" s="16"/>
      <c r="Q23" s="16"/>
      <c r="R23" s="16"/>
      <c r="S23" s="16"/>
    </row>
    <row r="24" spans="1:19" x14ac:dyDescent="0.25">
      <c r="A24" s="21">
        <v>21</v>
      </c>
      <c r="B24" s="16">
        <v>11.58</v>
      </c>
      <c r="C24" s="16">
        <v>39.78</v>
      </c>
      <c r="D24" s="16">
        <v>71.91</v>
      </c>
      <c r="E24" s="16">
        <v>39.22</v>
      </c>
      <c r="F24" s="16">
        <v>31.33</v>
      </c>
      <c r="G24" s="16">
        <v>10.66</v>
      </c>
      <c r="H24" s="16"/>
      <c r="I24" s="16"/>
      <c r="J24" s="16"/>
      <c r="K24" s="16"/>
      <c r="L24" s="16"/>
      <c r="M24" s="16"/>
      <c r="N24" s="16"/>
      <c r="O24" s="16"/>
      <c r="P24" s="16"/>
      <c r="Q24" s="16"/>
      <c r="R24" s="16"/>
      <c r="S24" s="16"/>
    </row>
    <row r="25" spans="1:19" x14ac:dyDescent="0.25">
      <c r="A25" s="21">
        <v>22</v>
      </c>
      <c r="B25" s="16">
        <v>12.57</v>
      </c>
      <c r="C25" s="16">
        <v>39.43</v>
      </c>
      <c r="D25" s="16">
        <v>72.239999999999995</v>
      </c>
      <c r="E25" s="16">
        <v>41.56</v>
      </c>
      <c r="F25" s="16">
        <v>34.200000000000003</v>
      </c>
      <c r="G25" s="16">
        <v>10.130000000000001</v>
      </c>
      <c r="H25" s="16"/>
      <c r="I25" s="16"/>
      <c r="J25" s="16"/>
      <c r="K25" s="16"/>
      <c r="L25" s="16"/>
      <c r="M25" s="16"/>
      <c r="N25" s="16"/>
      <c r="O25" s="16"/>
      <c r="P25" s="16"/>
      <c r="Q25" s="16"/>
      <c r="R25" s="16"/>
      <c r="S25" s="16"/>
    </row>
    <row r="26" spans="1:19" x14ac:dyDescent="0.25">
      <c r="A26" s="21">
        <v>23</v>
      </c>
      <c r="B26" s="16">
        <v>12.59</v>
      </c>
      <c r="C26" s="16">
        <v>41.1</v>
      </c>
      <c r="D26" s="16">
        <v>77.75</v>
      </c>
      <c r="E26" s="16">
        <v>41.66</v>
      </c>
      <c r="F26" s="16">
        <v>34.549999999999997</v>
      </c>
      <c r="G26" s="16">
        <v>9.48</v>
      </c>
      <c r="H26" s="16"/>
      <c r="I26" s="16"/>
      <c r="J26" s="16"/>
      <c r="K26" s="16"/>
      <c r="L26" s="16"/>
      <c r="M26" s="16"/>
      <c r="N26" s="16"/>
      <c r="O26" s="16"/>
      <c r="P26" s="16"/>
      <c r="Q26" s="16"/>
      <c r="R26" s="16"/>
      <c r="S26" s="16"/>
    </row>
    <row r="27" spans="1:19" x14ac:dyDescent="0.25">
      <c r="A27" s="21">
        <v>24</v>
      </c>
      <c r="B27" s="16">
        <v>14.76</v>
      </c>
      <c r="C27" s="16">
        <v>40.81</v>
      </c>
      <c r="D27" s="16">
        <v>86.08</v>
      </c>
      <c r="E27" s="16">
        <v>44.22</v>
      </c>
      <c r="F27" s="16">
        <v>35.89</v>
      </c>
      <c r="G27" s="16">
        <v>11.75</v>
      </c>
      <c r="H27" s="16"/>
      <c r="I27" s="16"/>
      <c r="J27" s="16"/>
      <c r="K27" s="16"/>
      <c r="L27" s="16"/>
      <c r="M27" s="16"/>
      <c r="N27" s="16"/>
      <c r="O27" s="16"/>
      <c r="P27" s="16"/>
      <c r="Q27" s="16"/>
      <c r="R27" s="16"/>
      <c r="S27" s="16"/>
    </row>
    <row r="28" spans="1:19" x14ac:dyDescent="0.25">
      <c r="A28" s="21">
        <v>25</v>
      </c>
      <c r="B28" s="16">
        <v>15.89</v>
      </c>
      <c r="C28" s="16">
        <v>41.42</v>
      </c>
      <c r="D28" s="16">
        <v>89.58</v>
      </c>
      <c r="E28" s="16">
        <v>44.93</v>
      </c>
      <c r="F28" s="16">
        <v>37.19</v>
      </c>
      <c r="G28" s="16">
        <v>11.78</v>
      </c>
      <c r="H28" s="16"/>
      <c r="I28" s="16"/>
      <c r="J28" s="16"/>
      <c r="K28" s="16"/>
      <c r="L28" s="16"/>
      <c r="M28" s="16"/>
      <c r="N28" s="16"/>
      <c r="O28" s="16"/>
      <c r="P28" s="16"/>
      <c r="Q28" s="16"/>
      <c r="R28" s="16"/>
      <c r="S28" s="16"/>
    </row>
    <row r="29" spans="1:19" x14ac:dyDescent="0.25">
      <c r="A29" s="21">
        <v>26</v>
      </c>
      <c r="B29" s="16">
        <v>16.18</v>
      </c>
      <c r="C29" s="16">
        <v>41.6</v>
      </c>
      <c r="D29" s="16">
        <v>95.04</v>
      </c>
      <c r="E29" s="16">
        <v>49.01</v>
      </c>
      <c r="F29" s="16">
        <v>41.85</v>
      </c>
      <c r="G29" s="16">
        <v>14.06</v>
      </c>
      <c r="H29" s="16"/>
      <c r="I29" s="16"/>
      <c r="J29" s="16"/>
      <c r="K29" s="16"/>
      <c r="L29" s="16"/>
      <c r="M29" s="16"/>
      <c r="N29" s="16"/>
      <c r="O29" s="16"/>
      <c r="P29" s="16"/>
      <c r="Q29" s="16"/>
      <c r="R29" s="16"/>
      <c r="S29" s="16"/>
    </row>
    <row r="30" spans="1:19" x14ac:dyDescent="0.25">
      <c r="A30" s="21">
        <v>27</v>
      </c>
      <c r="B30" s="16">
        <v>16.96</v>
      </c>
      <c r="C30" s="16">
        <v>43.16</v>
      </c>
      <c r="D30" s="16">
        <v>102.82</v>
      </c>
      <c r="E30" s="16">
        <v>49.1</v>
      </c>
      <c r="F30" s="16">
        <v>41.23</v>
      </c>
      <c r="G30" s="16">
        <v>14.85</v>
      </c>
      <c r="H30" s="16"/>
      <c r="I30" s="16"/>
      <c r="J30" s="16"/>
      <c r="K30" s="16"/>
      <c r="L30" s="16"/>
      <c r="M30" s="16"/>
      <c r="N30" s="16"/>
      <c r="O30" s="16"/>
      <c r="P30" s="16"/>
      <c r="Q30" s="16"/>
      <c r="R30" s="16"/>
      <c r="S30" s="16"/>
    </row>
    <row r="31" spans="1:19" x14ac:dyDescent="0.25">
      <c r="A31" s="21">
        <v>28</v>
      </c>
      <c r="B31" s="16">
        <v>16.329999999999998</v>
      </c>
      <c r="C31" s="16">
        <v>47.05</v>
      </c>
      <c r="D31" s="16">
        <v>107.01</v>
      </c>
      <c r="E31" s="16">
        <v>50.73</v>
      </c>
      <c r="F31" s="16">
        <v>41.24</v>
      </c>
      <c r="G31" s="16">
        <v>18</v>
      </c>
      <c r="H31" s="16"/>
      <c r="I31" s="16"/>
      <c r="J31" s="16"/>
      <c r="K31" s="16"/>
      <c r="L31" s="16"/>
      <c r="M31" s="16"/>
      <c r="N31" s="16"/>
      <c r="O31" s="16"/>
      <c r="P31" s="16"/>
      <c r="Q31" s="16"/>
      <c r="R31" s="16"/>
      <c r="S31" s="16"/>
    </row>
    <row r="32" spans="1:19" x14ac:dyDescent="0.25">
      <c r="A32" s="21">
        <v>29</v>
      </c>
      <c r="B32" s="16">
        <v>16.170000000000002</v>
      </c>
      <c r="C32" s="16">
        <v>49.47</v>
      </c>
      <c r="D32" s="16">
        <v>98.1</v>
      </c>
      <c r="E32" s="16">
        <v>47.96</v>
      </c>
      <c r="F32" s="16">
        <v>39.83</v>
      </c>
      <c r="G32" s="16">
        <v>17.579999999999998</v>
      </c>
      <c r="H32" s="16"/>
      <c r="I32" s="16"/>
      <c r="J32" s="16"/>
      <c r="K32" s="16"/>
      <c r="L32" s="16"/>
      <c r="M32" s="16"/>
      <c r="N32" s="16"/>
      <c r="O32" s="16"/>
      <c r="P32" s="16"/>
      <c r="Q32" s="16"/>
      <c r="R32" s="16"/>
      <c r="S32" s="16"/>
    </row>
    <row r="33" spans="1:19" x14ac:dyDescent="0.25">
      <c r="A33" s="21">
        <v>30</v>
      </c>
      <c r="B33" s="16">
        <v>15.26</v>
      </c>
      <c r="C33" s="16">
        <v>49.74</v>
      </c>
      <c r="D33" s="16">
        <v>98.71</v>
      </c>
      <c r="E33" s="16">
        <v>48.64</v>
      </c>
      <c r="F33" s="16">
        <v>37.35</v>
      </c>
      <c r="G33" s="16">
        <v>16.63</v>
      </c>
      <c r="H33" s="16"/>
      <c r="I33" s="16"/>
      <c r="J33" s="16"/>
      <c r="K33" s="16"/>
      <c r="L33" s="16"/>
      <c r="M33" s="16"/>
      <c r="N33" s="16"/>
      <c r="O33" s="16"/>
      <c r="P33" s="16"/>
      <c r="Q33" s="16"/>
      <c r="R33" s="16"/>
      <c r="S33" s="16"/>
    </row>
    <row r="34" spans="1:19" x14ac:dyDescent="0.25">
      <c r="A34" s="21">
        <v>31</v>
      </c>
      <c r="B34" s="16">
        <v>14.17</v>
      </c>
      <c r="C34" s="16">
        <v>48.14</v>
      </c>
      <c r="D34" s="16">
        <v>91.99</v>
      </c>
      <c r="E34" s="16">
        <v>46.27</v>
      </c>
      <c r="F34" s="16">
        <v>36.950000000000003</v>
      </c>
      <c r="G34" s="16">
        <v>16.03</v>
      </c>
      <c r="H34" s="16"/>
      <c r="I34" s="16"/>
      <c r="J34" s="16"/>
      <c r="K34" s="16"/>
      <c r="L34" s="16"/>
      <c r="M34" s="16"/>
      <c r="N34" s="16"/>
      <c r="O34" s="16"/>
      <c r="P34" s="16"/>
      <c r="Q34" s="16"/>
      <c r="R34" s="16"/>
      <c r="S34" s="16"/>
    </row>
    <row r="35" spans="1:19" x14ac:dyDescent="0.25">
      <c r="A35" s="21">
        <v>32</v>
      </c>
      <c r="B35" s="16">
        <v>12.34</v>
      </c>
      <c r="C35" s="16">
        <v>47.83</v>
      </c>
      <c r="D35" s="16">
        <v>84.73</v>
      </c>
      <c r="E35" s="16">
        <v>43.84</v>
      </c>
      <c r="F35" s="16">
        <v>32.590000000000003</v>
      </c>
      <c r="G35" s="16">
        <v>12.35</v>
      </c>
      <c r="H35" s="16"/>
      <c r="I35" s="16"/>
      <c r="J35" s="16"/>
      <c r="K35" s="16"/>
      <c r="L35" s="16"/>
      <c r="M35" s="16"/>
      <c r="N35" s="16"/>
      <c r="O35" s="16"/>
      <c r="P35" s="16"/>
      <c r="Q35" s="16"/>
      <c r="R35" s="16"/>
      <c r="S35" s="16"/>
    </row>
    <row r="36" spans="1:19" x14ac:dyDescent="0.25">
      <c r="A36" s="21">
        <v>33</v>
      </c>
      <c r="B36" s="16">
        <v>9.23</v>
      </c>
      <c r="C36" s="16">
        <v>43.2</v>
      </c>
      <c r="D36" s="16">
        <v>68.75</v>
      </c>
      <c r="E36" s="16">
        <v>36.299999999999997</v>
      </c>
      <c r="F36" s="16">
        <v>28.86</v>
      </c>
      <c r="G36" s="16">
        <v>10</v>
      </c>
      <c r="H36" s="16"/>
      <c r="I36" s="16"/>
      <c r="J36" s="16"/>
      <c r="K36" s="16"/>
      <c r="L36" s="16"/>
      <c r="M36" s="16"/>
      <c r="N36" s="16"/>
      <c r="O36" s="16"/>
      <c r="P36" s="16"/>
      <c r="Q36" s="16"/>
      <c r="R36" s="16"/>
      <c r="S36" s="16"/>
    </row>
    <row r="37" spans="1:19" x14ac:dyDescent="0.25">
      <c r="A37" s="21">
        <v>34</v>
      </c>
      <c r="B37" s="16">
        <v>10.37</v>
      </c>
      <c r="C37" s="16">
        <v>48.91</v>
      </c>
      <c r="D37" s="16">
        <v>88.44</v>
      </c>
      <c r="E37" s="16">
        <v>43.66</v>
      </c>
      <c r="F37" s="16">
        <v>33.369999999999997</v>
      </c>
      <c r="G37" s="16">
        <v>14.24</v>
      </c>
      <c r="H37" s="16"/>
      <c r="I37" s="16"/>
      <c r="J37" s="16"/>
      <c r="K37" s="16"/>
      <c r="L37" s="16"/>
      <c r="M37" s="16"/>
      <c r="N37" s="16"/>
      <c r="O37" s="16"/>
      <c r="P37" s="16"/>
      <c r="Q37" s="16"/>
      <c r="R37" s="16"/>
      <c r="S37" s="16"/>
    </row>
    <row r="38" spans="1:19" x14ac:dyDescent="0.25">
      <c r="A38" s="21">
        <v>35</v>
      </c>
      <c r="B38" s="16">
        <v>9.69</v>
      </c>
      <c r="C38" s="16">
        <v>46.41</v>
      </c>
      <c r="D38" s="16">
        <v>91.64</v>
      </c>
      <c r="E38" s="16">
        <v>43.72</v>
      </c>
      <c r="F38" s="16">
        <v>34.299999999999997</v>
      </c>
      <c r="G38" s="16">
        <v>13.87</v>
      </c>
      <c r="H38" s="16"/>
      <c r="I38" s="16"/>
      <c r="J38" s="16"/>
      <c r="K38" s="16"/>
      <c r="L38" s="16"/>
      <c r="M38" s="16"/>
      <c r="N38" s="16"/>
      <c r="O38" s="16"/>
      <c r="P38" s="16"/>
      <c r="Q38" s="16"/>
      <c r="R38" s="16"/>
      <c r="S38" s="16"/>
    </row>
    <row r="39" spans="1:19" x14ac:dyDescent="0.25">
      <c r="A39" s="21">
        <v>36</v>
      </c>
      <c r="B39" s="16">
        <v>8.36</v>
      </c>
      <c r="C39" s="16">
        <v>45.57</v>
      </c>
      <c r="D39" s="16">
        <v>84.83</v>
      </c>
      <c r="E39" s="16">
        <v>41.94</v>
      </c>
      <c r="F39" s="16">
        <v>36.479999999999997</v>
      </c>
      <c r="G39" s="16">
        <v>14.05</v>
      </c>
      <c r="H39" s="16"/>
      <c r="I39" s="16"/>
      <c r="J39" s="16"/>
      <c r="K39" s="16"/>
      <c r="L39" s="16"/>
      <c r="M39" s="16"/>
      <c r="N39" s="16"/>
      <c r="O39" s="16"/>
      <c r="P39" s="16"/>
      <c r="Q39" s="16"/>
      <c r="R39" s="16"/>
      <c r="S39" s="16"/>
    </row>
    <row r="40" spans="1:19" x14ac:dyDescent="0.25">
      <c r="A40" s="21">
        <v>37</v>
      </c>
      <c r="B40" s="16">
        <v>9.82</v>
      </c>
      <c r="C40" s="16">
        <v>48.62</v>
      </c>
      <c r="D40" s="16">
        <v>102.62</v>
      </c>
      <c r="E40" s="16">
        <v>46.62</v>
      </c>
      <c r="F40" s="16">
        <v>37.840000000000003</v>
      </c>
      <c r="G40" s="16">
        <v>12.89</v>
      </c>
      <c r="H40" s="16"/>
      <c r="I40" s="16"/>
      <c r="J40" s="16"/>
      <c r="K40" s="16"/>
      <c r="L40" s="16"/>
      <c r="M40" s="16"/>
      <c r="N40" s="16"/>
      <c r="O40" s="16"/>
      <c r="P40" s="16"/>
      <c r="Q40" s="16"/>
      <c r="R40" s="16"/>
      <c r="S40" s="16"/>
    </row>
    <row r="41" spans="1:19" x14ac:dyDescent="0.25">
      <c r="A41" s="21">
        <v>38</v>
      </c>
      <c r="B41" s="16">
        <v>9.86</v>
      </c>
      <c r="C41" s="16">
        <v>51.29</v>
      </c>
      <c r="D41" s="16">
        <v>107.41</v>
      </c>
      <c r="E41" s="16">
        <v>46.96</v>
      </c>
      <c r="F41" s="16">
        <v>40.85</v>
      </c>
      <c r="G41" s="16">
        <v>12.75</v>
      </c>
      <c r="H41" s="16"/>
      <c r="I41" s="16"/>
      <c r="J41" s="16"/>
      <c r="K41" s="16"/>
      <c r="L41" s="16"/>
      <c r="M41" s="16"/>
      <c r="N41" s="16"/>
      <c r="O41" s="16"/>
      <c r="P41" s="16"/>
      <c r="Q41" s="16"/>
      <c r="R41" s="16"/>
      <c r="S41" s="16"/>
    </row>
    <row r="42" spans="1:19" x14ac:dyDescent="0.25">
      <c r="A42" s="21">
        <v>39</v>
      </c>
      <c r="B42" s="16">
        <v>9.7200000000000006</v>
      </c>
      <c r="C42" s="16">
        <v>56.11</v>
      </c>
      <c r="D42" s="16">
        <v>100.18</v>
      </c>
      <c r="E42" s="16">
        <v>48.85</v>
      </c>
      <c r="F42" s="16">
        <v>42.59</v>
      </c>
      <c r="G42" s="16">
        <v>11.12</v>
      </c>
      <c r="H42" s="16"/>
      <c r="I42" s="16"/>
      <c r="J42" s="16"/>
      <c r="K42" s="16"/>
      <c r="L42" s="16"/>
      <c r="M42" s="16"/>
      <c r="N42" s="16"/>
      <c r="O42" s="16"/>
      <c r="P42" s="16"/>
      <c r="Q42" s="16"/>
      <c r="R42" s="16"/>
      <c r="S42" s="16"/>
    </row>
    <row r="43" spans="1:19" x14ac:dyDescent="0.25">
      <c r="A43" s="21">
        <v>40</v>
      </c>
      <c r="B43" s="16">
        <v>9.44</v>
      </c>
      <c r="C43" s="16">
        <v>58.59</v>
      </c>
      <c r="D43" s="16">
        <v>97.06</v>
      </c>
      <c r="E43" s="16">
        <v>49.37</v>
      </c>
      <c r="F43" s="16">
        <v>41.94</v>
      </c>
      <c r="G43" s="16">
        <v>10.89</v>
      </c>
      <c r="H43" s="16"/>
      <c r="I43" s="16"/>
      <c r="J43" s="16"/>
      <c r="K43" s="16"/>
      <c r="L43" s="16"/>
      <c r="M43" s="16"/>
      <c r="N43" s="16"/>
      <c r="O43" s="16"/>
      <c r="P43" s="16"/>
      <c r="Q43" s="16"/>
      <c r="R43" s="16"/>
      <c r="S43" s="16"/>
    </row>
    <row r="44" spans="1:19" x14ac:dyDescent="0.25">
      <c r="A44" s="21">
        <v>41</v>
      </c>
      <c r="B44" s="16">
        <v>8.32</v>
      </c>
      <c r="C44" s="16">
        <v>54.33</v>
      </c>
      <c r="D44" s="16">
        <v>82.75</v>
      </c>
      <c r="E44" s="16">
        <v>44.94</v>
      </c>
      <c r="F44" s="16">
        <v>44.47</v>
      </c>
      <c r="G44" s="16">
        <v>10.36</v>
      </c>
      <c r="H44" s="16"/>
      <c r="I44" s="16"/>
      <c r="J44" s="16"/>
      <c r="K44" s="16"/>
      <c r="L44" s="16"/>
      <c r="M44" s="16"/>
      <c r="N44" s="16"/>
      <c r="O44" s="16"/>
      <c r="P44" s="16"/>
      <c r="Q44" s="16"/>
      <c r="R44" s="16"/>
      <c r="S44" s="16"/>
    </row>
    <row r="45" spans="1:19" x14ac:dyDescent="0.25">
      <c r="A45" s="21">
        <v>42</v>
      </c>
      <c r="B45" s="16">
        <v>8.51</v>
      </c>
      <c r="C45" s="16">
        <v>56.64</v>
      </c>
      <c r="D45" s="16">
        <v>80.19</v>
      </c>
      <c r="E45" s="16">
        <v>47.09</v>
      </c>
      <c r="F45" s="16">
        <v>47.18</v>
      </c>
      <c r="G45" s="16">
        <v>11.71</v>
      </c>
      <c r="H45" s="16"/>
      <c r="I45" s="16"/>
      <c r="J45" s="16"/>
      <c r="K45" s="16"/>
      <c r="L45" s="16"/>
      <c r="M45" s="16"/>
      <c r="N45" s="16"/>
      <c r="O45" s="16"/>
      <c r="P45" s="16"/>
      <c r="Q45" s="16"/>
      <c r="R45" s="16"/>
      <c r="S45" s="16"/>
    </row>
    <row r="46" spans="1:19" x14ac:dyDescent="0.25">
      <c r="A46" s="21">
        <v>43</v>
      </c>
      <c r="B46" s="16">
        <v>8.24</v>
      </c>
      <c r="C46" s="16">
        <v>56.35</v>
      </c>
      <c r="D46" s="16">
        <v>80.040000000000006</v>
      </c>
      <c r="E46" s="16">
        <v>46.28</v>
      </c>
      <c r="F46" s="16">
        <v>47.81</v>
      </c>
      <c r="G46" s="16">
        <v>11.35</v>
      </c>
      <c r="H46" s="16"/>
      <c r="I46" s="16"/>
      <c r="J46" s="16"/>
      <c r="K46" s="16"/>
      <c r="L46" s="16"/>
      <c r="M46" s="16"/>
      <c r="N46" s="16"/>
      <c r="O46" s="16"/>
      <c r="P46" s="16"/>
      <c r="Q46" s="16"/>
      <c r="R46" s="16"/>
      <c r="S46" s="16"/>
    </row>
    <row r="47" spans="1:19" x14ac:dyDescent="0.25">
      <c r="A47" s="21">
        <v>44</v>
      </c>
      <c r="B47" s="16">
        <v>8.36</v>
      </c>
      <c r="C47" s="16">
        <v>56.92</v>
      </c>
      <c r="D47" s="16">
        <v>81.099999999999994</v>
      </c>
      <c r="E47" s="16">
        <v>46.72</v>
      </c>
      <c r="F47" s="16">
        <v>48.13</v>
      </c>
      <c r="G47" s="16">
        <v>12.1</v>
      </c>
      <c r="H47" s="16"/>
      <c r="I47" s="16"/>
      <c r="J47" s="16"/>
      <c r="K47" s="16"/>
      <c r="L47" s="16"/>
      <c r="M47" s="16"/>
      <c r="N47" s="16"/>
      <c r="O47" s="16"/>
      <c r="P47" s="16"/>
      <c r="Q47" s="16"/>
      <c r="R47" s="16"/>
      <c r="S47" s="16"/>
    </row>
    <row r="48" spans="1:19" x14ac:dyDescent="0.25">
      <c r="A48" s="21">
        <v>45</v>
      </c>
      <c r="B48" s="16">
        <v>8.65</v>
      </c>
      <c r="C48" s="16">
        <v>55.52</v>
      </c>
      <c r="D48" s="16">
        <v>81.78</v>
      </c>
      <c r="E48" s="16">
        <v>47.21</v>
      </c>
      <c r="F48" s="16">
        <v>50.86</v>
      </c>
      <c r="G48" s="16">
        <v>12.09</v>
      </c>
      <c r="H48" s="16"/>
      <c r="I48" s="16"/>
      <c r="J48" s="16"/>
      <c r="K48" s="16"/>
      <c r="L48" s="16"/>
      <c r="M48" s="16"/>
      <c r="N48" s="16"/>
      <c r="O48" s="16"/>
      <c r="P48" s="16"/>
      <c r="Q48" s="16"/>
      <c r="R48" s="16"/>
      <c r="S48" s="16"/>
    </row>
    <row r="49" spans="1:19" x14ac:dyDescent="0.25">
      <c r="A49" s="21">
        <v>46</v>
      </c>
      <c r="B49" s="16">
        <v>8.4</v>
      </c>
      <c r="C49" s="16">
        <v>54.84</v>
      </c>
      <c r="D49" s="16">
        <v>81.099999999999994</v>
      </c>
      <c r="E49" s="16">
        <v>41.81</v>
      </c>
      <c r="F49" s="16">
        <v>47.79</v>
      </c>
      <c r="G49" s="16">
        <v>11.31</v>
      </c>
      <c r="H49" s="16"/>
      <c r="I49" s="16"/>
      <c r="J49" s="16"/>
      <c r="K49" s="16"/>
      <c r="L49" s="16"/>
      <c r="M49" s="16"/>
      <c r="N49" s="16"/>
      <c r="O49" s="16"/>
      <c r="P49" s="16"/>
      <c r="Q49" s="16"/>
      <c r="R49" s="16"/>
      <c r="S49" s="16"/>
    </row>
    <row r="50" spans="1:19" x14ac:dyDescent="0.25">
      <c r="A50" s="21">
        <v>47</v>
      </c>
      <c r="B50" s="16">
        <v>8.24</v>
      </c>
      <c r="C50" s="16">
        <v>54.77</v>
      </c>
      <c r="D50" s="16">
        <v>81.510000000000005</v>
      </c>
      <c r="E50" s="16">
        <v>40.92</v>
      </c>
      <c r="F50" s="16">
        <v>48.31</v>
      </c>
      <c r="G50" s="16">
        <v>12.49</v>
      </c>
      <c r="H50" s="16"/>
      <c r="I50" s="16"/>
      <c r="J50" s="16"/>
      <c r="K50" s="16"/>
      <c r="L50" s="16"/>
      <c r="M50" s="16"/>
      <c r="N50" s="16"/>
      <c r="O50" s="16"/>
      <c r="P50" s="16"/>
      <c r="Q50" s="16"/>
      <c r="R50" s="16"/>
      <c r="S50" s="16"/>
    </row>
    <row r="51" spans="1:19" x14ac:dyDescent="0.25">
      <c r="A51" s="21">
        <v>48</v>
      </c>
      <c r="B51" s="16">
        <v>8.51</v>
      </c>
      <c r="C51" s="16">
        <v>56.32</v>
      </c>
      <c r="D51" s="16">
        <v>86.18</v>
      </c>
      <c r="E51" s="16">
        <v>42.67</v>
      </c>
      <c r="F51" s="16">
        <v>49.18</v>
      </c>
      <c r="G51" s="16">
        <v>13.69</v>
      </c>
      <c r="H51" s="16"/>
      <c r="I51" s="16"/>
      <c r="J51" s="16"/>
      <c r="K51" s="16"/>
      <c r="L51" s="16"/>
      <c r="M51" s="16"/>
      <c r="N51" s="16"/>
      <c r="O51" s="16"/>
      <c r="P51" s="16"/>
      <c r="Q51" s="16"/>
      <c r="R51" s="16"/>
      <c r="S51" s="16"/>
    </row>
    <row r="52" spans="1:19" x14ac:dyDescent="0.25">
      <c r="A52" s="21">
        <v>49</v>
      </c>
      <c r="B52" s="16">
        <v>8.66</v>
      </c>
      <c r="C52" s="16">
        <v>57.82</v>
      </c>
      <c r="D52" s="16">
        <v>94.62</v>
      </c>
      <c r="E52" s="16">
        <v>45.01</v>
      </c>
      <c r="F52" s="16">
        <v>53.22</v>
      </c>
      <c r="G52" s="16">
        <v>13.63</v>
      </c>
      <c r="H52" s="16"/>
      <c r="I52" s="16"/>
      <c r="J52" s="16"/>
      <c r="K52" s="16"/>
      <c r="L52" s="16"/>
      <c r="M52" s="16"/>
      <c r="N52" s="16"/>
      <c r="O52" s="16"/>
      <c r="P52" s="16"/>
      <c r="Q52" s="16"/>
      <c r="R52" s="16"/>
      <c r="S52" s="16"/>
    </row>
    <row r="53" spans="1:19" x14ac:dyDescent="0.25">
      <c r="A53" s="21">
        <v>50</v>
      </c>
      <c r="B53" s="16">
        <v>8.3800000000000008</v>
      </c>
      <c r="C53" s="16">
        <v>61.11</v>
      </c>
      <c r="D53" s="16">
        <v>88.84</v>
      </c>
      <c r="E53" s="16">
        <v>45.85</v>
      </c>
      <c r="F53" s="16">
        <v>53.92</v>
      </c>
      <c r="G53" s="16">
        <v>12.88</v>
      </c>
      <c r="H53" s="16"/>
      <c r="I53" s="16"/>
      <c r="J53" s="16"/>
      <c r="K53" s="16"/>
      <c r="L53" s="16"/>
      <c r="M53" s="16"/>
      <c r="N53" s="16"/>
      <c r="O53" s="16"/>
      <c r="P53" s="16"/>
      <c r="Q53" s="16"/>
      <c r="R53" s="16"/>
      <c r="S53" s="16"/>
    </row>
    <row r="54" spans="1:19" x14ac:dyDescent="0.25">
      <c r="A54" s="21">
        <v>51</v>
      </c>
      <c r="B54" s="16">
        <v>8.3800000000000008</v>
      </c>
      <c r="C54" s="16">
        <v>66.33</v>
      </c>
      <c r="D54" s="16">
        <v>83.64</v>
      </c>
      <c r="E54" s="16">
        <v>47.05</v>
      </c>
      <c r="F54" s="16">
        <v>56.11</v>
      </c>
      <c r="G54" s="16">
        <v>12.5</v>
      </c>
      <c r="H54" s="16"/>
      <c r="I54" s="16"/>
      <c r="J54" s="16"/>
      <c r="K54" s="16"/>
      <c r="L54" s="16"/>
      <c r="M54" s="16"/>
      <c r="N54" s="16"/>
      <c r="O54" s="16"/>
      <c r="P54" s="16"/>
      <c r="Q54" s="16"/>
      <c r="R54" s="16"/>
      <c r="S54" s="16"/>
    </row>
    <row r="55" spans="1:19" x14ac:dyDescent="0.25">
      <c r="A55" s="21">
        <v>52</v>
      </c>
      <c r="B55" s="16">
        <v>8.36</v>
      </c>
      <c r="C55" s="16">
        <v>67.459999999999994</v>
      </c>
      <c r="D55" s="16">
        <v>81.95</v>
      </c>
      <c r="E55" s="16">
        <v>52.17</v>
      </c>
      <c r="F55" s="16">
        <v>62.07</v>
      </c>
      <c r="G55" s="16">
        <v>12.39</v>
      </c>
      <c r="H55" s="16"/>
      <c r="I55" s="16"/>
      <c r="J55" s="16"/>
      <c r="K55" s="16"/>
      <c r="L55" s="16"/>
      <c r="M55" s="16"/>
      <c r="N55" s="16"/>
      <c r="O55" s="16"/>
      <c r="P55" s="16"/>
      <c r="Q55" s="16"/>
      <c r="R55" s="16"/>
      <c r="S55" s="16"/>
    </row>
    <row r="56" spans="1:19" x14ac:dyDescent="0.25">
      <c r="A56" s="21">
        <v>53</v>
      </c>
      <c r="B56" s="16">
        <v>8.39</v>
      </c>
      <c r="C56" s="16">
        <v>74.66</v>
      </c>
      <c r="D56" s="16">
        <v>83.05</v>
      </c>
      <c r="E56" s="16">
        <v>53.84</v>
      </c>
      <c r="F56" s="16">
        <v>62.31</v>
      </c>
      <c r="G56" s="16">
        <v>15.01</v>
      </c>
      <c r="H56" s="16"/>
      <c r="I56" s="16"/>
      <c r="J56" s="16"/>
      <c r="K56" s="16"/>
      <c r="L56" s="16"/>
      <c r="M56" s="16"/>
      <c r="N56" s="16"/>
      <c r="O56" s="16"/>
      <c r="P56" s="16"/>
      <c r="Q56" s="16"/>
      <c r="R56" s="16"/>
      <c r="S56" s="16"/>
    </row>
    <row r="57" spans="1:19" x14ac:dyDescent="0.25">
      <c r="A57" s="21">
        <v>54</v>
      </c>
      <c r="B57" s="16">
        <v>7.71</v>
      </c>
      <c r="C57" s="16">
        <v>73.73</v>
      </c>
      <c r="D57" s="16">
        <v>79.84</v>
      </c>
      <c r="E57" s="16">
        <v>50.66</v>
      </c>
      <c r="F57" s="16">
        <v>62.38</v>
      </c>
      <c r="G57" s="16">
        <v>15.17</v>
      </c>
      <c r="H57" s="16"/>
      <c r="I57" s="16"/>
      <c r="J57" s="16"/>
      <c r="K57" s="16"/>
      <c r="L57" s="16"/>
      <c r="M57" s="16"/>
      <c r="N57" s="16"/>
      <c r="O57" s="16"/>
      <c r="P57" s="16"/>
      <c r="Q57" s="16"/>
      <c r="R57" s="16"/>
      <c r="S57" s="16"/>
    </row>
    <row r="58" spans="1:19" x14ac:dyDescent="0.25">
      <c r="A58" s="21">
        <v>55</v>
      </c>
      <c r="B58" s="16">
        <v>7.84</v>
      </c>
      <c r="C58" s="16">
        <v>72.97</v>
      </c>
      <c r="D58" s="16">
        <v>80.81</v>
      </c>
      <c r="E58" s="16">
        <v>55.67</v>
      </c>
      <c r="F58" s="16">
        <v>63.86</v>
      </c>
      <c r="G58" s="16">
        <v>18.34</v>
      </c>
      <c r="H58" s="16"/>
      <c r="I58" s="16"/>
      <c r="J58" s="16"/>
      <c r="K58" s="16"/>
      <c r="L58" s="16"/>
      <c r="M58" s="16"/>
      <c r="N58" s="16"/>
      <c r="O58" s="16"/>
      <c r="P58" s="16"/>
      <c r="Q58" s="16"/>
      <c r="R58" s="16"/>
      <c r="S58" s="16"/>
    </row>
    <row r="59" spans="1:19" x14ac:dyDescent="0.25">
      <c r="A59" s="21">
        <v>56</v>
      </c>
      <c r="B59" s="16">
        <v>7.63</v>
      </c>
      <c r="C59" s="16">
        <v>71.13</v>
      </c>
      <c r="D59" s="16">
        <v>80.45</v>
      </c>
      <c r="E59" s="16">
        <v>55.05</v>
      </c>
      <c r="F59" s="16">
        <v>60.09</v>
      </c>
      <c r="G59" s="16">
        <v>19.95</v>
      </c>
      <c r="H59" s="16"/>
      <c r="I59" s="16"/>
      <c r="J59" s="16"/>
      <c r="K59" s="16"/>
      <c r="L59" s="16"/>
      <c r="M59" s="16"/>
      <c r="N59" s="16"/>
      <c r="O59" s="16"/>
      <c r="P59" s="16"/>
      <c r="Q59" s="16"/>
      <c r="R59" s="16"/>
      <c r="S59" s="16"/>
    </row>
    <row r="60" spans="1:19" x14ac:dyDescent="0.25">
      <c r="A60" s="21">
        <v>57</v>
      </c>
      <c r="B60" s="16">
        <v>8.0399999999999991</v>
      </c>
      <c r="C60" s="16">
        <v>74.7</v>
      </c>
      <c r="D60" s="16">
        <v>81.290000000000006</v>
      </c>
      <c r="E60" s="16">
        <v>56.94</v>
      </c>
      <c r="F60" s="16">
        <v>63.7</v>
      </c>
      <c r="G60" s="16">
        <v>22.26</v>
      </c>
      <c r="H60" s="16"/>
      <c r="I60" s="16"/>
      <c r="J60" s="16"/>
      <c r="K60" s="16"/>
      <c r="L60" s="16"/>
      <c r="M60" s="16"/>
      <c r="N60" s="16"/>
      <c r="O60" s="16"/>
      <c r="P60" s="16"/>
      <c r="Q60" s="16"/>
      <c r="R60" s="16"/>
      <c r="S60" s="16"/>
    </row>
    <row r="61" spans="1:19" x14ac:dyDescent="0.25">
      <c r="A61" s="21">
        <v>58</v>
      </c>
      <c r="B61" s="16">
        <v>9.18</v>
      </c>
      <c r="C61" s="16">
        <v>81.16</v>
      </c>
      <c r="D61" s="16">
        <v>81.819999999999993</v>
      </c>
      <c r="E61" s="16">
        <v>59.5</v>
      </c>
      <c r="F61" s="16">
        <v>67.75</v>
      </c>
      <c r="G61" s="16">
        <v>20.84</v>
      </c>
      <c r="H61" s="16"/>
      <c r="I61" s="16"/>
      <c r="J61" s="16"/>
      <c r="K61" s="16"/>
      <c r="L61" s="16"/>
      <c r="M61" s="16"/>
      <c r="N61" s="16"/>
      <c r="O61" s="16"/>
      <c r="P61" s="16"/>
      <c r="Q61" s="16"/>
      <c r="R61" s="16"/>
      <c r="S61" s="16"/>
    </row>
    <row r="62" spans="1:19" x14ac:dyDescent="0.25">
      <c r="A62" s="21">
        <v>59</v>
      </c>
      <c r="B62" s="16">
        <v>9.5500000000000007</v>
      </c>
      <c r="C62" s="16">
        <v>85.13</v>
      </c>
      <c r="D62" s="16">
        <v>83.03</v>
      </c>
      <c r="E62" s="16">
        <v>60.11</v>
      </c>
      <c r="F62" s="16">
        <v>69.680000000000007</v>
      </c>
      <c r="G62" s="16">
        <v>22.12</v>
      </c>
      <c r="H62" s="16"/>
      <c r="I62" s="16"/>
      <c r="J62" s="16"/>
      <c r="K62" s="16"/>
      <c r="L62" s="16"/>
      <c r="M62" s="16"/>
      <c r="N62" s="16"/>
      <c r="O62" s="16"/>
      <c r="P62" s="16"/>
      <c r="Q62" s="16"/>
      <c r="R62" s="16"/>
      <c r="S62" s="16"/>
    </row>
    <row r="63" spans="1:19" x14ac:dyDescent="0.25">
      <c r="A63" s="21">
        <v>60</v>
      </c>
      <c r="B63" s="16">
        <v>10.56</v>
      </c>
      <c r="C63" s="16">
        <v>90.02</v>
      </c>
      <c r="D63" s="16">
        <v>89.13</v>
      </c>
      <c r="E63" s="16">
        <v>63.63</v>
      </c>
      <c r="F63" s="16">
        <v>76.400000000000006</v>
      </c>
      <c r="G63" s="16">
        <v>23.7</v>
      </c>
      <c r="H63" s="16"/>
      <c r="I63" s="16"/>
      <c r="J63" s="16"/>
      <c r="K63" s="16"/>
      <c r="L63" s="16"/>
      <c r="M63" s="16"/>
      <c r="N63" s="16"/>
      <c r="O63" s="16"/>
      <c r="P63" s="16"/>
      <c r="Q63" s="16"/>
      <c r="R63" s="16"/>
      <c r="S63" s="16"/>
    </row>
    <row r="64" spans="1:19" x14ac:dyDescent="0.25">
      <c r="A64" s="21"/>
      <c r="B64" s="16"/>
      <c r="C64" s="16"/>
      <c r="D64" s="16"/>
      <c r="E64" s="16"/>
      <c r="F64" s="16"/>
      <c r="G64" s="16"/>
      <c r="H64" s="16"/>
      <c r="I64" s="16"/>
      <c r="J64" s="16"/>
      <c r="K64" s="16"/>
      <c r="L64" s="16"/>
      <c r="M64" s="16"/>
      <c r="N64" s="16"/>
      <c r="O64" s="16"/>
      <c r="P64" s="16"/>
      <c r="Q64" s="16"/>
      <c r="R64" s="16"/>
      <c r="S64" s="16"/>
    </row>
    <row r="65" spans="1:19" x14ac:dyDescent="0.25">
      <c r="A65" s="21"/>
      <c r="B65" s="16"/>
      <c r="C65" s="16"/>
      <c r="D65" s="16"/>
      <c r="E65" s="16"/>
      <c r="F65" s="16"/>
      <c r="G65" s="16"/>
      <c r="H65" s="16"/>
      <c r="I65" s="16"/>
      <c r="J65" s="16"/>
      <c r="K65" s="16"/>
      <c r="L65" s="16"/>
      <c r="M65" s="16"/>
      <c r="N65" s="16"/>
      <c r="O65" s="16"/>
      <c r="P65" s="16"/>
      <c r="Q65" s="16"/>
      <c r="R65" s="16"/>
      <c r="S65" s="16"/>
    </row>
    <row r="66" spans="1:19" x14ac:dyDescent="0.25">
      <c r="A66" s="21"/>
      <c r="B66" s="16"/>
      <c r="C66" s="16"/>
      <c r="D66" s="16"/>
      <c r="E66" s="16"/>
      <c r="F66" s="16"/>
      <c r="G66" s="16"/>
      <c r="H66" s="16"/>
      <c r="I66" s="16"/>
      <c r="J66" s="16"/>
      <c r="K66" s="16"/>
      <c r="L66" s="16"/>
      <c r="M66" s="16"/>
      <c r="N66" s="16"/>
      <c r="O66" s="16"/>
      <c r="P66" s="16"/>
      <c r="Q66" s="16"/>
      <c r="R66" s="16"/>
      <c r="S66" s="16"/>
    </row>
    <row r="67" spans="1:19" x14ac:dyDescent="0.25">
      <c r="A67" s="21"/>
      <c r="B67" s="16"/>
      <c r="C67" s="16"/>
      <c r="D67" s="16"/>
      <c r="E67" s="16"/>
      <c r="F67" s="16"/>
      <c r="G67" s="16"/>
      <c r="H67" s="16"/>
      <c r="I67" s="16"/>
      <c r="J67" s="16"/>
      <c r="K67" s="16"/>
      <c r="L67" s="16"/>
      <c r="M67" s="16"/>
      <c r="N67" s="16"/>
      <c r="O67" s="16"/>
      <c r="P67" s="16"/>
      <c r="Q67" s="16"/>
      <c r="R67" s="16"/>
      <c r="S67" s="16"/>
    </row>
    <row r="68" spans="1:19" x14ac:dyDescent="0.25">
      <c r="A68" s="21"/>
      <c r="B68" s="16"/>
      <c r="C68" s="16"/>
      <c r="D68" s="16"/>
      <c r="E68" s="16"/>
      <c r="F68" s="16"/>
      <c r="G68" s="16"/>
      <c r="H68" s="16"/>
      <c r="I68" s="16"/>
      <c r="J68" s="16"/>
      <c r="K68" s="16"/>
      <c r="L68" s="16"/>
      <c r="M68" s="16"/>
      <c r="N68" s="16"/>
      <c r="O68" s="16"/>
      <c r="P68" s="16"/>
      <c r="Q68" s="16"/>
      <c r="R68" s="16"/>
      <c r="S68" s="16"/>
    </row>
    <row r="69" spans="1:19" x14ac:dyDescent="0.25">
      <c r="A69" s="21"/>
      <c r="B69" s="16"/>
      <c r="C69" s="16"/>
      <c r="D69" s="16"/>
      <c r="E69" s="16"/>
      <c r="F69" s="16"/>
      <c r="G69" s="16"/>
      <c r="H69" s="16"/>
      <c r="I69" s="16"/>
      <c r="J69" s="16"/>
      <c r="K69" s="16"/>
      <c r="L69" s="16"/>
      <c r="M69" s="16"/>
      <c r="N69" s="16"/>
      <c r="O69" s="16"/>
      <c r="P69" s="16"/>
      <c r="Q69" s="16"/>
      <c r="R69" s="16"/>
      <c r="S69" s="16"/>
    </row>
    <row r="70" spans="1:19" x14ac:dyDescent="0.25">
      <c r="A70" s="21"/>
      <c r="B70" s="16"/>
      <c r="C70" s="16"/>
      <c r="D70" s="16"/>
      <c r="E70" s="16"/>
      <c r="F70" s="16"/>
      <c r="G70" s="16"/>
      <c r="H70" s="16"/>
      <c r="I70" s="16"/>
      <c r="J70" s="16"/>
      <c r="K70" s="16"/>
      <c r="L70" s="16"/>
      <c r="M70" s="16"/>
      <c r="N70" s="16"/>
      <c r="O70" s="16"/>
      <c r="P70" s="16"/>
      <c r="Q70" s="16"/>
      <c r="R70" s="16"/>
      <c r="S70" s="16"/>
    </row>
    <row r="71" spans="1:19" x14ac:dyDescent="0.25">
      <c r="A71" s="21"/>
      <c r="B71" s="16"/>
      <c r="C71" s="16"/>
      <c r="D71" s="16"/>
      <c r="E71" s="16"/>
      <c r="F71" s="16"/>
      <c r="G71" s="16"/>
      <c r="H71" s="16"/>
      <c r="I71" s="16"/>
      <c r="J71" s="16"/>
      <c r="K71" s="16"/>
      <c r="L71" s="16"/>
      <c r="M71" s="16"/>
      <c r="N71" s="16"/>
      <c r="O71" s="16"/>
      <c r="P71" s="16"/>
      <c r="Q71" s="16"/>
      <c r="R71" s="16"/>
      <c r="S71" s="16"/>
    </row>
    <row r="72" spans="1:19" x14ac:dyDescent="0.25">
      <c r="A72" s="21"/>
      <c r="B72" s="16"/>
      <c r="C72" s="16"/>
      <c r="D72" s="16"/>
      <c r="E72" s="16"/>
      <c r="F72" s="16"/>
      <c r="G72" s="16"/>
      <c r="H72" s="16"/>
      <c r="I72" s="16"/>
      <c r="J72" s="16"/>
      <c r="K72" s="16"/>
      <c r="L72" s="16"/>
      <c r="M72" s="16"/>
      <c r="N72" s="16"/>
      <c r="O72" s="16"/>
      <c r="P72" s="16"/>
      <c r="Q72" s="16"/>
      <c r="R72" s="16"/>
      <c r="S72" s="16"/>
    </row>
    <row r="73" spans="1:19" x14ac:dyDescent="0.25">
      <c r="A73" s="21"/>
      <c r="B73" s="16"/>
      <c r="C73" s="16"/>
      <c r="D73" s="16"/>
      <c r="E73" s="16"/>
      <c r="F73" s="16"/>
      <c r="G73" s="16"/>
      <c r="H73" s="16"/>
      <c r="I73" s="16"/>
      <c r="J73" s="16"/>
      <c r="K73" s="16"/>
      <c r="L73" s="16"/>
      <c r="M73" s="16"/>
      <c r="N73" s="16"/>
      <c r="O73" s="16"/>
      <c r="P73" s="16"/>
      <c r="Q73" s="16"/>
      <c r="R73" s="16"/>
      <c r="S73" s="16"/>
    </row>
    <row r="74" spans="1:19" x14ac:dyDescent="0.25">
      <c r="A74" s="21"/>
      <c r="B74" s="16"/>
      <c r="C74" s="16"/>
      <c r="D74" s="16"/>
      <c r="E74" s="16"/>
      <c r="F74" s="16"/>
      <c r="G74" s="16"/>
      <c r="H74" s="16"/>
      <c r="I74" s="16"/>
      <c r="J74" s="16"/>
      <c r="K74" s="16"/>
      <c r="L74" s="16"/>
      <c r="M74" s="16"/>
      <c r="N74" s="16"/>
      <c r="O74" s="16"/>
      <c r="P74" s="16"/>
      <c r="Q74" s="16"/>
      <c r="R74" s="16"/>
      <c r="S74" s="16"/>
    </row>
    <row r="75" spans="1:19" x14ac:dyDescent="0.25">
      <c r="A75" s="21"/>
      <c r="B75" s="16"/>
      <c r="C75" s="16"/>
      <c r="D75" s="16"/>
      <c r="E75" s="16"/>
      <c r="F75" s="16"/>
      <c r="G75" s="16"/>
      <c r="H75" s="16"/>
      <c r="I75" s="16"/>
      <c r="J75" s="16"/>
      <c r="K75" s="16"/>
      <c r="L75" s="16"/>
      <c r="M75" s="16"/>
      <c r="N75" s="16"/>
      <c r="O75" s="16"/>
      <c r="P75" s="16"/>
      <c r="Q75" s="16"/>
      <c r="R75" s="16"/>
      <c r="S75" s="16"/>
    </row>
    <row r="76" spans="1:19" x14ac:dyDescent="0.25">
      <c r="A76" s="21"/>
      <c r="B76" s="16"/>
      <c r="C76" s="16"/>
      <c r="D76" s="16"/>
      <c r="E76" s="16"/>
      <c r="F76" s="16"/>
      <c r="G76" s="16"/>
      <c r="H76" s="16"/>
      <c r="I76" s="16"/>
      <c r="J76" s="16"/>
      <c r="K76" s="16"/>
      <c r="L76" s="16"/>
      <c r="M76" s="16"/>
      <c r="N76" s="16"/>
      <c r="O76" s="16"/>
      <c r="P76" s="16"/>
      <c r="Q76" s="16"/>
      <c r="R76" s="16"/>
      <c r="S76" s="16"/>
    </row>
    <row r="77" spans="1:19" x14ac:dyDescent="0.25">
      <c r="A77" s="21"/>
      <c r="B77" s="16"/>
      <c r="C77" s="16"/>
      <c r="D77" s="16"/>
      <c r="E77" s="16"/>
      <c r="F77" s="16"/>
      <c r="G77" s="16"/>
      <c r="H77" s="16"/>
      <c r="I77" s="16"/>
      <c r="J77" s="16"/>
      <c r="K77" s="16"/>
      <c r="L77" s="16"/>
      <c r="M77" s="16"/>
      <c r="N77" s="16"/>
      <c r="O77" s="16"/>
      <c r="P77" s="16"/>
      <c r="Q77" s="16"/>
      <c r="R77" s="16"/>
      <c r="S77" s="16"/>
    </row>
    <row r="78" spans="1:19" x14ac:dyDescent="0.25">
      <c r="A78" s="21"/>
      <c r="B78" s="16"/>
      <c r="C78" s="16"/>
      <c r="D78" s="16"/>
      <c r="E78" s="16"/>
      <c r="F78" s="16"/>
      <c r="G78" s="16"/>
      <c r="H78" s="16"/>
      <c r="I78" s="16"/>
      <c r="J78" s="16"/>
      <c r="K78" s="16"/>
      <c r="L78" s="16"/>
      <c r="M78" s="16"/>
      <c r="N78" s="16"/>
      <c r="O78" s="16"/>
      <c r="P78" s="16"/>
      <c r="Q78" s="16"/>
      <c r="R78" s="16"/>
      <c r="S78" s="16"/>
    </row>
    <row r="79" spans="1:19" x14ac:dyDescent="0.25">
      <c r="A79" s="21"/>
      <c r="B79" s="16"/>
      <c r="C79" s="16"/>
      <c r="D79" s="16"/>
      <c r="E79" s="16"/>
      <c r="F79" s="16"/>
      <c r="G79" s="16"/>
      <c r="H79" s="16"/>
      <c r="I79" s="16"/>
      <c r="J79" s="16"/>
      <c r="K79" s="16"/>
      <c r="L79" s="16"/>
      <c r="M79" s="16"/>
      <c r="N79" s="16"/>
      <c r="O79" s="16"/>
      <c r="P79" s="16"/>
      <c r="Q79" s="16"/>
      <c r="R79" s="16"/>
      <c r="S79" s="16"/>
    </row>
    <row r="80" spans="1:19" x14ac:dyDescent="0.25">
      <c r="A80" s="21"/>
      <c r="B80" s="16"/>
      <c r="C80" s="16"/>
      <c r="D80" s="16"/>
      <c r="E80" s="16"/>
      <c r="F80" s="16"/>
      <c r="G80" s="16"/>
      <c r="H80" s="16"/>
      <c r="I80" s="16"/>
      <c r="J80" s="16"/>
      <c r="K80" s="16"/>
      <c r="L80" s="16"/>
      <c r="M80" s="16"/>
      <c r="N80" s="16"/>
      <c r="O80" s="16"/>
      <c r="P80" s="16"/>
      <c r="Q80" s="16"/>
      <c r="R80" s="16"/>
      <c r="S80" s="16"/>
    </row>
    <row r="81" spans="1:19" x14ac:dyDescent="0.25">
      <c r="A81" s="21"/>
      <c r="B81" s="16"/>
      <c r="C81" s="16"/>
      <c r="D81" s="16"/>
      <c r="E81" s="16"/>
      <c r="F81" s="16"/>
      <c r="G81" s="16"/>
      <c r="H81" s="16"/>
      <c r="I81" s="16"/>
      <c r="J81" s="16"/>
      <c r="K81" s="16"/>
      <c r="L81" s="16"/>
      <c r="M81" s="16"/>
      <c r="N81" s="16"/>
      <c r="O81" s="16"/>
      <c r="P81" s="16"/>
      <c r="Q81" s="16"/>
      <c r="R81" s="16"/>
      <c r="S81" s="16"/>
    </row>
    <row r="82" spans="1:19" x14ac:dyDescent="0.25">
      <c r="A82" s="21"/>
      <c r="B82" s="16"/>
      <c r="C82" s="16"/>
      <c r="D82" s="16"/>
      <c r="E82" s="16"/>
      <c r="F82" s="16"/>
      <c r="G82" s="16"/>
      <c r="H82" s="16"/>
      <c r="I82" s="16"/>
      <c r="J82" s="16"/>
      <c r="K82" s="16"/>
      <c r="L82" s="16"/>
      <c r="M82" s="16"/>
      <c r="N82" s="16"/>
      <c r="O82" s="16"/>
      <c r="P82" s="16"/>
      <c r="Q82" s="16"/>
      <c r="R82" s="16"/>
      <c r="S82" s="16"/>
    </row>
    <row r="83" spans="1:19" x14ac:dyDescent="0.25">
      <c r="A83" s="21"/>
      <c r="B83" s="16"/>
      <c r="C83" s="16"/>
      <c r="D83" s="16"/>
      <c r="E83" s="16"/>
      <c r="F83" s="16"/>
      <c r="G83" s="16"/>
      <c r="H83" s="16"/>
      <c r="I83" s="16"/>
      <c r="J83" s="16"/>
      <c r="K83" s="16"/>
      <c r="L83" s="16"/>
      <c r="M83" s="16"/>
      <c r="N83" s="16"/>
      <c r="O83" s="16"/>
      <c r="P83" s="16"/>
      <c r="Q83" s="16"/>
      <c r="R83" s="16"/>
      <c r="S83" s="16"/>
    </row>
    <row r="84" spans="1:19" x14ac:dyDescent="0.25">
      <c r="A84" s="21"/>
      <c r="B84" s="16"/>
      <c r="C84" s="16"/>
      <c r="D84" s="16"/>
      <c r="E84" s="16"/>
      <c r="F84" s="16"/>
      <c r="G84" s="16"/>
      <c r="H84" s="16"/>
      <c r="I84" s="16"/>
      <c r="J84" s="16"/>
      <c r="K84" s="16"/>
      <c r="L84" s="16"/>
      <c r="M84" s="16"/>
      <c r="N84" s="16"/>
      <c r="O84" s="16"/>
      <c r="P84" s="16"/>
      <c r="Q84" s="16"/>
      <c r="R84" s="16"/>
      <c r="S84" s="16"/>
    </row>
    <row r="85" spans="1:19" x14ac:dyDescent="0.25">
      <c r="A85" s="21"/>
      <c r="B85" s="16"/>
      <c r="C85" s="16"/>
      <c r="D85" s="16"/>
      <c r="E85" s="16"/>
      <c r="F85" s="16"/>
      <c r="G85" s="16"/>
      <c r="H85" s="16"/>
      <c r="I85" s="16"/>
      <c r="J85" s="16"/>
      <c r="K85" s="16"/>
      <c r="L85" s="16"/>
      <c r="M85" s="16"/>
      <c r="N85" s="16"/>
      <c r="O85" s="16"/>
      <c r="P85" s="16"/>
      <c r="Q85" s="16"/>
      <c r="R85" s="16"/>
      <c r="S85" s="16"/>
    </row>
    <row r="86" spans="1:19" x14ac:dyDescent="0.25">
      <c r="A86" s="21"/>
      <c r="B86" s="16"/>
      <c r="C86" s="16"/>
      <c r="D86" s="16"/>
      <c r="E86" s="16"/>
      <c r="F86" s="16"/>
      <c r="G86" s="16"/>
      <c r="H86" s="16"/>
      <c r="I86" s="16"/>
      <c r="J86" s="16"/>
      <c r="K86" s="16"/>
      <c r="L86" s="16"/>
      <c r="M86" s="16"/>
      <c r="N86" s="16"/>
      <c r="O86" s="16"/>
      <c r="P86" s="16"/>
      <c r="Q86" s="16"/>
      <c r="R86" s="16"/>
      <c r="S86" s="16"/>
    </row>
    <row r="87" spans="1:19" x14ac:dyDescent="0.25">
      <c r="A87" s="21"/>
      <c r="B87" s="16"/>
      <c r="C87" s="16"/>
      <c r="D87" s="16"/>
      <c r="E87" s="16"/>
      <c r="F87" s="16"/>
      <c r="G87" s="16"/>
      <c r="H87" s="16"/>
      <c r="I87" s="16"/>
      <c r="J87" s="16"/>
      <c r="K87" s="16"/>
      <c r="L87" s="16"/>
      <c r="M87" s="16"/>
      <c r="N87" s="16"/>
      <c r="O87" s="16"/>
      <c r="P87" s="16"/>
      <c r="Q87" s="16"/>
      <c r="R87" s="16"/>
      <c r="S87" s="16"/>
    </row>
    <row r="88" spans="1:19" x14ac:dyDescent="0.25">
      <c r="A88" s="21"/>
      <c r="B88" s="16"/>
      <c r="C88" s="16"/>
      <c r="D88" s="16"/>
      <c r="E88" s="16"/>
      <c r="F88" s="16"/>
      <c r="G88" s="16"/>
      <c r="H88" s="16"/>
      <c r="I88" s="16"/>
      <c r="J88" s="16"/>
      <c r="K88" s="16"/>
      <c r="L88" s="16"/>
      <c r="M88" s="16"/>
      <c r="N88" s="16"/>
      <c r="O88" s="16"/>
      <c r="P88" s="16"/>
      <c r="Q88" s="16"/>
      <c r="R88" s="16"/>
      <c r="S88" s="16"/>
    </row>
    <row r="89" spans="1:19" x14ac:dyDescent="0.25">
      <c r="A89" s="21"/>
      <c r="B89" s="16"/>
      <c r="C89" s="16"/>
      <c r="D89" s="16"/>
      <c r="E89" s="16"/>
      <c r="F89" s="16"/>
      <c r="G89" s="16"/>
      <c r="H89" s="16"/>
      <c r="I89" s="16"/>
      <c r="J89" s="16"/>
      <c r="K89" s="16"/>
      <c r="L89" s="16"/>
      <c r="M89" s="16"/>
      <c r="N89" s="16"/>
      <c r="O89" s="16"/>
      <c r="P89" s="16"/>
      <c r="Q89" s="16"/>
      <c r="R89" s="16"/>
      <c r="S89" s="16"/>
    </row>
    <row r="90" spans="1:19" x14ac:dyDescent="0.25">
      <c r="A90" s="21"/>
      <c r="B90" s="16"/>
      <c r="C90" s="16"/>
      <c r="D90" s="16"/>
      <c r="E90" s="16"/>
      <c r="F90" s="16"/>
      <c r="G90" s="16"/>
      <c r="H90" s="16"/>
      <c r="I90" s="16"/>
      <c r="J90" s="16"/>
      <c r="K90" s="16"/>
      <c r="L90" s="16"/>
      <c r="M90" s="16"/>
      <c r="N90" s="16"/>
      <c r="O90" s="16"/>
      <c r="P90" s="16"/>
      <c r="Q90" s="16"/>
      <c r="R90" s="16"/>
      <c r="S90" s="16"/>
    </row>
    <row r="91" spans="1:19" x14ac:dyDescent="0.25">
      <c r="A91" s="21"/>
      <c r="B91" s="16"/>
      <c r="C91" s="16"/>
      <c r="D91" s="16"/>
      <c r="E91" s="16"/>
      <c r="F91" s="16"/>
      <c r="G91" s="16"/>
      <c r="H91" s="16"/>
      <c r="I91" s="16"/>
      <c r="J91" s="16"/>
      <c r="K91" s="16"/>
      <c r="L91" s="16"/>
      <c r="M91" s="16"/>
      <c r="N91" s="16"/>
      <c r="O91" s="16"/>
      <c r="P91" s="16"/>
      <c r="Q91" s="16"/>
      <c r="R91" s="16"/>
      <c r="S91" s="16"/>
    </row>
    <row r="92" spans="1:19" x14ac:dyDescent="0.25">
      <c r="A92" s="21"/>
      <c r="B92" s="16"/>
      <c r="C92" s="16"/>
      <c r="D92" s="16"/>
      <c r="E92" s="16"/>
      <c r="F92" s="16"/>
      <c r="G92" s="16"/>
      <c r="H92" s="16"/>
      <c r="I92" s="16"/>
      <c r="J92" s="16"/>
      <c r="K92" s="16"/>
      <c r="L92" s="16"/>
      <c r="M92" s="16"/>
      <c r="N92" s="16"/>
      <c r="O92" s="16"/>
      <c r="P92" s="16"/>
      <c r="Q92" s="16"/>
      <c r="R92" s="16"/>
      <c r="S92" s="16"/>
    </row>
    <row r="93" spans="1:19" x14ac:dyDescent="0.25">
      <c r="A93" s="21"/>
      <c r="B93" s="16"/>
      <c r="C93" s="16"/>
      <c r="D93" s="16"/>
      <c r="E93" s="16"/>
      <c r="F93" s="16"/>
      <c r="G93" s="16"/>
      <c r="H93" s="16"/>
      <c r="I93" s="16"/>
      <c r="J93" s="16"/>
      <c r="K93" s="16"/>
      <c r="L93" s="16"/>
      <c r="M93" s="16"/>
      <c r="N93" s="16"/>
      <c r="O93" s="16"/>
      <c r="P93" s="16"/>
      <c r="Q93" s="16"/>
      <c r="R93" s="16"/>
      <c r="S93" s="16"/>
    </row>
    <row r="94" spans="1:19" x14ac:dyDescent="0.25">
      <c r="A94" s="21"/>
      <c r="B94" s="16"/>
      <c r="C94" s="16"/>
      <c r="D94" s="16"/>
      <c r="E94" s="16"/>
      <c r="F94" s="16"/>
      <c r="G94" s="16"/>
      <c r="H94" s="16"/>
      <c r="I94" s="16"/>
      <c r="J94" s="16"/>
      <c r="K94" s="16"/>
      <c r="L94" s="16"/>
      <c r="M94" s="16"/>
      <c r="N94" s="16"/>
      <c r="O94" s="16"/>
      <c r="P94" s="16"/>
      <c r="Q94" s="16"/>
      <c r="R94" s="16"/>
      <c r="S94" s="16"/>
    </row>
    <row r="95" spans="1:19" x14ac:dyDescent="0.25">
      <c r="A95" s="21"/>
      <c r="B95" s="16"/>
      <c r="C95" s="16"/>
      <c r="D95" s="16"/>
      <c r="E95" s="16"/>
      <c r="F95" s="16"/>
      <c r="G95" s="16"/>
      <c r="H95" s="16"/>
      <c r="I95" s="16"/>
      <c r="J95" s="16"/>
      <c r="K95" s="16"/>
      <c r="L95" s="16"/>
      <c r="M95" s="16"/>
      <c r="N95" s="16"/>
      <c r="O95" s="16"/>
      <c r="P95" s="16"/>
      <c r="Q95" s="16"/>
      <c r="R95" s="16"/>
      <c r="S95" s="16"/>
    </row>
    <row r="96" spans="1:19" x14ac:dyDescent="0.25">
      <c r="A96" s="21"/>
      <c r="B96" s="16"/>
      <c r="C96" s="16"/>
      <c r="D96" s="16"/>
      <c r="E96" s="16"/>
      <c r="F96" s="16"/>
      <c r="G96" s="16"/>
      <c r="H96" s="16"/>
      <c r="I96" s="16"/>
      <c r="J96" s="16"/>
      <c r="K96" s="16"/>
      <c r="L96" s="16"/>
      <c r="M96" s="16"/>
      <c r="N96" s="16"/>
      <c r="O96" s="16"/>
      <c r="P96" s="16"/>
      <c r="Q96" s="16"/>
      <c r="R96" s="16"/>
      <c r="S96" s="16"/>
    </row>
    <row r="97" spans="1:19" x14ac:dyDescent="0.25">
      <c r="A97" s="21"/>
      <c r="B97" s="16"/>
      <c r="C97" s="16"/>
      <c r="D97" s="16"/>
      <c r="E97" s="16"/>
      <c r="F97" s="16"/>
      <c r="G97" s="16"/>
      <c r="H97" s="16"/>
      <c r="I97" s="16"/>
      <c r="J97" s="16"/>
      <c r="K97" s="16"/>
      <c r="L97" s="16"/>
      <c r="M97" s="16"/>
      <c r="N97" s="16"/>
      <c r="O97" s="16"/>
      <c r="P97" s="16"/>
      <c r="Q97" s="16"/>
      <c r="R97" s="16"/>
      <c r="S97" s="16"/>
    </row>
    <row r="98" spans="1:19" x14ac:dyDescent="0.25">
      <c r="A98" s="21"/>
      <c r="B98" s="16"/>
      <c r="C98" s="16"/>
      <c r="D98" s="16"/>
      <c r="E98" s="16"/>
      <c r="F98" s="16"/>
      <c r="G98" s="16"/>
      <c r="H98" s="16"/>
      <c r="I98" s="16"/>
      <c r="J98" s="16"/>
      <c r="K98" s="16"/>
      <c r="L98" s="16"/>
      <c r="M98" s="16"/>
      <c r="N98" s="16"/>
      <c r="O98" s="16"/>
      <c r="P98" s="16"/>
      <c r="Q98" s="16"/>
      <c r="R98" s="16"/>
      <c r="S98" s="16"/>
    </row>
    <row r="99" spans="1:19" x14ac:dyDescent="0.25">
      <c r="A99" s="21"/>
      <c r="B99" s="16"/>
      <c r="C99" s="16"/>
      <c r="D99" s="16"/>
      <c r="E99" s="16"/>
      <c r="F99" s="16"/>
      <c r="G99" s="16"/>
      <c r="H99" s="16"/>
      <c r="I99" s="16"/>
      <c r="J99" s="16"/>
      <c r="K99" s="16"/>
      <c r="L99" s="16"/>
      <c r="M99" s="16"/>
      <c r="N99" s="16"/>
      <c r="O99" s="16"/>
      <c r="P99" s="16"/>
      <c r="Q99" s="16"/>
      <c r="R99" s="16"/>
      <c r="S99" s="16"/>
    </row>
    <row r="100" spans="1:19" x14ac:dyDescent="0.25">
      <c r="A100" s="21"/>
      <c r="B100" s="16"/>
      <c r="C100" s="16"/>
      <c r="D100" s="16"/>
      <c r="E100" s="16"/>
      <c r="F100" s="16"/>
      <c r="G100" s="16"/>
      <c r="H100" s="16"/>
      <c r="I100" s="16"/>
      <c r="J100" s="16"/>
      <c r="K100" s="16"/>
      <c r="L100" s="16"/>
      <c r="M100" s="16"/>
      <c r="N100" s="16"/>
      <c r="O100" s="16"/>
      <c r="P100" s="16"/>
      <c r="Q100" s="16"/>
      <c r="R100" s="16"/>
      <c r="S100" s="16"/>
    </row>
    <row r="101" spans="1:19" x14ac:dyDescent="0.25">
      <c r="A101" s="21"/>
      <c r="B101" s="16"/>
      <c r="C101" s="16"/>
      <c r="D101" s="16"/>
      <c r="E101" s="16"/>
      <c r="F101" s="16"/>
      <c r="G101" s="16"/>
      <c r="H101" s="16"/>
      <c r="I101" s="16"/>
      <c r="J101" s="16"/>
      <c r="K101" s="16"/>
      <c r="L101" s="16"/>
      <c r="M101" s="16"/>
      <c r="N101" s="16"/>
      <c r="O101" s="16"/>
      <c r="P101" s="16"/>
      <c r="Q101" s="16"/>
      <c r="R101" s="16"/>
      <c r="S101" s="16"/>
    </row>
    <row r="102" spans="1:19" x14ac:dyDescent="0.25">
      <c r="A102" s="21"/>
      <c r="B102" s="16"/>
      <c r="C102" s="16"/>
      <c r="D102" s="16"/>
      <c r="E102" s="16"/>
      <c r="F102" s="16"/>
      <c r="G102" s="16"/>
      <c r="H102" s="16"/>
      <c r="I102" s="16"/>
      <c r="J102" s="16"/>
      <c r="K102" s="16"/>
      <c r="L102" s="16"/>
      <c r="M102" s="16"/>
      <c r="N102" s="16"/>
      <c r="O102" s="16"/>
      <c r="P102" s="16"/>
      <c r="Q102" s="16"/>
      <c r="R102" s="16"/>
      <c r="S102" s="16"/>
    </row>
    <row r="103" spans="1:19" x14ac:dyDescent="0.25">
      <c r="A103" s="21"/>
      <c r="B103" s="16"/>
      <c r="C103" s="16"/>
      <c r="D103" s="16"/>
      <c r="E103" s="16"/>
      <c r="F103" s="16"/>
      <c r="G103" s="16"/>
      <c r="H103" s="16"/>
      <c r="I103" s="16"/>
      <c r="J103" s="16"/>
      <c r="K103" s="16"/>
      <c r="L103" s="16"/>
      <c r="M103" s="16"/>
      <c r="N103" s="16"/>
      <c r="O103" s="16"/>
      <c r="P103" s="16"/>
      <c r="Q103" s="16"/>
      <c r="R103" s="16"/>
      <c r="S103" s="16"/>
    </row>
    <row r="104" spans="1:19" x14ac:dyDescent="0.25">
      <c r="A104" s="21"/>
      <c r="B104" s="16"/>
      <c r="C104" s="16"/>
      <c r="D104" s="16"/>
      <c r="E104" s="16"/>
      <c r="F104" s="16"/>
      <c r="G104" s="16"/>
      <c r="H104" s="16"/>
      <c r="I104" s="16"/>
      <c r="J104" s="16"/>
      <c r="K104" s="16"/>
      <c r="L104" s="16"/>
      <c r="M104" s="16"/>
      <c r="N104" s="16"/>
      <c r="O104" s="16"/>
      <c r="P104" s="16"/>
      <c r="Q104" s="16"/>
      <c r="R104" s="16"/>
      <c r="S104" s="16"/>
    </row>
    <row r="105" spans="1:19" x14ac:dyDescent="0.25">
      <c r="A105" s="21"/>
      <c r="B105" s="16"/>
      <c r="C105" s="16"/>
      <c r="D105" s="16"/>
      <c r="E105" s="16"/>
      <c r="F105" s="16"/>
      <c r="G105" s="16"/>
      <c r="H105" s="16"/>
      <c r="I105" s="16"/>
      <c r="J105" s="16"/>
      <c r="K105" s="16"/>
      <c r="L105" s="16"/>
      <c r="M105" s="16"/>
      <c r="N105" s="16"/>
      <c r="O105" s="16"/>
      <c r="P105" s="16"/>
      <c r="Q105" s="16"/>
      <c r="R105" s="16"/>
      <c r="S105" s="16"/>
    </row>
    <row r="106" spans="1:19" x14ac:dyDescent="0.25">
      <c r="A106" s="21"/>
      <c r="B106" s="16"/>
      <c r="C106" s="16"/>
      <c r="D106" s="16"/>
      <c r="E106" s="16"/>
      <c r="F106" s="16"/>
      <c r="G106" s="16"/>
      <c r="H106" s="16"/>
      <c r="I106" s="16"/>
      <c r="J106" s="16"/>
      <c r="K106" s="16"/>
      <c r="L106" s="16"/>
      <c r="M106" s="16"/>
      <c r="N106" s="16"/>
      <c r="O106" s="16"/>
      <c r="P106" s="16"/>
      <c r="Q106" s="16"/>
      <c r="R106" s="16"/>
      <c r="S106" s="16"/>
    </row>
    <row r="107" spans="1:19" x14ac:dyDescent="0.25">
      <c r="A107" s="21"/>
      <c r="B107" s="16"/>
      <c r="C107" s="16"/>
      <c r="D107" s="16"/>
      <c r="E107" s="16"/>
      <c r="F107" s="16"/>
      <c r="G107" s="16"/>
      <c r="H107" s="16"/>
      <c r="I107" s="16"/>
      <c r="J107" s="16"/>
      <c r="K107" s="16"/>
      <c r="L107" s="16"/>
      <c r="M107" s="16"/>
      <c r="N107" s="16"/>
      <c r="O107" s="16"/>
      <c r="P107" s="16"/>
      <c r="Q107" s="16"/>
      <c r="R107" s="16"/>
      <c r="S107" s="16"/>
    </row>
    <row r="108" spans="1:19" x14ac:dyDescent="0.25">
      <c r="A108" s="21"/>
      <c r="B108" s="16"/>
      <c r="C108" s="16"/>
      <c r="D108" s="16"/>
      <c r="E108" s="16"/>
      <c r="F108" s="16"/>
      <c r="G108" s="16"/>
      <c r="H108" s="16"/>
      <c r="I108" s="16"/>
      <c r="J108" s="16"/>
      <c r="K108" s="16"/>
      <c r="L108" s="16"/>
      <c r="M108" s="16"/>
      <c r="N108" s="16"/>
      <c r="O108" s="16"/>
      <c r="P108" s="16"/>
      <c r="Q108" s="16"/>
      <c r="R108" s="16"/>
      <c r="S108" s="16"/>
    </row>
    <row r="109" spans="1:19" x14ac:dyDescent="0.25">
      <c r="A109" s="21"/>
      <c r="B109" s="16"/>
      <c r="C109" s="16"/>
      <c r="D109" s="16"/>
      <c r="E109" s="16"/>
      <c r="F109" s="16"/>
      <c r="G109" s="16"/>
      <c r="H109" s="16"/>
      <c r="I109" s="16"/>
      <c r="J109" s="16"/>
      <c r="K109" s="16"/>
      <c r="L109" s="16"/>
      <c r="M109" s="16"/>
      <c r="N109" s="16"/>
      <c r="O109" s="16"/>
      <c r="P109" s="16"/>
      <c r="Q109" s="16"/>
      <c r="R109" s="16"/>
      <c r="S109" s="16"/>
    </row>
    <row r="110" spans="1:19" x14ac:dyDescent="0.25">
      <c r="A110" s="21"/>
      <c r="B110" s="16"/>
      <c r="C110" s="16"/>
      <c r="D110" s="16"/>
      <c r="E110" s="16"/>
      <c r="F110" s="16"/>
      <c r="G110" s="16"/>
      <c r="H110" s="16"/>
      <c r="I110" s="16"/>
      <c r="J110" s="16"/>
      <c r="K110" s="16"/>
      <c r="L110" s="16"/>
      <c r="M110" s="16"/>
      <c r="N110" s="16"/>
      <c r="O110" s="16"/>
      <c r="P110" s="16"/>
      <c r="Q110" s="16"/>
      <c r="R110" s="16"/>
      <c r="S110" s="16"/>
    </row>
    <row r="111" spans="1:19" x14ac:dyDescent="0.25">
      <c r="A111" s="21"/>
      <c r="B111" s="16"/>
      <c r="C111" s="16"/>
      <c r="D111" s="16"/>
      <c r="E111" s="16"/>
      <c r="F111" s="16"/>
      <c r="G111" s="16"/>
      <c r="H111" s="16"/>
      <c r="I111" s="16"/>
      <c r="J111" s="16"/>
      <c r="K111" s="16"/>
      <c r="L111" s="16"/>
      <c r="M111" s="16"/>
      <c r="N111" s="16"/>
      <c r="O111" s="16"/>
      <c r="P111" s="16"/>
      <c r="Q111" s="16"/>
      <c r="R111" s="16"/>
      <c r="S111" s="16"/>
    </row>
    <row r="112" spans="1:19" x14ac:dyDescent="0.25">
      <c r="A112" s="21"/>
      <c r="B112" s="16"/>
      <c r="C112" s="16"/>
      <c r="D112" s="16"/>
      <c r="E112" s="16"/>
      <c r="F112" s="16"/>
      <c r="G112" s="16"/>
      <c r="H112" s="16"/>
      <c r="I112" s="16"/>
      <c r="J112" s="16"/>
      <c r="K112" s="16"/>
      <c r="L112" s="16"/>
      <c r="M112" s="16"/>
      <c r="N112" s="16"/>
      <c r="O112" s="16"/>
      <c r="P112" s="16"/>
      <c r="Q112" s="16"/>
      <c r="R112" s="16"/>
      <c r="S112" s="16"/>
    </row>
    <row r="113" spans="1:19" x14ac:dyDescent="0.25">
      <c r="A113" s="21"/>
      <c r="B113" s="16"/>
      <c r="C113" s="16"/>
      <c r="D113" s="16"/>
      <c r="E113" s="16"/>
      <c r="F113" s="16"/>
      <c r="G113" s="16"/>
      <c r="H113" s="16"/>
      <c r="I113" s="16"/>
      <c r="J113" s="16"/>
      <c r="K113" s="16"/>
      <c r="L113" s="16"/>
      <c r="M113" s="16"/>
      <c r="N113" s="16"/>
      <c r="O113" s="16"/>
      <c r="P113" s="16"/>
      <c r="Q113" s="16"/>
      <c r="R113" s="16"/>
      <c r="S113" s="16"/>
    </row>
    <row r="114" spans="1:19" x14ac:dyDescent="0.25">
      <c r="A114" s="21"/>
      <c r="B114" s="16"/>
      <c r="C114" s="16"/>
      <c r="D114" s="16"/>
      <c r="E114" s="16"/>
      <c r="F114" s="16"/>
      <c r="G114" s="16"/>
      <c r="H114" s="16"/>
      <c r="I114" s="16"/>
      <c r="J114" s="16"/>
      <c r="K114" s="16"/>
      <c r="L114" s="16"/>
      <c r="M114" s="16"/>
      <c r="N114" s="16"/>
      <c r="O114" s="16"/>
      <c r="P114" s="16"/>
      <c r="Q114" s="16"/>
      <c r="R114" s="16"/>
      <c r="S114" s="16"/>
    </row>
    <row r="115" spans="1:19" x14ac:dyDescent="0.25">
      <c r="A115" s="21"/>
      <c r="B115" s="16"/>
      <c r="C115" s="16"/>
      <c r="D115" s="16"/>
      <c r="E115" s="16"/>
      <c r="F115" s="16"/>
      <c r="G115" s="16"/>
      <c r="H115" s="16"/>
      <c r="I115" s="16"/>
      <c r="J115" s="16"/>
      <c r="K115" s="16"/>
      <c r="L115" s="16"/>
      <c r="M115" s="16"/>
      <c r="N115" s="16"/>
      <c r="O115" s="16"/>
      <c r="P115" s="16"/>
      <c r="Q115" s="16"/>
      <c r="R115" s="16"/>
      <c r="S115" s="16"/>
    </row>
    <row r="116" spans="1:19" x14ac:dyDescent="0.25">
      <c r="A116" s="21"/>
      <c r="B116" s="16"/>
      <c r="C116" s="16"/>
      <c r="D116" s="16"/>
      <c r="E116" s="16"/>
      <c r="F116" s="16"/>
      <c r="G116" s="16"/>
      <c r="H116" s="16"/>
      <c r="I116" s="16"/>
      <c r="J116" s="16"/>
      <c r="K116" s="16"/>
      <c r="L116" s="16"/>
      <c r="M116" s="16"/>
      <c r="N116" s="16"/>
      <c r="O116" s="16"/>
      <c r="P116" s="16"/>
      <c r="Q116" s="16"/>
      <c r="R116" s="16"/>
      <c r="S116" s="16"/>
    </row>
    <row r="117" spans="1:19" x14ac:dyDescent="0.25">
      <c r="A117" s="21"/>
      <c r="B117" s="16"/>
      <c r="C117" s="16"/>
      <c r="D117" s="16"/>
      <c r="E117" s="16"/>
      <c r="F117" s="16"/>
      <c r="G117" s="16"/>
      <c r="H117" s="16"/>
      <c r="I117" s="16"/>
      <c r="J117" s="16"/>
      <c r="K117" s="16"/>
      <c r="L117" s="16"/>
      <c r="M117" s="16"/>
      <c r="N117" s="16"/>
      <c r="O117" s="16"/>
      <c r="P117" s="16"/>
      <c r="Q117" s="16"/>
      <c r="R117" s="16"/>
      <c r="S117" s="16"/>
    </row>
    <row r="118" spans="1:19" x14ac:dyDescent="0.25">
      <c r="A118" s="21"/>
      <c r="B118" s="16"/>
      <c r="C118" s="16"/>
      <c r="D118" s="16"/>
      <c r="E118" s="16"/>
      <c r="F118" s="16"/>
      <c r="G118" s="16"/>
      <c r="H118" s="16"/>
      <c r="I118" s="16"/>
      <c r="J118" s="16"/>
      <c r="K118" s="16"/>
      <c r="L118" s="16"/>
      <c r="M118" s="16"/>
      <c r="N118" s="16"/>
      <c r="O118" s="16"/>
      <c r="P118" s="16"/>
      <c r="Q118" s="16"/>
      <c r="R118" s="16"/>
      <c r="S118" s="16"/>
    </row>
    <row r="119" spans="1:19" x14ac:dyDescent="0.25">
      <c r="A119" s="21"/>
      <c r="B119" s="16"/>
      <c r="C119" s="16"/>
      <c r="D119" s="16"/>
      <c r="E119" s="16"/>
      <c r="F119" s="16"/>
      <c r="G119" s="16"/>
      <c r="H119" s="16"/>
      <c r="I119" s="16"/>
      <c r="J119" s="16"/>
      <c r="K119" s="16"/>
      <c r="L119" s="16"/>
      <c r="M119" s="16"/>
      <c r="N119" s="16"/>
      <c r="O119" s="16"/>
      <c r="P119" s="16"/>
      <c r="Q119" s="16"/>
      <c r="R119" s="16"/>
      <c r="S119" s="16"/>
    </row>
    <row r="120" spans="1:19" x14ac:dyDescent="0.25">
      <c r="A120" s="21"/>
      <c r="B120" s="16"/>
      <c r="C120" s="16"/>
      <c r="D120" s="16"/>
      <c r="E120" s="16"/>
      <c r="F120" s="16"/>
      <c r="G120" s="16"/>
      <c r="H120" s="16"/>
      <c r="I120" s="16"/>
      <c r="J120" s="16"/>
      <c r="K120" s="16"/>
      <c r="L120" s="16"/>
      <c r="M120" s="16"/>
      <c r="N120" s="16"/>
      <c r="O120" s="16"/>
      <c r="P120" s="16"/>
      <c r="Q120" s="16"/>
      <c r="R120" s="16"/>
      <c r="S120" s="16"/>
    </row>
    <row r="121" spans="1:19" x14ac:dyDescent="0.25">
      <c r="A121" s="21"/>
      <c r="B121" s="16"/>
      <c r="C121" s="16"/>
      <c r="D121" s="16"/>
      <c r="E121" s="16"/>
      <c r="F121" s="16"/>
      <c r="G121" s="16"/>
      <c r="H121" s="16"/>
      <c r="I121" s="16"/>
      <c r="J121" s="16"/>
      <c r="K121" s="16"/>
      <c r="L121" s="16"/>
      <c r="M121" s="16"/>
      <c r="N121" s="16"/>
      <c r="O121" s="16"/>
      <c r="P121" s="16"/>
      <c r="Q121" s="16"/>
      <c r="R121" s="16"/>
      <c r="S121" s="16"/>
    </row>
    <row r="122" spans="1:19" x14ac:dyDescent="0.25">
      <c r="A122" s="21"/>
      <c r="B122" s="16"/>
      <c r="C122" s="16"/>
      <c r="D122" s="16"/>
      <c r="E122" s="16"/>
      <c r="F122" s="16"/>
      <c r="G122" s="16"/>
      <c r="H122" s="16"/>
      <c r="I122" s="16"/>
      <c r="J122" s="16"/>
      <c r="K122" s="16"/>
      <c r="L122" s="16"/>
      <c r="M122" s="16"/>
      <c r="N122" s="16"/>
      <c r="O122" s="16"/>
      <c r="P122" s="16"/>
      <c r="Q122" s="16"/>
      <c r="R122" s="16"/>
      <c r="S122" s="16"/>
    </row>
    <row r="123" spans="1:19" x14ac:dyDescent="0.25">
      <c r="A123" s="21"/>
      <c r="B123" s="16"/>
      <c r="C123" s="16"/>
      <c r="D123" s="16"/>
      <c r="E123" s="16"/>
      <c r="F123" s="16"/>
      <c r="G123" s="16"/>
      <c r="H123" s="16"/>
      <c r="I123" s="16"/>
      <c r="J123" s="16"/>
      <c r="K123" s="16"/>
      <c r="L123" s="16"/>
      <c r="M123" s="16"/>
      <c r="N123" s="16"/>
      <c r="O123" s="16"/>
      <c r="P123" s="16"/>
      <c r="Q123" s="16"/>
      <c r="R123" s="16"/>
      <c r="S123" s="16"/>
    </row>
    <row r="124" spans="1:19" x14ac:dyDescent="0.25">
      <c r="A124" s="21"/>
      <c r="B124" s="16"/>
      <c r="C124" s="16"/>
      <c r="D124" s="16"/>
      <c r="E124" s="16"/>
      <c r="F124" s="16"/>
      <c r="G124" s="16"/>
      <c r="H124" s="16"/>
      <c r="I124" s="16"/>
      <c r="J124" s="16"/>
      <c r="K124" s="16"/>
      <c r="L124" s="16"/>
      <c r="M124" s="16"/>
      <c r="N124" s="16"/>
      <c r="O124" s="16"/>
      <c r="P124" s="16"/>
      <c r="Q124" s="16"/>
      <c r="R124" s="16"/>
      <c r="S124" s="16"/>
    </row>
    <row r="125" spans="1:19" x14ac:dyDescent="0.25">
      <c r="A125" s="21"/>
      <c r="B125" s="16"/>
      <c r="C125" s="16"/>
      <c r="D125" s="16"/>
      <c r="E125" s="16"/>
      <c r="F125" s="16"/>
      <c r="G125" s="16"/>
      <c r="H125" s="16"/>
      <c r="I125" s="16"/>
      <c r="J125" s="16"/>
      <c r="K125" s="16"/>
      <c r="L125" s="16"/>
      <c r="M125" s="16"/>
      <c r="N125" s="16"/>
      <c r="O125" s="16"/>
      <c r="P125" s="16"/>
      <c r="Q125" s="16"/>
      <c r="R125" s="16"/>
      <c r="S125" s="16"/>
    </row>
    <row r="126" spans="1:19" x14ac:dyDescent="0.25">
      <c r="A126" s="21"/>
      <c r="B126" s="16"/>
      <c r="C126" s="16"/>
      <c r="D126" s="16"/>
      <c r="E126" s="16"/>
      <c r="F126" s="16"/>
      <c r="G126" s="16"/>
      <c r="H126" s="16"/>
      <c r="I126" s="16"/>
      <c r="J126" s="16"/>
      <c r="K126" s="16"/>
      <c r="L126" s="16"/>
      <c r="M126" s="16"/>
      <c r="N126" s="16"/>
      <c r="O126" s="16"/>
      <c r="P126" s="16"/>
      <c r="Q126" s="16"/>
      <c r="R126" s="16"/>
      <c r="S126" s="16"/>
    </row>
    <row r="127" spans="1:19" x14ac:dyDescent="0.25">
      <c r="A127" s="21"/>
      <c r="B127" s="16"/>
      <c r="C127" s="16"/>
      <c r="D127" s="16"/>
      <c r="E127" s="16"/>
      <c r="F127" s="16"/>
      <c r="G127" s="16"/>
      <c r="H127" s="16"/>
      <c r="I127" s="16"/>
      <c r="J127" s="16"/>
      <c r="K127" s="16"/>
      <c r="L127" s="16"/>
      <c r="M127" s="16"/>
      <c r="N127" s="16"/>
      <c r="O127" s="16"/>
      <c r="P127" s="16"/>
      <c r="Q127" s="16"/>
      <c r="R127" s="16"/>
      <c r="S127" s="16"/>
    </row>
    <row r="128" spans="1:19" x14ac:dyDescent="0.25">
      <c r="A128" s="21"/>
      <c r="B128" s="16"/>
      <c r="C128" s="16"/>
      <c r="D128" s="16"/>
      <c r="E128" s="16"/>
      <c r="F128" s="16"/>
      <c r="G128" s="16"/>
      <c r="H128" s="16"/>
      <c r="I128" s="16"/>
      <c r="J128" s="16"/>
      <c r="K128" s="16"/>
      <c r="L128" s="16"/>
      <c r="M128" s="16"/>
      <c r="N128" s="16"/>
      <c r="O128" s="16"/>
      <c r="P128" s="16"/>
      <c r="Q128" s="16"/>
      <c r="R128" s="16"/>
      <c r="S128" s="16"/>
    </row>
    <row r="129" spans="1:19" x14ac:dyDescent="0.25">
      <c r="A129" s="21"/>
      <c r="B129" s="16"/>
      <c r="C129" s="16"/>
      <c r="D129" s="16"/>
      <c r="E129" s="16"/>
      <c r="F129" s="16"/>
      <c r="G129" s="16"/>
      <c r="H129" s="16"/>
      <c r="I129" s="16"/>
      <c r="J129" s="16"/>
      <c r="K129" s="16"/>
      <c r="L129" s="16"/>
      <c r="M129" s="16"/>
      <c r="N129" s="16"/>
      <c r="O129" s="16"/>
      <c r="P129" s="16"/>
      <c r="Q129" s="16"/>
      <c r="R129" s="16"/>
      <c r="S129" s="16"/>
    </row>
    <row r="130" spans="1:19" x14ac:dyDescent="0.25">
      <c r="A130" s="21"/>
      <c r="B130" s="16"/>
      <c r="C130" s="16"/>
      <c r="D130" s="16"/>
      <c r="E130" s="16"/>
      <c r="F130" s="16"/>
      <c r="G130" s="16"/>
      <c r="H130" s="16"/>
      <c r="I130" s="16"/>
      <c r="J130" s="16"/>
      <c r="K130" s="16"/>
      <c r="L130" s="16"/>
      <c r="M130" s="16"/>
      <c r="N130" s="16"/>
      <c r="O130" s="16"/>
      <c r="P130" s="16"/>
      <c r="Q130" s="16"/>
      <c r="R130" s="16"/>
      <c r="S130" s="16"/>
    </row>
    <row r="131" spans="1:19" x14ac:dyDescent="0.25">
      <c r="A131" s="21"/>
      <c r="B131" s="16"/>
      <c r="C131" s="16"/>
      <c r="D131" s="16"/>
      <c r="E131" s="16"/>
      <c r="F131" s="16"/>
      <c r="G131" s="16"/>
      <c r="H131" s="16"/>
      <c r="I131" s="16"/>
      <c r="J131" s="16"/>
      <c r="K131" s="16"/>
      <c r="L131" s="16"/>
      <c r="M131" s="16"/>
      <c r="N131" s="16"/>
      <c r="O131" s="16"/>
      <c r="P131" s="16"/>
      <c r="Q131" s="16"/>
      <c r="R131" s="16"/>
      <c r="S131" s="16"/>
    </row>
    <row r="132" spans="1:19" x14ac:dyDescent="0.25">
      <c r="A132" s="21"/>
      <c r="B132" s="16"/>
      <c r="C132" s="16"/>
      <c r="D132" s="16"/>
      <c r="E132" s="16"/>
      <c r="F132" s="16"/>
      <c r="G132" s="16"/>
      <c r="H132" s="16"/>
      <c r="I132" s="16"/>
      <c r="J132" s="16"/>
      <c r="K132" s="16"/>
      <c r="L132" s="16"/>
      <c r="M132" s="16"/>
      <c r="N132" s="16"/>
      <c r="O132" s="16"/>
      <c r="P132" s="16"/>
      <c r="Q132" s="16"/>
      <c r="R132" s="16"/>
      <c r="S132" s="16"/>
    </row>
    <row r="133" spans="1:19" x14ac:dyDescent="0.25">
      <c r="A133" s="21"/>
      <c r="B133" s="16"/>
      <c r="C133" s="16"/>
      <c r="D133" s="16"/>
      <c r="E133" s="16"/>
      <c r="F133" s="16"/>
      <c r="G133" s="16"/>
      <c r="H133" s="16"/>
      <c r="I133" s="16"/>
      <c r="J133" s="16"/>
      <c r="K133" s="16"/>
      <c r="L133" s="16"/>
      <c r="M133" s="16"/>
      <c r="N133" s="16"/>
      <c r="O133" s="16"/>
      <c r="P133" s="16"/>
      <c r="Q133" s="16"/>
      <c r="R133" s="16"/>
      <c r="S133" s="16"/>
    </row>
    <row r="134" spans="1:19" x14ac:dyDescent="0.25">
      <c r="A134" s="21"/>
      <c r="B134" s="16"/>
      <c r="C134" s="16"/>
      <c r="D134" s="16"/>
      <c r="E134" s="16"/>
      <c r="F134" s="16"/>
      <c r="G134" s="16"/>
      <c r="H134" s="16"/>
      <c r="I134" s="16"/>
      <c r="J134" s="16"/>
      <c r="K134" s="16"/>
      <c r="L134" s="16"/>
      <c r="M134" s="16"/>
      <c r="N134" s="16"/>
      <c r="O134" s="16"/>
      <c r="P134" s="16"/>
      <c r="Q134" s="16"/>
      <c r="R134" s="16"/>
      <c r="S134" s="16"/>
    </row>
    <row r="135" spans="1:19" x14ac:dyDescent="0.25">
      <c r="A135" s="21"/>
      <c r="B135" s="16"/>
      <c r="C135" s="16"/>
      <c r="D135" s="16"/>
      <c r="E135" s="16"/>
      <c r="F135" s="16"/>
      <c r="G135" s="16"/>
      <c r="H135" s="16"/>
      <c r="I135" s="16"/>
      <c r="J135" s="16"/>
      <c r="K135" s="16"/>
      <c r="L135" s="16"/>
      <c r="M135" s="16"/>
      <c r="N135" s="16"/>
      <c r="O135" s="16"/>
      <c r="P135" s="16"/>
      <c r="Q135" s="16"/>
      <c r="R135" s="16"/>
      <c r="S135" s="16"/>
    </row>
    <row r="136" spans="1:19" x14ac:dyDescent="0.25">
      <c r="A136" s="21"/>
      <c r="B136" s="16"/>
      <c r="C136" s="16"/>
      <c r="D136" s="16"/>
      <c r="E136" s="16"/>
      <c r="F136" s="16"/>
      <c r="G136" s="16"/>
      <c r="H136" s="16"/>
      <c r="I136" s="16"/>
      <c r="J136" s="16"/>
      <c r="K136" s="16"/>
      <c r="L136" s="16"/>
      <c r="M136" s="16"/>
      <c r="N136" s="16"/>
      <c r="O136" s="16"/>
      <c r="P136" s="16"/>
      <c r="Q136" s="16"/>
      <c r="R136" s="16"/>
      <c r="S136" s="16"/>
    </row>
    <row r="137" spans="1:19" x14ac:dyDescent="0.25">
      <c r="A137" s="17"/>
      <c r="B137" s="16"/>
      <c r="C137" s="16"/>
      <c r="D137" s="16"/>
      <c r="E137" s="16"/>
      <c r="F137" s="16"/>
      <c r="G137" s="16"/>
      <c r="H137" s="16"/>
      <c r="I137" s="16"/>
      <c r="J137" s="16"/>
      <c r="K137" s="16"/>
      <c r="L137" s="16"/>
      <c r="M137" s="16"/>
      <c r="N137" s="16"/>
      <c r="O137" s="16"/>
      <c r="P137" s="16"/>
      <c r="Q137" s="16"/>
      <c r="R137" s="16"/>
      <c r="S137" s="16"/>
    </row>
    <row r="138" spans="1:19" x14ac:dyDescent="0.25">
      <c r="A138" s="17"/>
      <c r="B138" s="16"/>
      <c r="C138" s="16"/>
      <c r="D138" s="16"/>
      <c r="E138" s="16"/>
      <c r="F138" s="16"/>
      <c r="G138" s="16"/>
      <c r="H138" s="16"/>
      <c r="I138" s="16"/>
      <c r="J138" s="16"/>
      <c r="K138" s="16"/>
      <c r="L138" s="16"/>
      <c r="M138" s="16"/>
      <c r="N138" s="16"/>
      <c r="O138" s="16"/>
      <c r="P138" s="16"/>
      <c r="Q138" s="16"/>
      <c r="R138" s="16"/>
      <c r="S138" s="16"/>
    </row>
    <row r="139" spans="1:19" x14ac:dyDescent="0.25">
      <c r="A139" s="17"/>
      <c r="B139" s="16"/>
      <c r="C139" s="16"/>
      <c r="D139" s="16"/>
      <c r="E139" s="16"/>
      <c r="F139" s="16"/>
      <c r="G139" s="16"/>
      <c r="H139" s="16"/>
      <c r="I139" s="16"/>
      <c r="J139" s="16"/>
      <c r="K139" s="16"/>
      <c r="L139" s="16"/>
      <c r="M139" s="16"/>
      <c r="N139" s="16"/>
      <c r="O139" s="16"/>
      <c r="P139" s="16"/>
      <c r="Q139" s="16"/>
      <c r="R139" s="16"/>
      <c r="S139" s="16"/>
    </row>
    <row r="140" spans="1:19" x14ac:dyDescent="0.25">
      <c r="A140" s="17"/>
      <c r="B140" s="16"/>
      <c r="C140" s="16"/>
      <c r="D140" s="16"/>
      <c r="E140" s="16"/>
      <c r="F140" s="16"/>
      <c r="G140" s="16"/>
      <c r="H140" s="16"/>
      <c r="I140" s="16"/>
      <c r="J140" s="16"/>
      <c r="K140" s="16"/>
      <c r="L140" s="16"/>
      <c r="M140" s="16"/>
      <c r="N140" s="16"/>
      <c r="O140" s="16"/>
      <c r="P140" s="16"/>
      <c r="Q140" s="16"/>
      <c r="R140" s="16"/>
      <c r="S140" s="16"/>
    </row>
    <row r="141" spans="1:19" x14ac:dyDescent="0.25">
      <c r="A141" s="17"/>
      <c r="B141" s="16"/>
      <c r="C141" s="16"/>
      <c r="D141" s="16"/>
      <c r="E141" s="16"/>
      <c r="F141" s="16"/>
      <c r="G141" s="16"/>
      <c r="H141" s="16"/>
      <c r="I141" s="16"/>
      <c r="J141" s="16"/>
      <c r="K141" s="16"/>
      <c r="L141" s="16"/>
      <c r="M141" s="16"/>
      <c r="N141" s="16"/>
      <c r="O141" s="16"/>
      <c r="P141" s="16"/>
      <c r="Q141" s="16"/>
      <c r="R141" s="16"/>
      <c r="S141" s="16"/>
    </row>
    <row r="142" spans="1:19" x14ac:dyDescent="0.25">
      <c r="A142" s="17"/>
      <c r="B142" s="16"/>
      <c r="C142" s="16"/>
      <c r="D142" s="16"/>
      <c r="E142" s="16"/>
      <c r="F142" s="16"/>
      <c r="G142" s="16"/>
      <c r="H142" s="16"/>
      <c r="I142" s="16"/>
      <c r="J142" s="16"/>
      <c r="K142" s="16"/>
      <c r="L142" s="16"/>
      <c r="M142" s="16"/>
      <c r="N142" s="16"/>
      <c r="O142" s="16"/>
      <c r="P142" s="16"/>
      <c r="Q142" s="16"/>
      <c r="R142" s="16"/>
      <c r="S142" s="16"/>
    </row>
    <row r="143" spans="1:19" x14ac:dyDescent="0.25">
      <c r="A143" s="17"/>
      <c r="B143" s="16"/>
      <c r="C143" s="16"/>
      <c r="D143" s="16"/>
      <c r="E143" s="16"/>
      <c r="F143" s="16"/>
      <c r="G143" s="16"/>
      <c r="H143" s="16"/>
      <c r="I143" s="16"/>
      <c r="J143" s="16"/>
      <c r="K143" s="16"/>
      <c r="L143" s="16"/>
      <c r="M143" s="16"/>
      <c r="N143" s="16"/>
      <c r="O143" s="16"/>
      <c r="P143" s="16"/>
      <c r="Q143" s="16"/>
      <c r="R143" s="16"/>
      <c r="S143" s="16"/>
    </row>
    <row r="144" spans="1:19" x14ac:dyDescent="0.25">
      <c r="A144" s="17"/>
      <c r="B144" s="16"/>
      <c r="C144" s="16"/>
      <c r="D144" s="16"/>
      <c r="E144" s="16"/>
      <c r="F144" s="16"/>
      <c r="G144" s="16"/>
      <c r="H144" s="16"/>
      <c r="I144" s="16"/>
      <c r="J144" s="16"/>
      <c r="K144" s="16"/>
      <c r="L144" s="16"/>
      <c r="M144" s="16"/>
      <c r="N144" s="16"/>
      <c r="O144" s="16"/>
      <c r="P144" s="16"/>
      <c r="Q144" s="16"/>
      <c r="R144" s="16"/>
      <c r="S144" s="16"/>
    </row>
    <row r="145" spans="1:19" x14ac:dyDescent="0.25">
      <c r="A145" s="17"/>
      <c r="B145" s="16"/>
      <c r="C145" s="16"/>
      <c r="D145" s="16"/>
      <c r="E145" s="16"/>
      <c r="F145" s="16"/>
      <c r="G145" s="16"/>
      <c r="H145" s="16"/>
      <c r="I145" s="16"/>
      <c r="J145" s="16"/>
      <c r="K145" s="16"/>
      <c r="L145" s="16"/>
      <c r="M145" s="16"/>
      <c r="N145" s="16"/>
      <c r="O145" s="16"/>
      <c r="P145" s="16"/>
      <c r="Q145" s="16"/>
      <c r="R145" s="16"/>
      <c r="S145" s="16"/>
    </row>
    <row r="146" spans="1:19" x14ac:dyDescent="0.25">
      <c r="A146" s="17"/>
      <c r="B146" s="16"/>
      <c r="C146" s="16"/>
      <c r="D146" s="16"/>
      <c r="E146" s="16"/>
      <c r="F146" s="16"/>
      <c r="G146" s="16"/>
      <c r="H146" s="16"/>
      <c r="I146" s="16"/>
      <c r="J146" s="16"/>
      <c r="K146" s="16"/>
      <c r="L146" s="16"/>
      <c r="M146" s="16"/>
      <c r="N146" s="16"/>
      <c r="O146" s="16"/>
      <c r="P146" s="16"/>
      <c r="Q146" s="16"/>
      <c r="R146" s="16"/>
      <c r="S146" s="16"/>
    </row>
    <row r="147" spans="1:19" x14ac:dyDescent="0.25">
      <c r="A147" s="17"/>
      <c r="B147" s="16"/>
      <c r="C147" s="16"/>
      <c r="D147" s="16"/>
      <c r="E147" s="16"/>
      <c r="F147" s="16"/>
      <c r="G147" s="16"/>
      <c r="H147" s="16"/>
      <c r="I147" s="16"/>
      <c r="J147" s="16"/>
      <c r="K147" s="16"/>
      <c r="L147" s="16"/>
      <c r="M147" s="16"/>
      <c r="N147" s="16"/>
      <c r="O147" s="16"/>
      <c r="P147" s="16"/>
      <c r="Q147" s="16"/>
      <c r="R147" s="16"/>
      <c r="S147" s="16"/>
    </row>
    <row r="148" spans="1:19" x14ac:dyDescent="0.25">
      <c r="A148" s="17"/>
      <c r="B148" s="16"/>
      <c r="C148" s="16"/>
      <c r="D148" s="16"/>
      <c r="E148" s="16"/>
      <c r="F148" s="16"/>
      <c r="G148" s="16"/>
      <c r="H148" s="16"/>
      <c r="I148" s="16"/>
      <c r="J148" s="16"/>
      <c r="K148" s="16"/>
      <c r="L148" s="16"/>
      <c r="M148" s="16"/>
      <c r="N148" s="16"/>
      <c r="O148" s="16"/>
      <c r="P148" s="16"/>
      <c r="Q148" s="16"/>
      <c r="R148" s="16"/>
      <c r="S148" s="16"/>
    </row>
    <row r="149" spans="1:19" x14ac:dyDescent="0.25">
      <c r="A149" s="17"/>
      <c r="B149" s="16"/>
      <c r="C149" s="16"/>
      <c r="D149" s="16"/>
      <c r="E149" s="16"/>
      <c r="F149" s="16"/>
      <c r="G149" s="16"/>
      <c r="H149" s="16"/>
      <c r="I149" s="16"/>
      <c r="J149" s="16"/>
      <c r="K149" s="16"/>
      <c r="L149" s="16"/>
      <c r="M149" s="16"/>
      <c r="N149" s="16"/>
      <c r="O149" s="16"/>
      <c r="P149" s="16"/>
      <c r="Q149" s="16"/>
      <c r="R149" s="16"/>
      <c r="S149" s="16"/>
    </row>
    <row r="150" spans="1:19" x14ac:dyDescent="0.25">
      <c r="A150" s="17"/>
      <c r="B150" s="16"/>
      <c r="C150" s="16"/>
      <c r="D150" s="16"/>
      <c r="E150" s="16"/>
      <c r="F150" s="16"/>
      <c r="G150" s="16"/>
      <c r="H150" s="16"/>
      <c r="I150" s="16"/>
      <c r="J150" s="16"/>
      <c r="K150" s="16"/>
      <c r="L150" s="16"/>
      <c r="M150" s="16"/>
      <c r="N150" s="16"/>
      <c r="O150" s="16"/>
      <c r="P150" s="16"/>
      <c r="Q150" s="16"/>
      <c r="R150" s="16"/>
      <c r="S150" s="16"/>
    </row>
    <row r="151" spans="1:19" x14ac:dyDescent="0.25">
      <c r="A151" s="17"/>
      <c r="B151" s="16"/>
      <c r="C151" s="16"/>
      <c r="D151" s="16"/>
      <c r="E151" s="16"/>
      <c r="F151" s="16"/>
      <c r="G151" s="16"/>
      <c r="H151" s="16"/>
      <c r="I151" s="16"/>
      <c r="J151" s="16"/>
      <c r="K151" s="16"/>
      <c r="L151" s="16"/>
      <c r="M151" s="16"/>
      <c r="N151" s="16"/>
      <c r="O151" s="16"/>
      <c r="P151" s="16"/>
      <c r="Q151" s="16"/>
      <c r="R151" s="16"/>
      <c r="S151" s="16"/>
    </row>
    <row r="152" spans="1:19" x14ac:dyDescent="0.25">
      <c r="A152" s="17"/>
      <c r="B152" s="16"/>
      <c r="C152" s="16"/>
      <c r="D152" s="16"/>
      <c r="E152" s="16"/>
      <c r="F152" s="16"/>
      <c r="G152" s="16"/>
      <c r="H152" s="16"/>
      <c r="I152" s="16"/>
      <c r="J152" s="16"/>
      <c r="K152" s="16"/>
      <c r="L152" s="16"/>
      <c r="M152" s="16"/>
      <c r="N152" s="16"/>
      <c r="O152" s="16"/>
      <c r="P152" s="16"/>
      <c r="Q152" s="16"/>
      <c r="R152" s="16"/>
      <c r="S152" s="16"/>
    </row>
    <row r="153" spans="1:19" x14ac:dyDescent="0.25">
      <c r="A153" s="17"/>
      <c r="B153" s="16"/>
      <c r="C153" s="16"/>
      <c r="D153" s="16"/>
      <c r="E153" s="16"/>
      <c r="F153" s="16"/>
      <c r="G153" s="16"/>
      <c r="H153" s="16"/>
      <c r="I153" s="16"/>
      <c r="J153" s="16"/>
      <c r="K153" s="16"/>
      <c r="L153" s="16"/>
      <c r="M153" s="16"/>
      <c r="N153" s="16"/>
      <c r="O153" s="16"/>
      <c r="P153" s="16"/>
      <c r="Q153" s="16"/>
      <c r="R153" s="16"/>
      <c r="S153" s="16"/>
    </row>
    <row r="154" spans="1:19" x14ac:dyDescent="0.25">
      <c r="A154" s="17"/>
      <c r="B154" s="16"/>
      <c r="C154" s="16"/>
      <c r="D154" s="16"/>
      <c r="E154" s="16"/>
      <c r="F154" s="16"/>
      <c r="G154" s="16"/>
      <c r="H154" s="16"/>
      <c r="I154" s="16"/>
      <c r="J154" s="16"/>
      <c r="K154" s="16"/>
      <c r="L154" s="16"/>
      <c r="M154" s="16"/>
      <c r="N154" s="16"/>
      <c r="O154" s="16"/>
      <c r="P154" s="16"/>
      <c r="Q154" s="16"/>
      <c r="R154" s="16"/>
      <c r="S154" s="16"/>
    </row>
    <row r="155" spans="1:19" x14ac:dyDescent="0.25">
      <c r="A155" s="17"/>
      <c r="B155" s="16"/>
      <c r="C155" s="16"/>
      <c r="D155" s="16"/>
      <c r="E155" s="16"/>
      <c r="F155" s="16"/>
      <c r="G155" s="16"/>
      <c r="H155" s="16"/>
      <c r="I155" s="16"/>
      <c r="J155" s="16"/>
      <c r="K155" s="16"/>
      <c r="L155" s="16"/>
      <c r="M155" s="16"/>
      <c r="N155" s="16"/>
      <c r="O155" s="16"/>
      <c r="P155" s="16"/>
      <c r="Q155" s="16"/>
      <c r="R155" s="16"/>
      <c r="S155" s="16"/>
    </row>
    <row r="156" spans="1:19" x14ac:dyDescent="0.25">
      <c r="A156" s="17"/>
      <c r="B156" s="16"/>
      <c r="C156" s="16"/>
      <c r="D156" s="16"/>
      <c r="E156" s="16"/>
      <c r="F156" s="16"/>
      <c r="G156" s="16"/>
      <c r="H156" s="16"/>
      <c r="I156" s="16"/>
      <c r="J156" s="16"/>
      <c r="K156" s="16"/>
      <c r="L156" s="16"/>
      <c r="M156" s="16"/>
      <c r="N156" s="16"/>
      <c r="O156" s="16"/>
      <c r="P156" s="16"/>
      <c r="Q156" s="16"/>
      <c r="R156" s="16"/>
      <c r="S156" s="16"/>
    </row>
    <row r="157" spans="1:19" x14ac:dyDescent="0.25">
      <c r="A157" s="17"/>
      <c r="B157" s="16"/>
      <c r="C157" s="16"/>
      <c r="D157" s="16"/>
      <c r="E157" s="16"/>
      <c r="F157" s="16"/>
      <c r="G157" s="16"/>
      <c r="H157" s="16"/>
      <c r="I157" s="16"/>
      <c r="J157" s="16"/>
      <c r="K157" s="16"/>
      <c r="L157" s="16"/>
      <c r="M157" s="16"/>
      <c r="N157" s="16"/>
      <c r="O157" s="16"/>
      <c r="P157" s="16"/>
      <c r="Q157" s="16"/>
      <c r="R157" s="16"/>
      <c r="S157" s="16"/>
    </row>
    <row r="158" spans="1:19" x14ac:dyDescent="0.25">
      <c r="A158" s="17"/>
      <c r="B158" s="16"/>
      <c r="C158" s="16"/>
      <c r="D158" s="16"/>
      <c r="E158" s="16"/>
      <c r="F158" s="16"/>
      <c r="G158" s="16"/>
      <c r="H158" s="16"/>
      <c r="I158" s="16"/>
      <c r="J158" s="16"/>
      <c r="K158" s="16"/>
      <c r="L158" s="16"/>
      <c r="M158" s="16"/>
      <c r="N158" s="16"/>
      <c r="O158" s="16"/>
      <c r="P158" s="16"/>
      <c r="Q158" s="16"/>
      <c r="R158" s="16"/>
      <c r="S158" s="16"/>
    </row>
    <row r="159" spans="1:19" x14ac:dyDescent="0.25">
      <c r="A159" s="17"/>
      <c r="B159" s="16"/>
      <c r="C159" s="16"/>
      <c r="D159" s="16"/>
      <c r="E159" s="16"/>
      <c r="F159" s="16"/>
      <c r="G159" s="16"/>
      <c r="H159" s="16"/>
      <c r="I159" s="16"/>
      <c r="J159" s="16"/>
      <c r="K159" s="16"/>
      <c r="L159" s="16"/>
      <c r="M159" s="16"/>
      <c r="N159" s="16"/>
      <c r="O159" s="16"/>
      <c r="P159" s="16"/>
      <c r="Q159" s="16"/>
      <c r="R159" s="16"/>
      <c r="S159" s="16"/>
    </row>
    <row r="160" spans="1:19" x14ac:dyDescent="0.25">
      <c r="A160" s="17"/>
      <c r="B160" s="16"/>
      <c r="C160" s="16"/>
      <c r="D160" s="16"/>
      <c r="E160" s="16"/>
      <c r="F160" s="16"/>
      <c r="G160" s="16"/>
      <c r="H160" s="16"/>
      <c r="I160" s="16"/>
      <c r="J160" s="16"/>
      <c r="K160" s="16"/>
      <c r="L160" s="16"/>
      <c r="M160" s="16"/>
      <c r="N160" s="16"/>
      <c r="O160" s="16"/>
      <c r="P160" s="16"/>
      <c r="Q160" s="16"/>
      <c r="R160" s="16"/>
      <c r="S160" s="16"/>
    </row>
    <row r="161" spans="1:19" x14ac:dyDescent="0.25">
      <c r="A161" s="17"/>
      <c r="B161" s="16"/>
      <c r="C161" s="16"/>
      <c r="D161" s="16"/>
      <c r="E161" s="16"/>
      <c r="F161" s="16"/>
      <c r="G161" s="16"/>
      <c r="H161" s="16"/>
      <c r="I161" s="16"/>
      <c r="J161" s="16"/>
      <c r="K161" s="16"/>
      <c r="L161" s="16"/>
      <c r="M161" s="16"/>
      <c r="N161" s="16"/>
      <c r="O161" s="16"/>
      <c r="P161" s="16"/>
      <c r="Q161" s="16"/>
      <c r="R161" s="16"/>
      <c r="S161" s="16"/>
    </row>
    <row r="162" spans="1:19" x14ac:dyDescent="0.25">
      <c r="A162" s="17"/>
      <c r="B162" s="16"/>
      <c r="C162" s="16"/>
      <c r="D162" s="16"/>
      <c r="E162" s="16"/>
      <c r="F162" s="16"/>
      <c r="G162" s="16"/>
      <c r="H162" s="16"/>
      <c r="I162" s="16"/>
      <c r="J162" s="16"/>
      <c r="K162" s="16"/>
      <c r="L162" s="16"/>
      <c r="M162" s="16"/>
      <c r="N162" s="16"/>
      <c r="O162" s="16"/>
      <c r="P162" s="16"/>
      <c r="Q162" s="16"/>
      <c r="R162" s="16"/>
      <c r="S162" s="16"/>
    </row>
    <row r="163" spans="1:19" x14ac:dyDescent="0.25">
      <c r="A163" s="17"/>
      <c r="B163" s="16"/>
      <c r="C163" s="16"/>
      <c r="D163" s="16"/>
      <c r="E163" s="16"/>
      <c r="F163" s="16"/>
      <c r="G163" s="16"/>
      <c r="H163" s="16"/>
      <c r="I163" s="16"/>
      <c r="J163" s="16"/>
      <c r="K163" s="16"/>
      <c r="L163" s="16"/>
      <c r="M163" s="16"/>
      <c r="N163" s="16"/>
      <c r="O163" s="16"/>
      <c r="P163" s="16"/>
      <c r="Q163" s="16"/>
      <c r="R163" s="16"/>
      <c r="S163" s="16"/>
    </row>
    <row r="164" spans="1:19" x14ac:dyDescent="0.25">
      <c r="A164" s="17"/>
      <c r="B164" s="16"/>
      <c r="C164" s="16"/>
      <c r="D164" s="16"/>
      <c r="E164" s="16"/>
      <c r="F164" s="16"/>
      <c r="G164" s="16"/>
      <c r="H164" s="16"/>
      <c r="I164" s="16"/>
      <c r="J164" s="16"/>
      <c r="K164" s="16"/>
      <c r="L164" s="16"/>
      <c r="M164" s="16"/>
      <c r="N164" s="16"/>
      <c r="O164" s="16"/>
      <c r="P164" s="16"/>
      <c r="Q164" s="16"/>
      <c r="R164" s="16"/>
      <c r="S164" s="16"/>
    </row>
    <row r="165" spans="1:19" x14ac:dyDescent="0.25">
      <c r="A165" s="17"/>
      <c r="B165" s="16"/>
      <c r="C165" s="16"/>
      <c r="D165" s="16"/>
      <c r="E165" s="16"/>
      <c r="F165" s="16"/>
      <c r="G165" s="16"/>
      <c r="H165" s="16"/>
      <c r="I165" s="16"/>
      <c r="J165" s="16"/>
      <c r="K165" s="16"/>
      <c r="L165" s="16"/>
      <c r="M165" s="16"/>
      <c r="N165" s="16"/>
      <c r="O165" s="16"/>
      <c r="P165" s="16"/>
      <c r="Q165" s="16"/>
      <c r="R165" s="16"/>
      <c r="S165" s="16"/>
    </row>
    <row r="166" spans="1:19" x14ac:dyDescent="0.25">
      <c r="A166" s="17"/>
      <c r="B166" s="16"/>
      <c r="C166" s="16"/>
      <c r="D166" s="16"/>
      <c r="E166" s="16"/>
      <c r="F166" s="16"/>
      <c r="G166" s="16"/>
      <c r="H166" s="16"/>
      <c r="I166" s="16"/>
      <c r="J166" s="16"/>
      <c r="K166" s="16"/>
      <c r="L166" s="16"/>
      <c r="M166" s="16"/>
      <c r="N166" s="16"/>
      <c r="O166" s="16"/>
      <c r="P166" s="16"/>
      <c r="Q166" s="16"/>
      <c r="R166" s="16"/>
      <c r="S166" s="16"/>
    </row>
    <row r="167" spans="1:19" x14ac:dyDescent="0.25">
      <c r="A167" s="17"/>
      <c r="B167" s="16"/>
      <c r="C167" s="16"/>
      <c r="D167" s="16"/>
      <c r="E167" s="16"/>
      <c r="F167" s="16"/>
      <c r="G167" s="16"/>
      <c r="H167" s="16"/>
      <c r="I167" s="16"/>
      <c r="J167" s="16"/>
      <c r="K167" s="16"/>
      <c r="L167" s="16"/>
      <c r="M167" s="16"/>
      <c r="N167" s="16"/>
      <c r="O167" s="16"/>
      <c r="P167" s="16"/>
      <c r="Q167" s="16"/>
      <c r="R167" s="16"/>
      <c r="S167" s="16"/>
    </row>
    <row r="168" spans="1:19" x14ac:dyDescent="0.25">
      <c r="A168" s="17"/>
      <c r="B168" s="16"/>
      <c r="C168" s="16"/>
      <c r="D168" s="16"/>
      <c r="E168" s="16"/>
      <c r="F168" s="16"/>
      <c r="G168" s="16"/>
      <c r="H168" s="16"/>
      <c r="I168" s="16"/>
      <c r="J168" s="16"/>
      <c r="K168" s="16"/>
      <c r="L168" s="16"/>
      <c r="M168" s="16"/>
      <c r="N168" s="16"/>
      <c r="O168" s="16"/>
      <c r="P168" s="16"/>
      <c r="Q168" s="16"/>
      <c r="R168" s="16"/>
      <c r="S168" s="16"/>
    </row>
    <row r="169" spans="1:19" x14ac:dyDescent="0.25">
      <c r="A169" s="17"/>
      <c r="B169" s="16"/>
      <c r="C169" s="16"/>
      <c r="D169" s="16"/>
      <c r="E169" s="16"/>
      <c r="F169" s="16"/>
      <c r="G169" s="16"/>
      <c r="H169" s="16"/>
      <c r="I169" s="16"/>
      <c r="J169" s="16"/>
      <c r="K169" s="16"/>
      <c r="L169" s="16"/>
      <c r="M169" s="16"/>
      <c r="N169" s="16"/>
      <c r="O169" s="16"/>
      <c r="P169" s="16"/>
      <c r="Q169" s="16"/>
      <c r="R169" s="16"/>
      <c r="S169" s="16"/>
    </row>
    <row r="170" spans="1:19" x14ac:dyDescent="0.25">
      <c r="A170" s="17"/>
      <c r="B170" s="16"/>
      <c r="C170" s="16"/>
      <c r="D170" s="16"/>
      <c r="E170" s="16"/>
      <c r="F170" s="16"/>
      <c r="G170" s="16"/>
      <c r="H170" s="16"/>
      <c r="I170" s="16"/>
      <c r="J170" s="16"/>
      <c r="K170" s="16"/>
      <c r="L170" s="16"/>
      <c r="M170" s="16"/>
      <c r="N170" s="16"/>
      <c r="O170" s="16"/>
      <c r="P170" s="16"/>
      <c r="Q170" s="16"/>
      <c r="R170" s="16"/>
      <c r="S170" s="16"/>
    </row>
    <row r="171" spans="1:19" x14ac:dyDescent="0.25">
      <c r="A171" s="17"/>
      <c r="B171" s="16"/>
      <c r="C171" s="16"/>
      <c r="D171" s="16"/>
      <c r="E171" s="16"/>
      <c r="F171" s="16"/>
      <c r="G171" s="16"/>
      <c r="H171" s="16"/>
      <c r="I171" s="16"/>
      <c r="J171" s="16"/>
      <c r="K171" s="16"/>
      <c r="L171" s="16"/>
      <c r="M171" s="16"/>
      <c r="N171" s="16"/>
      <c r="O171" s="16"/>
      <c r="P171" s="16"/>
      <c r="Q171" s="16"/>
      <c r="R171" s="16"/>
      <c r="S171" s="16"/>
    </row>
    <row r="172" spans="1:19" x14ac:dyDescent="0.25">
      <c r="A172" s="17"/>
      <c r="B172" s="16"/>
      <c r="C172" s="16"/>
      <c r="D172" s="16"/>
      <c r="E172" s="16"/>
      <c r="F172" s="16"/>
      <c r="G172" s="16"/>
      <c r="H172" s="16"/>
      <c r="I172" s="16"/>
      <c r="J172" s="16"/>
      <c r="K172" s="16"/>
      <c r="L172" s="16"/>
      <c r="M172" s="16"/>
      <c r="N172" s="16"/>
      <c r="O172" s="16"/>
      <c r="P172" s="16"/>
      <c r="Q172" s="16"/>
      <c r="R172" s="16"/>
      <c r="S172" s="16"/>
    </row>
    <row r="173" spans="1:19" x14ac:dyDescent="0.25">
      <c r="A173" s="17"/>
      <c r="B173" s="16"/>
      <c r="C173" s="16"/>
      <c r="D173" s="16"/>
      <c r="E173" s="16"/>
      <c r="F173" s="16"/>
      <c r="G173" s="16"/>
      <c r="H173" s="16"/>
      <c r="I173" s="16"/>
      <c r="J173" s="16"/>
      <c r="K173" s="16"/>
      <c r="L173" s="16"/>
      <c r="M173" s="16"/>
      <c r="N173" s="16"/>
      <c r="O173" s="16"/>
      <c r="P173" s="16"/>
      <c r="Q173" s="16"/>
      <c r="R173" s="16"/>
      <c r="S173" s="16"/>
    </row>
    <row r="174" spans="1:19" x14ac:dyDescent="0.25">
      <c r="A174" s="17"/>
      <c r="B174" s="16"/>
      <c r="C174" s="16"/>
      <c r="D174" s="16"/>
      <c r="E174" s="16"/>
      <c r="F174" s="16"/>
      <c r="G174" s="16"/>
      <c r="H174" s="16"/>
      <c r="I174" s="16"/>
      <c r="J174" s="16"/>
      <c r="K174" s="16"/>
      <c r="L174" s="16"/>
      <c r="M174" s="16"/>
      <c r="N174" s="16"/>
      <c r="O174" s="16"/>
      <c r="P174" s="16"/>
      <c r="Q174" s="16"/>
      <c r="R174" s="16"/>
      <c r="S174" s="16"/>
    </row>
    <row r="175" spans="1:19" x14ac:dyDescent="0.25">
      <c r="A175" s="17"/>
      <c r="B175" s="16"/>
      <c r="C175" s="16"/>
      <c r="D175" s="16"/>
      <c r="E175" s="16"/>
      <c r="F175" s="16"/>
      <c r="G175" s="16"/>
      <c r="H175" s="16"/>
      <c r="I175" s="16"/>
      <c r="J175" s="16"/>
      <c r="K175" s="16"/>
      <c r="L175" s="16"/>
      <c r="M175" s="16"/>
      <c r="N175" s="16"/>
      <c r="O175" s="16"/>
      <c r="P175" s="16"/>
      <c r="Q175" s="16"/>
      <c r="R175" s="16"/>
      <c r="S175" s="16"/>
    </row>
    <row r="176" spans="1:19" x14ac:dyDescent="0.25">
      <c r="A176" s="17"/>
      <c r="B176" s="16"/>
      <c r="C176" s="16"/>
      <c r="D176" s="16"/>
      <c r="E176" s="16"/>
      <c r="F176" s="16"/>
      <c r="G176" s="16"/>
      <c r="H176" s="16"/>
      <c r="I176" s="16"/>
      <c r="J176" s="16"/>
      <c r="K176" s="16"/>
      <c r="L176" s="16"/>
      <c r="M176" s="16"/>
      <c r="N176" s="16"/>
      <c r="O176" s="16"/>
      <c r="P176" s="16"/>
      <c r="Q176" s="16"/>
      <c r="R176" s="16"/>
      <c r="S176" s="16"/>
    </row>
    <row r="177" spans="1:19" x14ac:dyDescent="0.25">
      <c r="A177" s="17"/>
      <c r="B177" s="16"/>
      <c r="C177" s="16"/>
      <c r="D177" s="16"/>
      <c r="E177" s="16"/>
      <c r="F177" s="16"/>
      <c r="G177" s="16"/>
      <c r="H177" s="16"/>
      <c r="I177" s="16"/>
      <c r="J177" s="16"/>
      <c r="K177" s="16"/>
      <c r="L177" s="16"/>
      <c r="M177" s="16"/>
      <c r="N177" s="16"/>
      <c r="O177" s="16"/>
      <c r="P177" s="16"/>
      <c r="Q177" s="16"/>
      <c r="R177" s="16"/>
      <c r="S177" s="16"/>
    </row>
    <row r="178" spans="1:19" x14ac:dyDescent="0.25">
      <c r="A178" s="17"/>
      <c r="B178" s="16"/>
      <c r="C178" s="16"/>
      <c r="D178" s="16"/>
      <c r="E178" s="16"/>
      <c r="F178" s="16"/>
      <c r="G178" s="16"/>
      <c r="H178" s="16"/>
      <c r="I178" s="16"/>
      <c r="J178" s="16"/>
      <c r="K178" s="16"/>
      <c r="L178" s="16"/>
      <c r="M178" s="16"/>
      <c r="N178" s="16"/>
      <c r="O178" s="16"/>
      <c r="P178" s="16"/>
      <c r="Q178" s="16"/>
      <c r="R178" s="16"/>
      <c r="S178" s="16"/>
    </row>
    <row r="179" spans="1:19" x14ac:dyDescent="0.25">
      <c r="A179" s="17"/>
      <c r="B179" s="16"/>
      <c r="C179" s="16"/>
      <c r="D179" s="16"/>
      <c r="E179" s="16"/>
      <c r="F179" s="16"/>
      <c r="G179" s="16"/>
      <c r="H179" s="16"/>
      <c r="I179" s="16"/>
      <c r="J179" s="16"/>
      <c r="K179" s="16"/>
      <c r="L179" s="16"/>
      <c r="M179" s="16"/>
      <c r="N179" s="16"/>
      <c r="O179" s="16"/>
      <c r="P179" s="16"/>
      <c r="Q179" s="16"/>
      <c r="R179" s="16"/>
      <c r="S179" s="16"/>
    </row>
    <row r="180" spans="1:19" x14ac:dyDescent="0.25">
      <c r="A180" s="17"/>
      <c r="B180" s="16"/>
      <c r="C180" s="16"/>
      <c r="D180" s="16"/>
      <c r="E180" s="16"/>
      <c r="F180" s="16"/>
      <c r="G180" s="16"/>
      <c r="H180" s="16"/>
      <c r="I180" s="16"/>
      <c r="J180" s="16"/>
      <c r="K180" s="16"/>
      <c r="L180" s="16"/>
      <c r="M180" s="16"/>
      <c r="N180" s="16"/>
      <c r="O180" s="16"/>
      <c r="P180" s="16"/>
      <c r="Q180" s="16"/>
      <c r="R180" s="16"/>
      <c r="S180" s="16"/>
    </row>
    <row r="181" spans="1:19" x14ac:dyDescent="0.25">
      <c r="A181" s="17"/>
      <c r="B181" s="16"/>
      <c r="C181" s="16"/>
      <c r="D181" s="16"/>
      <c r="E181" s="16"/>
      <c r="F181" s="16"/>
      <c r="G181" s="16"/>
      <c r="H181" s="16"/>
      <c r="I181" s="16"/>
      <c r="J181" s="16"/>
      <c r="K181" s="16"/>
      <c r="L181" s="16"/>
      <c r="M181" s="16"/>
      <c r="N181" s="16"/>
      <c r="O181" s="16"/>
      <c r="P181" s="16"/>
      <c r="Q181" s="16"/>
      <c r="R181" s="16"/>
      <c r="S181" s="16"/>
    </row>
    <row r="182" spans="1:19" x14ac:dyDescent="0.25">
      <c r="A182" s="17"/>
      <c r="B182" s="16"/>
      <c r="C182" s="16"/>
      <c r="D182" s="16"/>
      <c r="E182" s="16"/>
      <c r="F182" s="16"/>
      <c r="G182" s="16"/>
      <c r="H182" s="16"/>
      <c r="I182" s="16"/>
      <c r="J182" s="16"/>
      <c r="K182" s="16"/>
      <c r="L182" s="16"/>
      <c r="M182" s="16"/>
      <c r="N182" s="16"/>
      <c r="O182" s="16"/>
      <c r="P182" s="16"/>
      <c r="Q182" s="16"/>
      <c r="R182" s="16"/>
      <c r="S182" s="16"/>
    </row>
    <row r="183" spans="1:19" x14ac:dyDescent="0.25">
      <c r="A183" s="17"/>
      <c r="B183" s="16"/>
      <c r="C183" s="16"/>
      <c r="D183" s="16"/>
      <c r="E183" s="16"/>
      <c r="F183" s="16"/>
      <c r="G183" s="16"/>
      <c r="H183" s="16"/>
      <c r="I183" s="16"/>
      <c r="J183" s="16"/>
      <c r="K183" s="16"/>
      <c r="L183" s="16"/>
      <c r="M183" s="16"/>
      <c r="N183" s="16"/>
      <c r="O183" s="16"/>
      <c r="P183" s="16"/>
      <c r="Q183" s="16"/>
      <c r="R183" s="16"/>
      <c r="S183" s="16"/>
    </row>
    <row r="184" spans="1:19" x14ac:dyDescent="0.25">
      <c r="A184" s="17"/>
      <c r="B184" s="16"/>
      <c r="C184" s="16"/>
      <c r="D184" s="16"/>
      <c r="E184" s="16"/>
      <c r="F184" s="16"/>
      <c r="G184" s="16"/>
      <c r="H184" s="16"/>
      <c r="I184" s="16"/>
      <c r="J184" s="16"/>
      <c r="K184" s="16"/>
      <c r="L184" s="16"/>
      <c r="M184" s="16"/>
      <c r="N184" s="16"/>
      <c r="O184" s="16"/>
      <c r="P184" s="16"/>
      <c r="Q184" s="16"/>
      <c r="R184" s="16"/>
      <c r="S184" s="16"/>
    </row>
    <row r="185" spans="1:19" x14ac:dyDescent="0.25">
      <c r="A185" s="17"/>
      <c r="B185" s="16"/>
      <c r="C185" s="16"/>
      <c r="D185" s="16"/>
      <c r="E185" s="16"/>
      <c r="F185" s="16"/>
      <c r="G185" s="16"/>
      <c r="H185" s="16"/>
      <c r="I185" s="16"/>
      <c r="J185" s="16"/>
      <c r="K185" s="16"/>
      <c r="L185" s="16"/>
      <c r="M185" s="16"/>
      <c r="N185" s="16"/>
      <c r="O185" s="16"/>
      <c r="P185" s="16"/>
      <c r="Q185" s="16"/>
      <c r="R185" s="16"/>
      <c r="S185" s="16"/>
    </row>
    <row r="186" spans="1:19" x14ac:dyDescent="0.25">
      <c r="A186" s="17"/>
      <c r="B186" s="16"/>
      <c r="C186" s="16"/>
      <c r="D186" s="16"/>
      <c r="E186" s="16"/>
      <c r="F186" s="16"/>
      <c r="G186" s="16"/>
      <c r="H186" s="16"/>
      <c r="I186" s="16"/>
      <c r="J186" s="16"/>
      <c r="K186" s="16"/>
      <c r="L186" s="16"/>
      <c r="M186" s="16"/>
      <c r="N186" s="16"/>
      <c r="O186" s="16"/>
      <c r="P186" s="16"/>
      <c r="Q186" s="16"/>
      <c r="R186" s="16"/>
      <c r="S186" s="16"/>
    </row>
    <row r="187" spans="1:19" x14ac:dyDescent="0.25">
      <c r="A187" s="17"/>
      <c r="B187" s="16"/>
      <c r="C187" s="16"/>
      <c r="D187" s="16"/>
      <c r="E187" s="16"/>
      <c r="F187" s="16"/>
      <c r="G187" s="16"/>
      <c r="H187" s="16"/>
      <c r="I187" s="16"/>
      <c r="J187" s="16"/>
      <c r="K187" s="16"/>
      <c r="L187" s="16"/>
      <c r="M187" s="16"/>
      <c r="N187" s="16"/>
      <c r="O187" s="16"/>
      <c r="P187" s="16"/>
      <c r="Q187" s="16"/>
      <c r="R187" s="16"/>
      <c r="S187" s="16"/>
    </row>
    <row r="188" spans="1:19" x14ac:dyDescent="0.25">
      <c r="A188" s="17"/>
      <c r="B188" s="16"/>
      <c r="C188" s="16"/>
      <c r="D188" s="16"/>
      <c r="E188" s="16"/>
      <c r="F188" s="16"/>
      <c r="G188" s="16"/>
      <c r="H188" s="16"/>
      <c r="I188" s="16"/>
      <c r="J188" s="16"/>
      <c r="K188" s="16"/>
      <c r="L188" s="16"/>
      <c r="M188" s="16"/>
      <c r="N188" s="16"/>
      <c r="O188" s="16"/>
      <c r="P188" s="16"/>
      <c r="Q188" s="16"/>
      <c r="R188" s="16"/>
      <c r="S188" s="16"/>
    </row>
    <row r="189" spans="1:19" x14ac:dyDescent="0.25">
      <c r="A189" s="17"/>
      <c r="B189" s="16"/>
      <c r="C189" s="16"/>
      <c r="D189" s="16"/>
      <c r="E189" s="16"/>
      <c r="F189" s="16"/>
      <c r="G189" s="16"/>
      <c r="H189" s="16"/>
      <c r="I189" s="16"/>
      <c r="J189" s="16"/>
      <c r="K189" s="16"/>
      <c r="L189" s="16"/>
      <c r="M189" s="16"/>
      <c r="N189" s="16"/>
      <c r="O189" s="16"/>
      <c r="P189" s="16"/>
      <c r="Q189" s="16"/>
      <c r="R189" s="16"/>
      <c r="S189" s="16"/>
    </row>
    <row r="190" spans="1:19" x14ac:dyDescent="0.25">
      <c r="A190" s="17"/>
      <c r="B190" s="16"/>
      <c r="C190" s="16"/>
      <c r="D190" s="16"/>
      <c r="E190" s="16"/>
      <c r="F190" s="16"/>
      <c r="G190" s="16"/>
      <c r="H190" s="16"/>
      <c r="I190" s="16"/>
      <c r="J190" s="16"/>
      <c r="K190" s="16"/>
      <c r="L190" s="16"/>
      <c r="M190" s="16"/>
      <c r="N190" s="16"/>
      <c r="O190" s="16"/>
      <c r="P190" s="16"/>
      <c r="Q190" s="16"/>
      <c r="R190" s="16"/>
      <c r="S190" s="16"/>
    </row>
    <row r="191" spans="1:19" x14ac:dyDescent="0.25">
      <c r="A191" s="17"/>
      <c r="B191" s="16"/>
      <c r="C191" s="16"/>
      <c r="D191" s="16"/>
      <c r="E191" s="16"/>
      <c r="F191" s="16"/>
      <c r="G191" s="16"/>
      <c r="H191" s="16"/>
      <c r="I191" s="16"/>
      <c r="J191" s="16"/>
      <c r="K191" s="16"/>
      <c r="L191" s="16"/>
      <c r="M191" s="16"/>
      <c r="N191" s="16"/>
      <c r="O191" s="16"/>
      <c r="P191" s="16"/>
      <c r="Q191" s="16"/>
      <c r="R191" s="16"/>
      <c r="S191" s="16"/>
    </row>
    <row r="192" spans="1:19" x14ac:dyDescent="0.25">
      <c r="A192" s="17"/>
      <c r="B192" s="16"/>
      <c r="C192" s="16"/>
      <c r="D192" s="16"/>
      <c r="E192" s="16"/>
      <c r="F192" s="16"/>
      <c r="G192" s="16"/>
      <c r="H192" s="16"/>
      <c r="I192" s="16"/>
      <c r="J192" s="16"/>
      <c r="K192" s="16"/>
      <c r="L192" s="16"/>
      <c r="M192" s="16"/>
      <c r="N192" s="16"/>
      <c r="O192" s="16"/>
      <c r="P192" s="16"/>
      <c r="Q192" s="16"/>
      <c r="R192" s="16"/>
      <c r="S192" s="16"/>
    </row>
    <row r="193" spans="1:19" x14ac:dyDescent="0.25">
      <c r="A193" s="17"/>
      <c r="B193" s="16"/>
      <c r="C193" s="16"/>
      <c r="D193" s="16"/>
      <c r="E193" s="16"/>
      <c r="F193" s="16"/>
      <c r="G193" s="16"/>
      <c r="H193" s="16"/>
      <c r="I193" s="16"/>
      <c r="J193" s="16"/>
      <c r="K193" s="16"/>
      <c r="L193" s="16"/>
      <c r="M193" s="16"/>
      <c r="N193" s="16"/>
      <c r="O193" s="16"/>
      <c r="P193" s="16"/>
      <c r="Q193" s="16"/>
      <c r="R193" s="16"/>
      <c r="S193" s="16"/>
    </row>
    <row r="194" spans="1:19" x14ac:dyDescent="0.25">
      <c r="A194" s="17"/>
      <c r="B194" s="16"/>
      <c r="C194" s="16"/>
      <c r="D194" s="16"/>
      <c r="E194" s="16"/>
      <c r="F194" s="16"/>
      <c r="G194" s="16"/>
      <c r="H194" s="16"/>
      <c r="I194" s="16"/>
      <c r="J194" s="16"/>
      <c r="K194" s="16"/>
      <c r="L194" s="16"/>
      <c r="M194" s="16"/>
      <c r="N194" s="16"/>
      <c r="O194" s="16"/>
      <c r="P194" s="16"/>
      <c r="Q194" s="16"/>
      <c r="R194" s="16"/>
      <c r="S194" s="16"/>
    </row>
    <row r="195" spans="1:19" x14ac:dyDescent="0.25">
      <c r="A195" s="17"/>
      <c r="B195" s="16"/>
      <c r="C195" s="16"/>
      <c r="D195" s="16"/>
      <c r="E195" s="16"/>
      <c r="F195" s="16"/>
      <c r="G195" s="16"/>
      <c r="H195" s="16"/>
      <c r="I195" s="16"/>
      <c r="J195" s="16"/>
      <c r="K195" s="16"/>
      <c r="L195" s="16"/>
      <c r="M195" s="16"/>
      <c r="N195" s="16"/>
      <c r="O195" s="16"/>
      <c r="P195" s="16"/>
      <c r="Q195" s="16"/>
      <c r="R195" s="16"/>
      <c r="S195" s="16"/>
    </row>
    <row r="196" spans="1:19" x14ac:dyDescent="0.25">
      <c r="A196" s="17"/>
      <c r="B196" s="16"/>
      <c r="C196" s="16"/>
      <c r="D196" s="16"/>
      <c r="E196" s="16"/>
      <c r="F196" s="16"/>
      <c r="G196" s="16"/>
      <c r="H196" s="16"/>
      <c r="I196" s="16"/>
      <c r="J196" s="16"/>
      <c r="K196" s="16"/>
      <c r="L196" s="16"/>
      <c r="M196" s="16"/>
      <c r="N196" s="16"/>
      <c r="O196" s="16"/>
      <c r="P196" s="16"/>
      <c r="Q196" s="16"/>
      <c r="R196" s="16"/>
      <c r="S196" s="16"/>
    </row>
  </sheetData>
  <sortState ref="A4:A63">
    <sortCondition ref="A1"/>
  </sortState>
  <printOptions headings="1" gridLine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Returns">
    <pageSetUpPr fitToPage="1"/>
  </sheetPr>
  <dimension ref="A1:G62"/>
  <sheetViews>
    <sheetView workbookViewId="0"/>
  </sheetViews>
  <sheetFormatPr defaultRowHeight="15" x14ac:dyDescent="0.25"/>
  <cols>
    <col min="1" max="1" width="13.85546875" style="30" customWidth="1"/>
    <col min="2" max="16384" width="9.140625" style="13"/>
  </cols>
  <sheetData>
    <row r="1" spans="1:7" s="7" customFormat="1" x14ac:dyDescent="0.25">
      <c r="A1" s="9" t="s">
        <v>70</v>
      </c>
    </row>
    <row r="2" spans="1:7" s="7" customFormat="1" x14ac:dyDescent="0.25">
      <c r="A2" s="10"/>
    </row>
    <row r="3" spans="1:7" s="11" customFormat="1" x14ac:dyDescent="0.25">
      <c r="A3" s="29" t="s">
        <v>71</v>
      </c>
      <c r="B3" s="11" t="s">
        <v>3</v>
      </c>
      <c r="C3" s="11" t="s">
        <v>4</v>
      </c>
      <c r="D3" s="11" t="s">
        <v>8</v>
      </c>
      <c r="E3" s="11" t="s">
        <v>10</v>
      </c>
      <c r="F3" s="11" t="s">
        <v>48</v>
      </c>
      <c r="G3" s="11" t="s">
        <v>16</v>
      </c>
    </row>
    <row r="4" spans="1:7" x14ac:dyDescent="0.25">
      <c r="A4" s="30">
        <v>2</v>
      </c>
      <c r="B4" s="13">
        <v>-0.18358831710709322</v>
      </c>
      <c r="C4" s="13">
        <v>-0.27923784494086723</v>
      </c>
      <c r="D4" s="13">
        <v>-0.20216741405082217</v>
      </c>
      <c r="E4" s="13">
        <v>-0.16856368563685631</v>
      </c>
      <c r="F4" s="13">
        <v>-0.18914728682170556</v>
      </c>
      <c r="G4" s="13">
        <v>-0.28104575163398693</v>
      </c>
    </row>
    <row r="5" spans="1:7" x14ac:dyDescent="0.25">
      <c r="A5" s="30">
        <v>3</v>
      </c>
      <c r="B5" s="13">
        <v>0.17887563884156732</v>
      </c>
      <c r="C5" s="13">
        <v>0.13035551504102094</v>
      </c>
      <c r="D5" s="13">
        <v>0.13629976580796255</v>
      </c>
      <c r="E5" s="13">
        <v>0.19035202086049563</v>
      </c>
      <c r="F5" s="13">
        <v>8.2855321861057929E-2</v>
      </c>
      <c r="G5" s="13">
        <v>0.41136363636363615</v>
      </c>
    </row>
    <row r="6" spans="1:7" x14ac:dyDescent="0.25">
      <c r="A6" s="30">
        <v>4</v>
      </c>
      <c r="B6" s="13">
        <v>0.23554913294797708</v>
      </c>
      <c r="C6" s="13">
        <v>0.87580645161290338</v>
      </c>
      <c r="D6" s="13">
        <v>0.28895300906842536</v>
      </c>
      <c r="E6" s="13">
        <v>0.24917853231106224</v>
      </c>
      <c r="F6" s="13">
        <v>0.20600353148911132</v>
      </c>
      <c r="G6" s="13">
        <v>0.75523349436392917</v>
      </c>
    </row>
    <row r="7" spans="1:7" x14ac:dyDescent="0.25">
      <c r="A7" s="30">
        <v>5</v>
      </c>
      <c r="B7" s="13">
        <v>1.9883040935672502E-2</v>
      </c>
      <c r="C7" s="13">
        <v>-1.4617368873602765E-2</v>
      </c>
      <c r="D7" s="13">
        <v>-3.5177486408698444E-3</v>
      </c>
      <c r="E7" s="13">
        <v>3.5510740903112792E-2</v>
      </c>
      <c r="F7" s="13">
        <v>0.10590531966813099</v>
      </c>
      <c r="G7" s="13">
        <v>4.1284403669724634E-2</v>
      </c>
    </row>
    <row r="8" spans="1:7" x14ac:dyDescent="0.25">
      <c r="A8" s="30">
        <v>6</v>
      </c>
      <c r="B8" s="13">
        <v>0.11926605504587151</v>
      </c>
      <c r="C8" s="13">
        <v>-5.8027923211169341E-2</v>
      </c>
      <c r="D8" s="13">
        <v>-6.8356867779204022E-2</v>
      </c>
      <c r="E8" s="13">
        <v>-9.9915325994919479E-2</v>
      </c>
      <c r="F8" s="13">
        <v>-3.6628420123565819E-2</v>
      </c>
      <c r="G8" s="13">
        <v>-1.6740088105726803E-2</v>
      </c>
    </row>
    <row r="9" spans="1:7" x14ac:dyDescent="0.25">
      <c r="A9" s="30">
        <v>7</v>
      </c>
      <c r="B9" s="13">
        <v>0.13934426229508201</v>
      </c>
      <c r="C9" s="13">
        <v>0.2190829087540529</v>
      </c>
      <c r="D9" s="13">
        <v>0.35032724767481915</v>
      </c>
      <c r="E9" s="13">
        <v>0.20696142991533395</v>
      </c>
      <c r="F9" s="13">
        <v>7.6500229042602008E-2</v>
      </c>
      <c r="G9" s="13">
        <v>0.5116487455197134</v>
      </c>
    </row>
    <row r="10" spans="1:7" x14ac:dyDescent="0.25">
      <c r="A10" s="30">
        <v>8</v>
      </c>
      <c r="B10" s="13">
        <v>2.6978417266187105E-2</v>
      </c>
      <c r="C10" s="13">
        <v>0.19376899696048633</v>
      </c>
      <c r="D10" s="13">
        <v>2.857142857142847E-2</v>
      </c>
      <c r="E10" s="13">
        <v>4.5596258768511255E-2</v>
      </c>
      <c r="F10" s="13">
        <v>3.6595744680851139E-2</v>
      </c>
      <c r="G10" s="13">
        <v>-3.0823947836395971E-2</v>
      </c>
    </row>
    <row r="11" spans="1:7" x14ac:dyDescent="0.25">
      <c r="A11" s="30">
        <v>9</v>
      </c>
      <c r="B11" s="13">
        <v>8.844133099824858E-2</v>
      </c>
      <c r="C11" s="13">
        <v>7.6384468491406121E-3</v>
      </c>
      <c r="D11" s="13">
        <v>0.13268849206349209</v>
      </c>
      <c r="E11" s="13">
        <v>6.3361908311592163E-3</v>
      </c>
      <c r="F11" s="13">
        <v>5.4597701149425415E-2</v>
      </c>
      <c r="G11" s="13">
        <v>3.2415902140672692E-2</v>
      </c>
    </row>
    <row r="12" spans="1:7" x14ac:dyDescent="0.25">
      <c r="A12" s="30">
        <v>10</v>
      </c>
      <c r="B12" s="13">
        <v>-5.3097345132743334E-2</v>
      </c>
      <c r="C12" s="13">
        <v>2.7795325331648746E-2</v>
      </c>
      <c r="D12" s="13">
        <v>8.0578059995620732E-2</v>
      </c>
      <c r="E12" s="13">
        <v>-1.0000000000000009E-2</v>
      </c>
      <c r="F12" s="13">
        <v>-3.1140521603737481E-3</v>
      </c>
      <c r="G12" s="13">
        <v>-0.24348341232227488</v>
      </c>
    </row>
    <row r="13" spans="1:7" x14ac:dyDescent="0.25">
      <c r="A13" s="30">
        <v>11</v>
      </c>
      <c r="B13" s="13">
        <v>1.0195412064571086E-2</v>
      </c>
      <c r="C13" s="13">
        <v>0.2006760909649663</v>
      </c>
      <c r="D13" s="13">
        <v>6.038500506585609E-2</v>
      </c>
      <c r="E13" s="13">
        <v>9.9887766554433099E-2</v>
      </c>
      <c r="F13" s="13">
        <v>0.10425614994142918</v>
      </c>
      <c r="G13" s="13">
        <v>6.4212999216914701E-2</v>
      </c>
    </row>
    <row r="14" spans="1:7" x14ac:dyDescent="0.25">
      <c r="A14" s="30">
        <v>12</v>
      </c>
      <c r="B14" s="13">
        <v>0.28763666947014288</v>
      </c>
      <c r="C14" s="13">
        <v>-3.1226004607115443E-2</v>
      </c>
      <c r="D14" s="13">
        <v>-2.3886871775272267E-2</v>
      </c>
      <c r="E14" s="13">
        <v>-2.6190476190476208E-2</v>
      </c>
      <c r="F14" s="13">
        <v>7.9207920792079056E-2</v>
      </c>
      <c r="G14" s="13">
        <v>2.8697571743929506E-2</v>
      </c>
    </row>
    <row r="15" spans="1:7" x14ac:dyDescent="0.25">
      <c r="A15" s="30">
        <v>13</v>
      </c>
      <c r="B15" s="13">
        <v>-0.2103200522534292</v>
      </c>
      <c r="C15" s="13">
        <v>-6.6578599735799271E-2</v>
      </c>
      <c r="D15" s="13">
        <v>-7.7133907595927864E-2</v>
      </c>
      <c r="E15" s="13">
        <v>-3.1435557107928669E-2</v>
      </c>
      <c r="F15" s="13">
        <v>-8.3551769331585923E-2</v>
      </c>
      <c r="G15" s="13">
        <v>-5.3648068669527871E-2</v>
      </c>
    </row>
    <row r="16" spans="1:7" x14ac:dyDescent="0.25">
      <c r="A16" s="30">
        <v>14</v>
      </c>
      <c r="B16" s="13">
        <v>4.7146401985111774E-2</v>
      </c>
      <c r="C16" s="13">
        <v>1.415227851684131E-2</v>
      </c>
      <c r="D16" s="13">
        <v>9.2066185829444036E-2</v>
      </c>
      <c r="E16" s="13">
        <v>4.6880634691669698E-2</v>
      </c>
      <c r="F16" s="13">
        <v>5.7204147300679242E-2</v>
      </c>
      <c r="G16" s="13">
        <v>-2.6455026455026398E-2</v>
      </c>
    </row>
    <row r="17" spans="1:7" x14ac:dyDescent="0.25">
      <c r="A17" s="30">
        <v>15</v>
      </c>
      <c r="B17" s="13">
        <v>7.0300157977883249E-2</v>
      </c>
      <c r="C17" s="13">
        <v>8.5124197599776741E-2</v>
      </c>
      <c r="D17" s="13">
        <v>0.1015928515928517</v>
      </c>
      <c r="E17" s="13">
        <v>0.10437478470547723</v>
      </c>
      <c r="F17" s="13">
        <v>0.11734866418667567</v>
      </c>
      <c r="G17" s="13">
        <v>-2.7173913043478382E-2</v>
      </c>
    </row>
    <row r="18" spans="1:7" x14ac:dyDescent="0.25">
      <c r="A18" s="30">
        <v>16</v>
      </c>
      <c r="B18" s="13">
        <v>-5.6826568265682775E-2</v>
      </c>
      <c r="C18" s="13">
        <v>0.11779835390946491</v>
      </c>
      <c r="D18" s="13">
        <v>9.0107564803385554E-2</v>
      </c>
      <c r="E18" s="13">
        <v>6.9868995633187714E-2</v>
      </c>
      <c r="F18" s="13">
        <v>5.5387409200968518E-2</v>
      </c>
      <c r="G18" s="13">
        <v>6.304868316041512E-2</v>
      </c>
    </row>
    <row r="19" spans="1:7" x14ac:dyDescent="0.25">
      <c r="A19" s="30">
        <v>17</v>
      </c>
      <c r="B19" s="13">
        <v>-0.13067292644757433</v>
      </c>
      <c r="C19" s="13">
        <v>-0.13552692130694888</v>
      </c>
      <c r="D19" s="13">
        <v>-0.10757036557748301</v>
      </c>
      <c r="E19" s="13">
        <v>-8.2215743440233191E-2</v>
      </c>
      <c r="F19" s="13">
        <v>-9.2916547175222242E-2</v>
      </c>
      <c r="G19" s="13">
        <v>-0.1141141141141141</v>
      </c>
    </row>
    <row r="20" spans="1:7" x14ac:dyDescent="0.25">
      <c r="A20" s="30">
        <v>18</v>
      </c>
      <c r="B20" s="13">
        <v>-0.13591359135913594</v>
      </c>
      <c r="C20" s="13">
        <v>0</v>
      </c>
      <c r="D20" s="13">
        <v>-1.1419249592169667E-2</v>
      </c>
      <c r="E20" s="13">
        <v>-4.3519695044472728E-2</v>
      </c>
      <c r="F20" s="13">
        <v>-5.754030983243752E-2</v>
      </c>
      <c r="G20" s="13">
        <v>-0.16440677966101702</v>
      </c>
    </row>
    <row r="21" spans="1:7" x14ac:dyDescent="0.25">
      <c r="A21" s="30">
        <v>19</v>
      </c>
      <c r="B21" s="13">
        <v>0.11041666666666683</v>
      </c>
      <c r="C21" s="13">
        <v>0.12456747404844282</v>
      </c>
      <c r="D21" s="13">
        <v>0.16886688668866889</v>
      </c>
      <c r="E21" s="13">
        <v>0.17568913982065748</v>
      </c>
      <c r="F21" s="13">
        <v>6.9775243206977589E-2</v>
      </c>
      <c r="G21" s="13">
        <v>7.3022312373225207E-2</v>
      </c>
    </row>
    <row r="22" spans="1:7" x14ac:dyDescent="0.25">
      <c r="A22" s="30">
        <v>20</v>
      </c>
      <c r="B22" s="13">
        <v>-8.2551594746716805E-2</v>
      </c>
      <c r="C22" s="13">
        <v>-0.1067455621301775</v>
      </c>
      <c r="D22" s="13">
        <v>-6.5725490196078429E-2</v>
      </c>
      <c r="E22" s="13">
        <v>1.214689265536717E-2</v>
      </c>
      <c r="F22" s="13">
        <v>-3.4179993728441493E-2</v>
      </c>
      <c r="G22" s="13">
        <v>-0.13421550094517953</v>
      </c>
    </row>
    <row r="23" spans="1:7" x14ac:dyDescent="0.25">
      <c r="A23" s="30">
        <v>21</v>
      </c>
      <c r="B23" s="13">
        <v>0.18404907975460127</v>
      </c>
      <c r="C23" s="13">
        <v>5.4054054054053946E-2</v>
      </c>
      <c r="D23" s="13">
        <v>0.20735392881128267</v>
      </c>
      <c r="E23" s="13">
        <v>9.4613452414178179E-2</v>
      </c>
      <c r="F23" s="13">
        <v>1.7207792207792227E-2</v>
      </c>
      <c r="G23" s="13">
        <v>0.16375545851528384</v>
      </c>
    </row>
    <row r="24" spans="1:7" x14ac:dyDescent="0.25">
      <c r="A24" s="30">
        <v>22</v>
      </c>
      <c r="B24" s="13">
        <v>8.5492227979274693E-2</v>
      </c>
      <c r="C24" s="13">
        <v>-8.7983911513324076E-3</v>
      </c>
      <c r="D24" s="13">
        <v>4.5890696704213862E-3</v>
      </c>
      <c r="E24" s="13">
        <v>5.9663437021927779E-2</v>
      </c>
      <c r="F24" s="13">
        <v>9.1605489945739027E-2</v>
      </c>
      <c r="G24" s="13">
        <v>-4.971857410881797E-2</v>
      </c>
    </row>
    <row r="25" spans="1:7" x14ac:dyDescent="0.25">
      <c r="A25" s="30">
        <v>23</v>
      </c>
      <c r="B25" s="13">
        <v>1.5910898965791898E-3</v>
      </c>
      <c r="C25" s="13">
        <v>4.235353791529306E-2</v>
      </c>
      <c r="D25" s="13">
        <v>7.6273532668881483E-2</v>
      </c>
      <c r="E25" s="13">
        <v>2.4061597690085978E-3</v>
      </c>
      <c r="F25" s="13">
        <v>1.0233918128654818E-2</v>
      </c>
      <c r="G25" s="13">
        <v>-6.4165844027640695E-2</v>
      </c>
    </row>
    <row r="26" spans="1:7" x14ac:dyDescent="0.25">
      <c r="A26" s="30">
        <v>24</v>
      </c>
      <c r="B26" s="13">
        <v>0.17235901509134233</v>
      </c>
      <c r="C26" s="13">
        <v>-7.0559610705596132E-3</v>
      </c>
      <c r="D26" s="13">
        <v>0.10713826366559487</v>
      </c>
      <c r="E26" s="13">
        <v>6.144983197311582E-2</v>
      </c>
      <c r="F26" s="13">
        <v>3.8784370477568775E-2</v>
      </c>
      <c r="G26" s="13">
        <v>0.23945147679324896</v>
      </c>
    </row>
    <row r="27" spans="1:7" x14ac:dyDescent="0.25">
      <c r="A27" s="30">
        <v>25</v>
      </c>
      <c r="B27" s="13">
        <v>7.6558265582655771E-2</v>
      </c>
      <c r="C27" s="13">
        <v>1.4947316834109214E-2</v>
      </c>
      <c r="D27" s="13">
        <v>4.0659851301115157E-2</v>
      </c>
      <c r="E27" s="13">
        <v>1.6056083220262307E-2</v>
      </c>
      <c r="F27" s="13">
        <v>3.6221788799108312E-2</v>
      </c>
      <c r="G27" s="13">
        <v>2.553191489361728E-3</v>
      </c>
    </row>
    <row r="28" spans="1:7" x14ac:dyDescent="0.25">
      <c r="A28" s="30">
        <v>26</v>
      </c>
      <c r="B28" s="13">
        <v>1.8250471994965434E-2</v>
      </c>
      <c r="C28" s="13">
        <v>4.3457267020763357E-3</v>
      </c>
      <c r="D28" s="13">
        <v>6.0951105157401209E-2</v>
      </c>
      <c r="E28" s="13">
        <v>9.0807923436456717E-2</v>
      </c>
      <c r="F28" s="13">
        <v>0.12530250067222393</v>
      </c>
      <c r="G28" s="13">
        <v>0.19354838709677424</v>
      </c>
    </row>
    <row r="29" spans="1:7" x14ac:dyDescent="0.25">
      <c r="A29" s="30">
        <v>27</v>
      </c>
      <c r="B29" s="13">
        <v>4.8207663782447563E-2</v>
      </c>
      <c r="C29" s="13">
        <v>3.7499999999999867E-2</v>
      </c>
      <c r="D29" s="13">
        <v>8.1860269360269244E-2</v>
      </c>
      <c r="E29" s="13">
        <v>1.8363599265456276E-3</v>
      </c>
      <c r="F29" s="13">
        <v>-1.4814814814814947E-2</v>
      </c>
      <c r="G29" s="13">
        <v>5.6187766714082432E-2</v>
      </c>
    </row>
    <row r="30" spans="1:7" x14ac:dyDescent="0.25">
      <c r="A30" s="30">
        <v>28</v>
      </c>
      <c r="B30" s="13">
        <v>-3.7146226415094463E-2</v>
      </c>
      <c r="C30" s="13">
        <v>9.0129749768304013E-2</v>
      </c>
      <c r="D30" s="13">
        <v>4.0750826687415032E-2</v>
      </c>
      <c r="E30" s="13">
        <v>3.3197556008146556E-2</v>
      </c>
      <c r="F30" s="13">
        <v>2.4254183846728061E-4</v>
      </c>
      <c r="G30" s="13">
        <v>0.21212121212121215</v>
      </c>
    </row>
    <row r="31" spans="1:7" x14ac:dyDescent="0.25">
      <c r="A31" s="30">
        <v>29</v>
      </c>
      <c r="B31" s="13">
        <v>-9.7979179424370066E-3</v>
      </c>
      <c r="C31" s="13">
        <v>5.1434643995749152E-2</v>
      </c>
      <c r="D31" s="13">
        <v>-8.3263246425567816E-2</v>
      </c>
      <c r="E31" s="13">
        <v>-5.4602799132663082E-2</v>
      </c>
      <c r="F31" s="13">
        <v>-3.4190106692531641E-2</v>
      </c>
      <c r="G31" s="13">
        <v>-2.3333333333333428E-2</v>
      </c>
    </row>
    <row r="32" spans="1:7" x14ac:dyDescent="0.25">
      <c r="A32" s="30">
        <v>30</v>
      </c>
      <c r="B32" s="13">
        <v>-5.627705627705637E-2</v>
      </c>
      <c r="C32" s="13">
        <v>5.4578532443905203E-3</v>
      </c>
      <c r="D32" s="13">
        <v>6.2181447502547282E-3</v>
      </c>
      <c r="E32" s="13">
        <v>1.4178482068390341E-2</v>
      </c>
      <c r="F32" s="13">
        <v>-6.2264624654782774E-2</v>
      </c>
      <c r="G32" s="13">
        <v>-5.4038680318543753E-2</v>
      </c>
    </row>
    <row r="33" spans="1:7" x14ac:dyDescent="0.25">
      <c r="A33" s="30">
        <v>31</v>
      </c>
      <c r="B33" s="13">
        <v>-7.1428571428571397E-2</v>
      </c>
      <c r="C33" s="13">
        <v>-3.2167269802975462E-2</v>
      </c>
      <c r="D33" s="13">
        <v>-6.8078208894742143E-2</v>
      </c>
      <c r="E33" s="13">
        <v>-4.8725328947368363E-2</v>
      </c>
      <c r="F33" s="13">
        <v>-1.0709504685408211E-2</v>
      </c>
      <c r="G33" s="13">
        <v>-3.6079374624173099E-2</v>
      </c>
    </row>
    <row r="34" spans="1:7" x14ac:dyDescent="0.25">
      <c r="A34" s="30">
        <v>32</v>
      </c>
      <c r="B34" s="13">
        <v>-0.12914608327452359</v>
      </c>
      <c r="C34" s="13">
        <v>-6.4395513086830114E-3</v>
      </c>
      <c r="D34" s="13">
        <v>-7.8921621915425511E-2</v>
      </c>
      <c r="E34" s="13">
        <v>-5.2517830127512433E-2</v>
      </c>
      <c r="F34" s="13">
        <v>-0.11799729364005407</v>
      </c>
      <c r="G34" s="13">
        <v>-0.22956955708047422</v>
      </c>
    </row>
    <row r="35" spans="1:7" x14ac:dyDescent="0.25">
      <c r="A35" s="30">
        <v>33</v>
      </c>
      <c r="B35" s="13">
        <v>-0.25202593192868716</v>
      </c>
      <c r="C35" s="13">
        <v>-9.6801170813296977E-2</v>
      </c>
      <c r="D35" s="13">
        <v>-0.18859907942877374</v>
      </c>
      <c r="E35" s="13">
        <v>-0.1719890510948906</v>
      </c>
      <c r="F35" s="13">
        <v>-0.11445228597729373</v>
      </c>
      <c r="G35" s="13">
        <v>-0.19028340080971662</v>
      </c>
    </row>
    <row r="36" spans="1:7" x14ac:dyDescent="0.25">
      <c r="A36" s="30">
        <v>34</v>
      </c>
      <c r="B36" s="13">
        <v>0.12351029252437695</v>
      </c>
      <c r="C36" s="13">
        <v>0.13217592592592586</v>
      </c>
      <c r="D36" s="13">
        <v>0.28639999999999999</v>
      </c>
      <c r="E36" s="13">
        <v>0.20275482093663921</v>
      </c>
      <c r="F36" s="13">
        <v>0.15627165627165618</v>
      </c>
      <c r="G36" s="13">
        <v>0.42399999999999993</v>
      </c>
    </row>
    <row r="37" spans="1:7" x14ac:dyDescent="0.25">
      <c r="A37" s="30">
        <v>35</v>
      </c>
      <c r="B37" s="13">
        <v>-6.557377049180324E-2</v>
      </c>
      <c r="C37" s="13">
        <v>-5.1114291555919067E-2</v>
      </c>
      <c r="D37" s="13">
        <v>3.6182722749886986E-2</v>
      </c>
      <c r="E37" s="13">
        <v>1.3742556115436955E-3</v>
      </c>
      <c r="F37" s="13">
        <v>2.786934372190597E-2</v>
      </c>
      <c r="G37" s="13">
        <v>-2.5983146067415808E-2</v>
      </c>
    </row>
    <row r="38" spans="1:7" x14ac:dyDescent="0.25">
      <c r="A38" s="30">
        <v>36</v>
      </c>
      <c r="B38" s="13">
        <v>-0.13725490196078438</v>
      </c>
      <c r="C38" s="13">
        <v>-1.8099547511312153E-2</v>
      </c>
      <c r="D38" s="13">
        <v>-7.431252728066351E-2</v>
      </c>
      <c r="E38" s="13">
        <v>-4.0713632204940509E-2</v>
      </c>
      <c r="F38" s="13">
        <v>6.3556851311953322E-2</v>
      </c>
      <c r="G38" s="13">
        <v>1.2977649603460817E-2</v>
      </c>
    </row>
    <row r="39" spans="1:7" x14ac:dyDescent="0.25">
      <c r="A39" s="30">
        <v>37</v>
      </c>
      <c r="B39" s="13">
        <v>0.17464114832535893</v>
      </c>
      <c r="C39" s="13">
        <v>6.6929997805573738E-2</v>
      </c>
      <c r="D39" s="13">
        <v>0.20971354473653192</v>
      </c>
      <c r="E39" s="13">
        <v>0.11158798283261806</v>
      </c>
      <c r="F39" s="13">
        <v>3.7280701754386136E-2</v>
      </c>
      <c r="G39" s="13">
        <v>-8.2562277580071175E-2</v>
      </c>
    </row>
    <row r="40" spans="1:7" x14ac:dyDescent="0.25">
      <c r="A40" s="30">
        <v>38</v>
      </c>
      <c r="B40" s="13">
        <v>4.0733197556006573E-3</v>
      </c>
      <c r="C40" s="13">
        <v>5.4915672562731332E-2</v>
      </c>
      <c r="D40" s="13">
        <v>4.667706100175395E-2</v>
      </c>
      <c r="E40" s="13">
        <v>7.2930072930073031E-3</v>
      </c>
      <c r="F40" s="13">
        <v>7.9545454545454586E-2</v>
      </c>
      <c r="G40" s="13">
        <v>-1.0861132660977546E-2</v>
      </c>
    </row>
    <row r="41" spans="1:7" x14ac:dyDescent="0.25">
      <c r="A41" s="30">
        <v>39</v>
      </c>
      <c r="B41" s="13">
        <v>-1.4198782961460377E-2</v>
      </c>
      <c r="C41" s="13">
        <v>9.3975433807759856E-2</v>
      </c>
      <c r="D41" s="13">
        <v>-6.7312168326971289E-2</v>
      </c>
      <c r="E41" s="13">
        <v>4.0247018739352658E-2</v>
      </c>
      <c r="F41" s="13">
        <v>4.2594859241126048E-2</v>
      </c>
      <c r="G41" s="13">
        <v>-0.12784313725490204</v>
      </c>
    </row>
    <row r="42" spans="1:7" x14ac:dyDescent="0.25">
      <c r="A42" s="30">
        <v>40</v>
      </c>
      <c r="B42" s="13">
        <v>-2.8806584362140009E-2</v>
      </c>
      <c r="C42" s="13">
        <v>4.4198895027624419E-2</v>
      </c>
      <c r="D42" s="13">
        <v>-3.1143940906368628E-2</v>
      </c>
      <c r="E42" s="13">
        <v>1.0644831115660169E-2</v>
      </c>
      <c r="F42" s="13">
        <v>-1.5261798544259353E-2</v>
      </c>
      <c r="G42" s="13">
        <v>-2.0683453237409943E-2</v>
      </c>
    </row>
    <row r="43" spans="1:7" x14ac:dyDescent="0.25">
      <c r="A43" s="30">
        <v>41</v>
      </c>
      <c r="B43" s="13">
        <v>-0.11864406779661008</v>
      </c>
      <c r="C43" s="13">
        <v>-7.2708653353814712E-2</v>
      </c>
      <c r="D43" s="13">
        <v>-0.14743457655058734</v>
      </c>
      <c r="E43" s="13">
        <v>-8.9730605630949922E-2</v>
      </c>
      <c r="F43" s="13">
        <v>6.0324272770624798E-2</v>
      </c>
      <c r="G43" s="13">
        <v>-4.8668503213957881E-2</v>
      </c>
    </row>
    <row r="44" spans="1:7" x14ac:dyDescent="0.25">
      <c r="A44" s="30">
        <v>42</v>
      </c>
      <c r="B44" s="13">
        <v>2.2836538461538325E-2</v>
      </c>
      <c r="C44" s="13">
        <v>4.2517945886250796E-2</v>
      </c>
      <c r="D44" s="13">
        <v>-3.0936555891238671E-2</v>
      </c>
      <c r="E44" s="13">
        <v>4.7841566533155522E-2</v>
      </c>
      <c r="F44" s="13">
        <v>6.0939959523274245E-2</v>
      </c>
      <c r="G44" s="13">
        <v>0.13030888030888055</v>
      </c>
    </row>
    <row r="45" spans="1:7" x14ac:dyDescent="0.25">
      <c r="A45" s="30">
        <v>43</v>
      </c>
      <c r="B45" s="13">
        <v>-3.1727379553466495E-2</v>
      </c>
      <c r="C45" s="13">
        <v>-5.1200564971751739E-3</v>
      </c>
      <c r="D45" s="13">
        <v>-1.8705574261128621E-3</v>
      </c>
      <c r="E45" s="13">
        <v>-1.7201104268422251E-2</v>
      </c>
      <c r="F45" s="13">
        <v>1.335311572700304E-2</v>
      </c>
      <c r="G45" s="13">
        <v>-3.0742954739538919E-2</v>
      </c>
    </row>
    <row r="46" spans="1:7" x14ac:dyDescent="0.25">
      <c r="A46" s="30">
        <v>44</v>
      </c>
      <c r="B46" s="13">
        <v>1.4563106796116498E-2</v>
      </c>
      <c r="C46" s="13">
        <v>1.0115350488021368E-2</v>
      </c>
      <c r="D46" s="13">
        <v>1.3243378310844323E-2</v>
      </c>
      <c r="E46" s="13">
        <v>9.5073465859982775E-3</v>
      </c>
      <c r="F46" s="13">
        <v>6.6931604266888822E-3</v>
      </c>
      <c r="G46" s="13">
        <v>6.6079295154185091E-2</v>
      </c>
    </row>
    <row r="47" spans="1:7" x14ac:dyDescent="0.25">
      <c r="A47" s="30">
        <v>45</v>
      </c>
      <c r="B47" s="13">
        <v>3.4688995215311103E-2</v>
      </c>
      <c r="C47" s="13">
        <v>-2.4595924104005573E-2</v>
      </c>
      <c r="D47" s="13">
        <v>8.3847102342786695E-3</v>
      </c>
      <c r="E47" s="13">
        <v>1.0488013698630283E-2</v>
      </c>
      <c r="F47" s="13">
        <v>5.6721379596925026E-2</v>
      </c>
      <c r="G47" s="13">
        <v>-8.2644628099171058E-4</v>
      </c>
    </row>
    <row r="48" spans="1:7" x14ac:dyDescent="0.25">
      <c r="A48" s="30">
        <v>46</v>
      </c>
      <c r="B48" s="13">
        <v>-2.8901734104046284E-2</v>
      </c>
      <c r="C48" s="13">
        <v>-1.2247838616714746E-2</v>
      </c>
      <c r="D48" s="13">
        <v>-8.3149914404501146E-3</v>
      </c>
      <c r="E48" s="13">
        <v>-0.11438254607074771</v>
      </c>
      <c r="F48" s="13">
        <v>-6.0361777428234342E-2</v>
      </c>
      <c r="G48" s="13">
        <v>-6.4516129032258007E-2</v>
      </c>
    </row>
    <row r="49" spans="1:7" x14ac:dyDescent="0.25">
      <c r="A49" s="30">
        <v>47</v>
      </c>
      <c r="B49" s="13">
        <v>-1.9047619047619091E-2</v>
      </c>
      <c r="C49" s="13">
        <v>-1.2764405543399526E-3</v>
      </c>
      <c r="D49" s="13">
        <v>5.0554870530210572E-3</v>
      </c>
      <c r="E49" s="13">
        <v>-2.1286773499162859E-2</v>
      </c>
      <c r="F49" s="13">
        <v>1.0880937434609717E-2</v>
      </c>
      <c r="G49" s="13">
        <v>0.10433244916003526</v>
      </c>
    </row>
    <row r="50" spans="1:7" x14ac:dyDescent="0.25">
      <c r="A50" s="30">
        <v>48</v>
      </c>
      <c r="B50" s="13">
        <v>3.2766990291262177E-2</v>
      </c>
      <c r="C50" s="13">
        <v>2.8300164323534771E-2</v>
      </c>
      <c r="D50" s="13">
        <v>5.7293583609373089E-2</v>
      </c>
      <c r="E50" s="13">
        <v>4.2766373411534664E-2</v>
      </c>
      <c r="F50" s="13">
        <v>1.8008693852204383E-2</v>
      </c>
      <c r="G50" s="13">
        <v>9.6076861489191367E-2</v>
      </c>
    </row>
    <row r="51" spans="1:7" x14ac:dyDescent="0.25">
      <c r="A51" s="30">
        <v>49</v>
      </c>
      <c r="B51" s="13">
        <v>1.7626321974148151E-2</v>
      </c>
      <c r="C51" s="13">
        <v>2.6633522727272707E-2</v>
      </c>
      <c r="D51" s="13">
        <v>9.7934555581341343E-2</v>
      </c>
      <c r="E51" s="13">
        <v>5.4839465666744802E-2</v>
      </c>
      <c r="F51" s="13">
        <v>8.2147214314762129E-2</v>
      </c>
      <c r="G51" s="13">
        <v>-4.3827611395178545E-3</v>
      </c>
    </row>
    <row r="52" spans="1:7" x14ac:dyDescent="0.25">
      <c r="A52" s="30">
        <v>50</v>
      </c>
      <c r="B52" s="13">
        <v>-3.2332563510392487E-2</v>
      </c>
      <c r="C52" s="13">
        <v>5.6900726392251855E-2</v>
      </c>
      <c r="D52" s="13">
        <v>-6.1086451067427605E-2</v>
      </c>
      <c r="E52" s="13">
        <v>1.8662519440124425E-2</v>
      </c>
      <c r="F52" s="13">
        <v>1.3152950018789911E-2</v>
      </c>
      <c r="G52" s="13">
        <v>-5.5025678650036713E-2</v>
      </c>
    </row>
    <row r="53" spans="1:7" x14ac:dyDescent="0.25">
      <c r="A53" s="30">
        <v>51</v>
      </c>
      <c r="B53" s="13">
        <v>0</v>
      </c>
      <c r="C53" s="13">
        <v>8.5419734904270905E-2</v>
      </c>
      <c r="D53" s="13">
        <v>-5.8532192705988306E-2</v>
      </c>
      <c r="E53" s="13">
        <v>2.6172300981461172E-2</v>
      </c>
      <c r="F53" s="13">
        <v>4.0615727002967228E-2</v>
      </c>
      <c r="G53" s="13">
        <v>-2.9503105590062195E-2</v>
      </c>
    </row>
    <row r="54" spans="1:7" x14ac:dyDescent="0.25">
      <c r="A54" s="30">
        <v>52</v>
      </c>
      <c r="B54" s="13">
        <v>-2.3866348448688957E-3</v>
      </c>
      <c r="C54" s="13">
        <v>1.7036031961405129E-2</v>
      </c>
      <c r="D54" s="13">
        <v>-2.0205643232902859E-2</v>
      </c>
      <c r="E54" s="13">
        <v>0.10882040382571745</v>
      </c>
      <c r="F54" s="13">
        <v>0.1062199251470326</v>
      </c>
      <c r="G54" s="13">
        <v>-8.799999999999919E-3</v>
      </c>
    </row>
    <row r="55" spans="1:7" x14ac:dyDescent="0.25">
      <c r="A55" s="30">
        <v>53</v>
      </c>
      <c r="B55" s="13">
        <v>3.5885167464115852E-3</v>
      </c>
      <c r="C55" s="13">
        <v>0.10672991402312482</v>
      </c>
      <c r="D55" s="13">
        <v>1.3422818791946289E-2</v>
      </c>
      <c r="E55" s="13">
        <v>3.2010734138393726E-2</v>
      </c>
      <c r="F55" s="13">
        <v>3.8666022232962671E-3</v>
      </c>
      <c r="G55" s="13">
        <v>0.21146085552865213</v>
      </c>
    </row>
    <row r="56" spans="1:7" x14ac:dyDescent="0.25">
      <c r="A56" s="30">
        <v>54</v>
      </c>
      <c r="B56" s="13">
        <v>-8.104886769964248E-2</v>
      </c>
      <c r="C56" s="13">
        <v>-1.2456469327618458E-2</v>
      </c>
      <c r="D56" s="13">
        <v>-3.8651414810355167E-2</v>
      </c>
      <c r="E56" s="13">
        <v>-5.9063893016344848E-2</v>
      </c>
      <c r="F56" s="13">
        <v>1.123415182153753E-3</v>
      </c>
      <c r="G56" s="13">
        <v>1.065956029313786E-2</v>
      </c>
    </row>
    <row r="57" spans="1:7" x14ac:dyDescent="0.25">
      <c r="A57" s="30">
        <v>55</v>
      </c>
      <c r="B57" s="13">
        <v>1.6861219195849486E-2</v>
      </c>
      <c r="C57" s="13">
        <v>-1.0307880103078815E-2</v>
      </c>
      <c r="D57" s="13">
        <v>1.2149298597194269E-2</v>
      </c>
      <c r="E57" s="13">
        <v>9.889459139360457E-2</v>
      </c>
      <c r="F57" s="13">
        <v>2.3725553061878735E-2</v>
      </c>
      <c r="G57" s="13">
        <v>0.20896506262359926</v>
      </c>
    </row>
    <row r="58" spans="1:7" x14ac:dyDescent="0.25">
      <c r="A58" s="30">
        <v>56</v>
      </c>
      <c r="B58" s="13">
        <v>-2.6785714285714302E-2</v>
      </c>
      <c r="C58" s="13">
        <v>-2.5215842126901533E-2</v>
      </c>
      <c r="D58" s="13">
        <v>-4.4548941962628819E-3</v>
      </c>
      <c r="E58" s="13">
        <v>-1.1137057661217975E-2</v>
      </c>
      <c r="F58" s="13">
        <v>-5.9035389915439995E-2</v>
      </c>
      <c r="G58" s="13">
        <v>8.7786259541984712E-2</v>
      </c>
    </row>
    <row r="59" spans="1:7" x14ac:dyDescent="0.25">
      <c r="A59" s="30">
        <v>57</v>
      </c>
      <c r="B59" s="13">
        <v>5.3735255570117824E-2</v>
      </c>
      <c r="C59" s="13">
        <v>5.0189793336145261E-2</v>
      </c>
      <c r="D59" s="13">
        <v>1.0441267868241288E-2</v>
      </c>
      <c r="E59" s="13">
        <v>3.4332425068119843E-2</v>
      </c>
      <c r="F59" s="13">
        <v>6.0076551838908365E-2</v>
      </c>
      <c r="G59" s="13">
        <v>0.11578947368421066</v>
      </c>
    </row>
    <row r="60" spans="1:7" x14ac:dyDescent="0.25">
      <c r="A60" s="30">
        <v>58</v>
      </c>
      <c r="B60" s="13">
        <v>0.14179104477611948</v>
      </c>
      <c r="C60" s="13">
        <v>8.6479250334671853E-2</v>
      </c>
      <c r="D60" s="13">
        <v>6.5198671423296606E-3</v>
      </c>
      <c r="E60" s="13">
        <v>4.4959606603442337E-2</v>
      </c>
      <c r="F60" s="13">
        <v>6.3579277864992179E-2</v>
      </c>
      <c r="G60" s="13">
        <v>-6.3791554357592206E-2</v>
      </c>
    </row>
    <row r="61" spans="1:7" x14ac:dyDescent="0.25">
      <c r="A61" s="30">
        <v>59</v>
      </c>
      <c r="B61" s="13">
        <v>4.030501089324634E-2</v>
      </c>
      <c r="C61" s="13">
        <v>4.8915722030556941E-2</v>
      </c>
      <c r="D61" s="13">
        <v>1.4788560254216598E-2</v>
      </c>
      <c r="E61" s="13">
        <v>1.0252100840336231E-2</v>
      </c>
      <c r="F61" s="13">
        <v>2.8487084870848722E-2</v>
      </c>
      <c r="G61" s="13">
        <v>6.1420345489443529E-2</v>
      </c>
    </row>
    <row r="62" spans="1:7" x14ac:dyDescent="0.25">
      <c r="A62" s="30">
        <v>60</v>
      </c>
      <c r="B62" s="13">
        <v>0.10575916230366489</v>
      </c>
      <c r="C62" s="13">
        <v>5.7441559967109201E-2</v>
      </c>
      <c r="D62" s="13">
        <v>7.3467421413946798E-2</v>
      </c>
      <c r="E62" s="13">
        <v>5.8559307935451832E-2</v>
      </c>
      <c r="F62" s="13">
        <v>9.6440872560275448E-2</v>
      </c>
      <c r="G62" s="13">
        <v>7.1428571428571397E-2</v>
      </c>
    </row>
  </sheetData>
  <phoneticPr fontId="0" type="noConversion"/>
  <printOptions headings="1" gridLines="1"/>
  <pageMargins left="0.75" right="0.75" top="1" bottom="1" header="0.5" footer="0.5"/>
  <pageSetup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SummaryMeasures">
    <pageSetUpPr fitToPage="1"/>
  </sheetPr>
  <dimension ref="A1:G13"/>
  <sheetViews>
    <sheetView workbookViewId="0">
      <selection activeCell="O31" sqref="O31"/>
    </sheetView>
  </sheetViews>
  <sheetFormatPr defaultRowHeight="15" x14ac:dyDescent="0.25"/>
  <cols>
    <col min="1" max="1" width="13.5703125" style="11" customWidth="1"/>
    <col min="2" max="16384" width="9.140625" style="13"/>
  </cols>
  <sheetData>
    <row r="1" spans="1:7" s="7" customFormat="1" x14ac:dyDescent="0.25">
      <c r="A1" s="6" t="s">
        <v>53</v>
      </c>
    </row>
    <row r="2" spans="1:7" s="7" customFormat="1" x14ac:dyDescent="0.25"/>
    <row r="3" spans="1:7" s="11" customFormat="1" x14ac:dyDescent="0.25">
      <c r="A3" s="6" t="s">
        <v>54</v>
      </c>
      <c r="B3" s="11" t="s">
        <v>3</v>
      </c>
      <c r="C3" s="11" t="s">
        <v>4</v>
      </c>
      <c r="D3" s="11" t="s">
        <v>8</v>
      </c>
      <c r="E3" s="11" t="s">
        <v>10</v>
      </c>
      <c r="F3" s="11" t="s">
        <v>48</v>
      </c>
      <c r="G3" s="11" t="s">
        <v>16</v>
      </c>
    </row>
    <row r="4" spans="1:7" s="15" customFormat="1" x14ac:dyDescent="0.25">
      <c r="A4" s="6" t="s">
        <v>55</v>
      </c>
      <c r="B4" s="15">
        <f>AVERAGE(Returns!AA)</f>
        <v>1.2064188478113167E-2</v>
      </c>
      <c r="C4" s="15">
        <f>AVERAGE(Returns!AXP)</f>
        <v>3.7788119506839732E-2</v>
      </c>
      <c r="D4" s="15">
        <f>AVERAGE(Returns!CAT)</f>
        <v>2.5847623404607299E-2</v>
      </c>
      <c r="E4" s="15">
        <f>AVERAGE(Returns!DD)</f>
        <v>2.4505258323236072E-2</v>
      </c>
      <c r="F4" s="15">
        <f>AVERAGE(Returns!DIS)</f>
        <v>2.5975345242832352E-2</v>
      </c>
      <c r="G4" s="15">
        <f>AVERAGE(Returns!GT)</f>
        <v>3.6209234893107074E-2</v>
      </c>
    </row>
    <row r="5" spans="1:7" s="15" customFormat="1" x14ac:dyDescent="0.25">
      <c r="A5" s="6" t="s">
        <v>56</v>
      </c>
      <c r="B5" s="15">
        <f>STDEV(Returns!AA)</f>
        <v>0.10613565649387913</v>
      </c>
      <c r="C5" s="15">
        <f>STDEV(Returns!AXP)</f>
        <v>0.1373838980455033</v>
      </c>
      <c r="D5" s="15">
        <f>STDEV(Returns!CAT)</f>
        <v>0.10639270441879307</v>
      </c>
      <c r="E5" s="15">
        <f>STDEV(Returns!DD)</f>
        <v>8.3142797365505394E-2</v>
      </c>
      <c r="F5" s="15">
        <f>STDEV(Returns!DIS)</f>
        <v>7.0160082028594112E-2</v>
      </c>
      <c r="G5" s="15">
        <f>STDEV(Returns!GT)</f>
        <v>0.17581195966351759</v>
      </c>
    </row>
    <row r="6" spans="1:7" s="7" customFormat="1" x14ac:dyDescent="0.25"/>
    <row r="7" spans="1:7" s="11" customFormat="1" x14ac:dyDescent="0.25">
      <c r="A7" s="6" t="s">
        <v>57</v>
      </c>
      <c r="B7" s="11" t="s">
        <v>3</v>
      </c>
      <c r="C7" s="11" t="s">
        <v>4</v>
      </c>
      <c r="D7" s="11" t="s">
        <v>8</v>
      </c>
      <c r="E7" s="11" t="s">
        <v>10</v>
      </c>
      <c r="F7" s="11" t="s">
        <v>48</v>
      </c>
      <c r="G7" s="11" t="s">
        <v>16</v>
      </c>
    </row>
    <row r="8" spans="1:7" x14ac:dyDescent="0.25">
      <c r="A8" s="11" t="s">
        <v>3</v>
      </c>
      <c r="B8" s="13">
        <f>CORREL(Returns!AA,Returns!AA)</f>
        <v>1.0000000000000002</v>
      </c>
      <c r="C8" s="13">
        <f>CORREL(Returns!AA,Returns!AXP)</f>
        <v>0.50700738461136563</v>
      </c>
      <c r="D8" s="13">
        <f>CORREL(Returns!AA,Returns!CAT)</f>
        <v>0.70414121270794305</v>
      </c>
      <c r="E8" s="13">
        <f>CORREL(Returns!AA,Returns!DD)</f>
        <v>0.67211401125956627</v>
      </c>
      <c r="F8" s="13">
        <f>CORREL(Returns!AA,Returns!DIS)</f>
        <v>0.65774383366328026</v>
      </c>
      <c r="G8" s="13">
        <f>CORREL(Returns!AA,Returns!GT)</f>
        <v>0.5961716100532235</v>
      </c>
    </row>
    <row r="9" spans="1:7" x14ac:dyDescent="0.25">
      <c r="A9" s="11" t="s">
        <v>4</v>
      </c>
      <c r="B9" s="13">
        <f>CORREL(Returns!AXP,Returns!AA)</f>
        <v>0.50700738461136563</v>
      </c>
      <c r="C9" s="13">
        <f>CORREL(Returns!AXP,Returns!AXP)</f>
        <v>1.0000000000000002</v>
      </c>
      <c r="D9" s="13">
        <f>CORREL(Returns!AXP,Returns!CAT)</f>
        <v>0.63390637506861702</v>
      </c>
      <c r="E9" s="13">
        <f>CORREL(Returns!AXP,Returns!DD)</f>
        <v>0.69608857363338339</v>
      </c>
      <c r="F9" s="13">
        <f>CORREL(Returns!AXP,Returns!DIS)</f>
        <v>0.60762224490628081</v>
      </c>
      <c r="G9" s="13">
        <f>CORREL(Returns!AXP,Returns!GT)</f>
        <v>0.70629493992133296</v>
      </c>
    </row>
    <row r="10" spans="1:7" x14ac:dyDescent="0.25">
      <c r="A10" s="11" t="s">
        <v>8</v>
      </c>
      <c r="B10" s="13">
        <f>CORREL(Returns!CAT,Returns!AA)</f>
        <v>0.70414121270794305</v>
      </c>
      <c r="C10" s="13">
        <f>CORREL(Returns!CAT,Returns!AXP)</f>
        <v>0.63390637506861702</v>
      </c>
      <c r="D10" s="13">
        <f>CORREL(Returns!CAT,Returns!CAT)</f>
        <v>1.0000000000000002</v>
      </c>
      <c r="E10" s="13">
        <f>CORREL(Returns!CAT,Returns!DD)</f>
        <v>0.836743101443568</v>
      </c>
      <c r="F10" s="13">
        <f>CORREL(Returns!CAT,Returns!DIS)</f>
        <v>0.61994112145665592</v>
      </c>
      <c r="G10" s="13">
        <f>CORREL(Returns!CAT,Returns!GT)</f>
        <v>0.69934333076075783</v>
      </c>
    </row>
    <row r="11" spans="1:7" x14ac:dyDescent="0.25">
      <c r="A11" s="11" t="s">
        <v>10</v>
      </c>
      <c r="B11" s="13">
        <f>CORREL(Returns!DD,Returns!AA)</f>
        <v>0.67211401125956627</v>
      </c>
      <c r="C11" s="13">
        <f>CORREL(Returns!DD,Returns!AXP)</f>
        <v>0.69608857363338339</v>
      </c>
      <c r="D11" s="13">
        <f>CORREL(Returns!DD,Returns!CAT)</f>
        <v>0.836743101443568</v>
      </c>
      <c r="E11" s="13">
        <f>CORREL(Returns!DD,Returns!DD)</f>
        <v>1.0000000000000002</v>
      </c>
      <c r="F11" s="13">
        <f>CORREL(Returns!DD,Returns!DIS)</f>
        <v>0.76672839195481801</v>
      </c>
      <c r="G11" s="13">
        <f>CORREL(Returns!DD,Returns!GT)</f>
        <v>0.73908098985976278</v>
      </c>
    </row>
    <row r="12" spans="1:7" x14ac:dyDescent="0.25">
      <c r="A12" s="11" t="s">
        <v>48</v>
      </c>
      <c r="B12" s="13">
        <f>CORREL(Returns!DIS,Returns!AA)</f>
        <v>0.65774383366328026</v>
      </c>
      <c r="C12" s="13">
        <f>CORREL(Returns!DIS,Returns!AXP)</f>
        <v>0.60762224490628081</v>
      </c>
      <c r="D12" s="13">
        <f>CORREL(Returns!DIS,Returns!CAT)</f>
        <v>0.61994112145665592</v>
      </c>
      <c r="E12" s="13">
        <f>CORREL(Returns!DIS,Returns!DD)</f>
        <v>0.76672839195481801</v>
      </c>
      <c r="F12" s="13">
        <f>CORREL(Returns!DIS,Returns!DIS)</f>
        <v>1</v>
      </c>
      <c r="G12" s="13">
        <f>CORREL(Returns!DIS,Returns!GT)</f>
        <v>0.61037717246863732</v>
      </c>
    </row>
    <row r="13" spans="1:7" x14ac:dyDescent="0.25">
      <c r="A13" s="11" t="s">
        <v>16</v>
      </c>
      <c r="B13" s="13">
        <f>CORREL(Returns!GT,Returns!AA)</f>
        <v>0.5961716100532235</v>
      </c>
      <c r="C13" s="13">
        <f>CORREL(Returns!GT,Returns!AXP)</f>
        <v>0.70629493992133296</v>
      </c>
      <c r="D13" s="13">
        <f>CORREL(Returns!GT,Returns!CAT)</f>
        <v>0.69934333076075783</v>
      </c>
      <c r="E13" s="13">
        <f>CORREL(Returns!GT,Returns!DD)</f>
        <v>0.73908098985976278</v>
      </c>
      <c r="F13" s="13">
        <f>CORREL(Returns!GT,Returns!DIS)</f>
        <v>0.61037717246863732</v>
      </c>
      <c r="G13" s="13">
        <f>CORREL(Returns!GT,Returns!GT)</f>
        <v>0.99999999999999989</v>
      </c>
    </row>
  </sheetData>
  <phoneticPr fontId="0" type="noConversion"/>
  <printOptions headings="1" gridLines="1"/>
  <pageMargins left="0.75" right="0.75" top="1" bottom="1" header="0.5" footer="0.5"/>
  <pageSetup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Model">
    <pageSetUpPr fitToPage="1"/>
  </sheetPr>
  <dimension ref="A1:H25"/>
  <sheetViews>
    <sheetView workbookViewId="0">
      <selection activeCell="O28" sqref="O28"/>
    </sheetView>
  </sheetViews>
  <sheetFormatPr defaultRowHeight="15" x14ac:dyDescent="0.25"/>
  <cols>
    <col min="1" max="1" width="11.7109375" style="7" customWidth="1"/>
    <col min="2" max="9" width="9.140625" style="7"/>
    <col min="10" max="11" width="9.140625" style="7" customWidth="1"/>
    <col min="12" max="12" width="11.28515625" style="7" customWidth="1"/>
    <col min="13" max="17" width="9.140625" style="7" customWidth="1"/>
    <col min="18" max="16384" width="9.140625" style="7"/>
  </cols>
  <sheetData>
    <row r="1" spans="1:8" x14ac:dyDescent="0.25">
      <c r="A1" s="7" t="s">
        <v>72</v>
      </c>
    </row>
    <row r="3" spans="1:8" x14ac:dyDescent="0.25">
      <c r="A3" s="7" t="s">
        <v>58</v>
      </c>
      <c r="B3" s="7" t="s">
        <v>3</v>
      </c>
      <c r="C3" s="7" t="s">
        <v>4</v>
      </c>
      <c r="D3" s="7" t="s">
        <v>8</v>
      </c>
      <c r="E3" s="7" t="s">
        <v>10</v>
      </c>
      <c r="F3" s="7" t="s">
        <v>48</v>
      </c>
      <c r="G3" s="7" t="s">
        <v>16</v>
      </c>
      <c r="H3" s="7" t="s">
        <v>60</v>
      </c>
    </row>
    <row r="4" spans="1:8" x14ac:dyDescent="0.25">
      <c r="A4" s="7" t="s">
        <v>59</v>
      </c>
      <c r="B4" s="7">
        <v>0</v>
      </c>
      <c r="C4" s="7">
        <v>0.99999999999999989</v>
      </c>
      <c r="D4" s="7">
        <v>0</v>
      </c>
      <c r="E4" s="7">
        <v>0</v>
      </c>
      <c r="F4" s="7">
        <v>0</v>
      </c>
      <c r="G4" s="7">
        <v>0</v>
      </c>
      <c r="H4" s="7">
        <f>SUM(Weights)</f>
        <v>0.99999999999999989</v>
      </c>
    </row>
    <row r="5" spans="1:8" x14ac:dyDescent="0.25">
      <c r="A5" s="7" t="s">
        <v>55</v>
      </c>
      <c r="B5" s="7">
        <f>AVERAGE(Returns!AA)</f>
        <v>1.2064188478113167E-2</v>
      </c>
      <c r="C5" s="7">
        <f>AVERAGE(Returns!AXP)</f>
        <v>3.7788119506839732E-2</v>
      </c>
      <c r="D5" s="7">
        <f>AVERAGE(Returns!CAT)</f>
        <v>2.5847623404607299E-2</v>
      </c>
      <c r="E5" s="7">
        <f>AVERAGE(Returns!DD)</f>
        <v>2.4505258323236072E-2</v>
      </c>
      <c r="F5" s="7">
        <f>AVERAGE(Returns!DIS)</f>
        <v>2.5975345242832352E-2</v>
      </c>
      <c r="G5" s="7">
        <f>AVERAGE(Returns!GT)</f>
        <v>3.6209234893107074E-2</v>
      </c>
    </row>
    <row r="7" spans="1:8" x14ac:dyDescent="0.25">
      <c r="A7" s="7" t="s">
        <v>61</v>
      </c>
      <c r="B7" s="7" t="s">
        <v>3</v>
      </c>
      <c r="C7" s="7" t="s">
        <v>4</v>
      </c>
      <c r="D7" s="7" t="s">
        <v>8</v>
      </c>
      <c r="E7" s="7" t="s">
        <v>10</v>
      </c>
      <c r="F7" s="7" t="s">
        <v>48</v>
      </c>
      <c r="G7" s="7" t="s">
        <v>16</v>
      </c>
    </row>
    <row r="8" spans="1:8" x14ac:dyDescent="0.25">
      <c r="A8" s="7" t="s">
        <v>3</v>
      </c>
      <c r="B8" s="7">
        <f>COVAR(Returns!AA,Returns!AA)</f>
        <v>1.1073849145837783E-2</v>
      </c>
      <c r="C8" s="7">
        <f>COVAR(Returns!AA,Returns!AXP)</f>
        <v>7.2675396859277928E-3</v>
      </c>
      <c r="D8" s="7">
        <f>COVAR(Returns!AA,Returns!CAT)</f>
        <v>7.8164383133599649E-3</v>
      </c>
      <c r="E8" s="7">
        <f>COVAR(Returns!AA,Returns!DD)</f>
        <v>5.8304875710521011E-3</v>
      </c>
      <c r="F8" s="7">
        <f>COVAR(Returns!AA,Returns!DIS)</f>
        <v>4.8148655659908434E-3</v>
      </c>
      <c r="G8" s="7">
        <f>COVAR(Returns!AA,Returns!GT)</f>
        <v>1.093596214204927E-2</v>
      </c>
    </row>
    <row r="9" spans="1:8" x14ac:dyDescent="0.25">
      <c r="A9" s="7" t="s">
        <v>4</v>
      </c>
      <c r="B9" s="7">
        <f>COVAR(Returns!AXP,Returns!AA)</f>
        <v>7.2675396859277928E-3</v>
      </c>
      <c r="C9" s="7">
        <f>COVAR(Returns!AXP,Returns!AXP)</f>
        <v>1.855443145163186E-2</v>
      </c>
      <c r="D9" s="7">
        <f>COVAR(Returns!AXP,Returns!CAT)</f>
        <v>9.1085403048270421E-3</v>
      </c>
      <c r="E9" s="7">
        <f>COVAR(Returns!AXP,Returns!DD)</f>
        <v>7.816295211307913E-3</v>
      </c>
      <c r="F9" s="7">
        <f>COVAR(Returns!AXP,Returns!DIS)</f>
        <v>5.7575215153238225E-3</v>
      </c>
      <c r="G9" s="7">
        <f>COVAR(Returns!AXP,Returns!GT)</f>
        <v>1.6770512171503622E-2</v>
      </c>
    </row>
    <row r="10" spans="1:8" x14ac:dyDescent="0.25">
      <c r="A10" s="7" t="s">
        <v>8</v>
      </c>
      <c r="B10" s="7">
        <f>COVAR(Returns!CAT,Returns!AA)</f>
        <v>7.8164383133599649E-3</v>
      </c>
      <c r="C10" s="7">
        <f>COVAR(Returns!CAT,Returns!AXP)</f>
        <v>9.1085403048270421E-3</v>
      </c>
      <c r="D10" s="7">
        <f>COVAR(Returns!CAT,Returns!CAT)</f>
        <v>1.112755318823036E-2</v>
      </c>
      <c r="E10" s="7">
        <f>COVAR(Returns!CAT,Returns!DD)</f>
        <v>7.2761995861895887E-3</v>
      </c>
      <c r="F10" s="7">
        <f>COVAR(Returns!CAT,Returns!DIS)</f>
        <v>4.5491301602054455E-3</v>
      </c>
      <c r="G10" s="7">
        <f>COVAR(Returns!CAT,Returns!GT)</f>
        <v>1.2859576985599048E-2</v>
      </c>
    </row>
    <row r="11" spans="1:8" x14ac:dyDescent="0.25">
      <c r="A11" s="7" t="s">
        <v>10</v>
      </c>
      <c r="B11" s="7">
        <f>COVAR(Returns!DD,Returns!AA)</f>
        <v>5.8304875710521011E-3</v>
      </c>
      <c r="C11" s="7">
        <f>COVAR(Returns!DD,Returns!AXP)</f>
        <v>7.816295211307913E-3</v>
      </c>
      <c r="D11" s="7">
        <f>COVAR(Returns!DD,Returns!CAT)</f>
        <v>7.2761995861895887E-3</v>
      </c>
      <c r="E11" s="7">
        <f>COVAR(Returns!DD,Returns!DD)</f>
        <v>6.7955599274265527E-3</v>
      </c>
      <c r="F11" s="7">
        <f>COVAR(Returns!DD,Returns!DIS)</f>
        <v>4.396754815446287E-3</v>
      </c>
      <c r="G11" s="7">
        <f>COVAR(Returns!DD,Returns!GT)</f>
        <v>1.0620404568576131E-2</v>
      </c>
    </row>
    <row r="12" spans="1:8" x14ac:dyDescent="0.25">
      <c r="A12" s="7" t="s">
        <v>48</v>
      </c>
      <c r="B12" s="7">
        <f>COVAR(Returns!DIS,Returns!AA)</f>
        <v>4.8148655659908434E-3</v>
      </c>
      <c r="C12" s="7">
        <f>COVAR(Returns!DIS,Returns!AXP)</f>
        <v>5.7575215153238225E-3</v>
      </c>
      <c r="D12" s="7">
        <f>COVAR(Returns!DIS,Returns!CAT)</f>
        <v>4.5491301602054455E-3</v>
      </c>
      <c r="E12" s="7">
        <f>COVAR(Returns!DIS,Returns!DD)</f>
        <v>4.396754815446287E-3</v>
      </c>
      <c r="F12" s="7">
        <f>COVAR(Returns!DIS,Returns!DIS)</f>
        <v>4.8390059727970308E-3</v>
      </c>
      <c r="G12" s="7">
        <f>COVAR(Returns!DIS,Returns!GT)</f>
        <v>7.4013811182237705E-3</v>
      </c>
    </row>
    <row r="13" spans="1:8" x14ac:dyDescent="0.25">
      <c r="A13" s="7" t="s">
        <v>16</v>
      </c>
      <c r="B13" s="7">
        <f>COVAR(Returns!GT,Returns!AA)</f>
        <v>1.093596214204927E-2</v>
      </c>
      <c r="C13" s="7">
        <f>COVAR(Returns!GT,Returns!AXP)</f>
        <v>1.6770512171503622E-2</v>
      </c>
      <c r="D13" s="15">
        <f>COVAR(Returns!GT,Returns!CAT)</f>
        <v>1.2859576985599048E-2</v>
      </c>
      <c r="E13" s="7">
        <f>COVAR(Returns!GT,Returns!DD)</f>
        <v>1.0620404568576131E-2</v>
      </c>
      <c r="F13" s="7">
        <f>COVAR(Returns!GT,Returns!DIS)</f>
        <v>7.4013811182237705E-3</v>
      </c>
      <c r="G13" s="7">
        <f>COVAR(Returns!GT,Returns!GT)</f>
        <v>3.0385949480036072E-2</v>
      </c>
    </row>
    <row r="15" spans="1:8" x14ac:dyDescent="0.25">
      <c r="A15" s="7" t="s">
        <v>62</v>
      </c>
    </row>
    <row r="16" spans="1:8" x14ac:dyDescent="0.25">
      <c r="B16" s="7">
        <f>SUMPRODUCT(Weights,Means)</f>
        <v>3.7788119506839725E-2</v>
      </c>
      <c r="C16" s="7" t="s">
        <v>63</v>
      </c>
      <c r="D16" s="7">
        <v>3.7788119167089462E-2</v>
      </c>
    </row>
    <row r="18" spans="1:4" x14ac:dyDescent="0.25">
      <c r="A18" s="7" t="s">
        <v>64</v>
      </c>
    </row>
    <row r="19" spans="1:4" x14ac:dyDescent="0.25">
      <c r="B19" s="7">
        <f t="array" ref="B19">MMULT(Weights,MMULT(Covar,TRANSPOSE(Weights)))</f>
        <v>1.8554431451631853E-2</v>
      </c>
    </row>
    <row r="21" spans="1:4" x14ac:dyDescent="0.25">
      <c r="A21" s="7" t="s">
        <v>65</v>
      </c>
    </row>
    <row r="22" spans="1:4" x14ac:dyDescent="0.25">
      <c r="B22" s="7">
        <f>SQRT(PortfolioVariance)</f>
        <v>0.13621465211801501</v>
      </c>
    </row>
    <row r="25" spans="1:4" x14ac:dyDescent="0.25">
      <c r="D25" s="15"/>
    </row>
  </sheetData>
  <phoneticPr fontId="0" type="noConversion"/>
  <printOptions headings="1" gridLines="1"/>
  <pageMargins left="0.75" right="0.75" top="1" bottom="1" header="0.5" footer="0.5"/>
  <pageSetup orientation="portrait" horizontalDpi="1200" verticalDpi="1200"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EfficientFrontier">
    <pageSetUpPr fitToPage="1"/>
  </sheetPr>
  <dimension ref="A1:J14"/>
  <sheetViews>
    <sheetView workbookViewId="0">
      <selection activeCell="R31" sqref="R31"/>
    </sheetView>
  </sheetViews>
  <sheetFormatPr defaultRowHeight="15" x14ac:dyDescent="0.25"/>
  <cols>
    <col min="1" max="14" width="9.140625" style="7"/>
    <col min="15" max="20" width="9.140625" style="7" customWidth="1"/>
    <col min="21" max="16384" width="9.140625" style="7"/>
  </cols>
  <sheetData>
    <row r="1" spans="1:10" x14ac:dyDescent="0.25">
      <c r="A1" s="6" t="s">
        <v>66</v>
      </c>
    </row>
    <row r="2" spans="1:10" x14ac:dyDescent="0.25">
      <c r="E2" s="7" t="s">
        <v>69</v>
      </c>
    </row>
    <row r="3" spans="1:10" x14ac:dyDescent="0.25">
      <c r="B3" s="7" t="s">
        <v>67</v>
      </c>
      <c r="C3" s="7" t="s">
        <v>68</v>
      </c>
      <c r="E3" s="7" t="s">
        <v>3</v>
      </c>
      <c r="F3" s="7" t="s">
        <v>4</v>
      </c>
      <c r="G3" s="7" t="s">
        <v>8</v>
      </c>
      <c r="H3" s="7" t="s">
        <v>10</v>
      </c>
      <c r="I3" s="7" t="s">
        <v>48</v>
      </c>
      <c r="J3" s="7" t="s">
        <v>16</v>
      </c>
    </row>
    <row r="4" spans="1:10" s="15" customFormat="1" x14ac:dyDescent="0.25">
      <c r="A4" s="7"/>
      <c r="B4" s="15">
        <v>6.9066368349468804E-2</v>
      </c>
      <c r="C4" s="15">
        <v>1.2064188718795776E-2</v>
      </c>
      <c r="D4" s="7"/>
      <c r="E4" s="15">
        <v>0</v>
      </c>
      <c r="F4" s="15">
        <v>0</v>
      </c>
      <c r="G4" s="15">
        <v>0</v>
      </c>
      <c r="H4" s="15">
        <v>0.15566434291527528</v>
      </c>
      <c r="I4" s="15">
        <v>0.84433565708472469</v>
      </c>
      <c r="J4" s="15">
        <v>0</v>
      </c>
    </row>
    <row r="5" spans="1:10" s="15" customFormat="1" x14ac:dyDescent="0.25">
      <c r="A5" s="7"/>
      <c r="B5" s="15">
        <v>6.9066368349468804E-2</v>
      </c>
      <c r="C5" s="15">
        <v>1.4636581763625145E-2</v>
      </c>
      <c r="D5" s="7"/>
      <c r="E5" s="15">
        <v>0</v>
      </c>
      <c r="F5" s="15">
        <v>0</v>
      </c>
      <c r="G5" s="15">
        <v>0</v>
      </c>
      <c r="H5" s="15">
        <v>0.15566434291527528</v>
      </c>
      <c r="I5" s="15">
        <v>0.84433565708472469</v>
      </c>
      <c r="J5" s="15">
        <v>0</v>
      </c>
    </row>
    <row r="6" spans="1:10" s="15" customFormat="1" x14ac:dyDescent="0.25">
      <c r="A6" s="7"/>
      <c r="B6" s="15">
        <v>6.9066368349468804E-2</v>
      </c>
      <c r="C6" s="15">
        <v>1.7208974808454514E-2</v>
      </c>
      <c r="D6" s="7"/>
      <c r="E6" s="15">
        <v>0</v>
      </c>
      <c r="F6" s="15">
        <v>0</v>
      </c>
      <c r="G6" s="15">
        <v>0</v>
      </c>
      <c r="H6" s="15">
        <v>0.15566434291527528</v>
      </c>
      <c r="I6" s="15">
        <v>0.84433565708472469</v>
      </c>
      <c r="J6" s="15">
        <v>0</v>
      </c>
    </row>
    <row r="7" spans="1:10" s="15" customFormat="1" x14ac:dyDescent="0.25">
      <c r="A7" s="7"/>
      <c r="B7" s="15">
        <v>6.9066368349468804E-2</v>
      </c>
      <c r="C7" s="15">
        <v>1.9781367853283882E-2</v>
      </c>
      <c r="D7" s="7"/>
      <c r="E7" s="15">
        <v>0</v>
      </c>
      <c r="F7" s="15">
        <v>0</v>
      </c>
      <c r="G7" s="15">
        <v>0</v>
      </c>
      <c r="H7" s="15">
        <v>0.15566434291527528</v>
      </c>
      <c r="I7" s="15">
        <v>0.84433565708472469</v>
      </c>
      <c r="J7" s="15">
        <v>0</v>
      </c>
    </row>
    <row r="8" spans="1:10" s="15" customFormat="1" x14ac:dyDescent="0.25">
      <c r="A8" s="7"/>
      <c r="B8" s="15">
        <v>6.9066368349468804E-2</v>
      </c>
      <c r="C8" s="15">
        <v>2.2353760898113251E-2</v>
      </c>
      <c r="D8" s="7"/>
      <c r="E8" s="15">
        <v>0</v>
      </c>
      <c r="F8" s="15">
        <v>0</v>
      </c>
      <c r="G8" s="15">
        <v>0</v>
      </c>
      <c r="H8" s="15">
        <v>0.15566434291527528</v>
      </c>
      <c r="I8" s="15">
        <v>0.84433565708472469</v>
      </c>
      <c r="J8" s="15">
        <v>0</v>
      </c>
    </row>
    <row r="9" spans="1:10" s="15" customFormat="1" x14ac:dyDescent="0.25">
      <c r="A9" s="7"/>
      <c r="B9" s="15">
        <v>6.9066368349468804E-2</v>
      </c>
      <c r="C9" s="15">
        <v>2.4926153942942619E-2</v>
      </c>
      <c r="D9" s="7"/>
      <c r="E9" s="15">
        <v>0</v>
      </c>
      <c r="F9" s="15">
        <v>0</v>
      </c>
      <c r="G9" s="15">
        <v>0</v>
      </c>
      <c r="H9" s="15">
        <v>0.15566434291527528</v>
      </c>
      <c r="I9" s="15">
        <v>0.84433565708472469</v>
      </c>
      <c r="J9" s="15">
        <v>0</v>
      </c>
    </row>
    <row r="10" spans="1:10" s="15" customFormat="1" x14ac:dyDescent="0.25">
      <c r="A10" s="7"/>
      <c r="B10" s="15">
        <v>7.2618064188811199E-2</v>
      </c>
      <c r="C10" s="15">
        <v>2.7498546987771988E-2</v>
      </c>
      <c r="D10" s="7"/>
      <c r="E10" s="15">
        <v>0</v>
      </c>
      <c r="F10" s="15">
        <v>0.1289452974986105</v>
      </c>
      <c r="G10" s="15">
        <v>0</v>
      </c>
      <c r="H10" s="15">
        <v>0</v>
      </c>
      <c r="I10" s="15">
        <v>0.87105470250138939</v>
      </c>
      <c r="J10" s="15">
        <v>0</v>
      </c>
    </row>
    <row r="11" spans="1:10" s="15" customFormat="1" x14ac:dyDescent="0.25">
      <c r="A11" s="7"/>
      <c r="B11" s="15">
        <v>8.3089040079175627E-2</v>
      </c>
      <c r="C11" s="15">
        <v>3.0070940032601357E-2</v>
      </c>
      <c r="D11" s="7"/>
      <c r="E11" s="15">
        <v>0</v>
      </c>
      <c r="F11" s="15">
        <v>0.34670896931028061</v>
      </c>
      <c r="G11" s="15">
        <v>0</v>
      </c>
      <c r="H11" s="15">
        <v>0</v>
      </c>
      <c r="I11" s="15">
        <v>0.65329103068971928</v>
      </c>
      <c r="J11" s="15">
        <v>0</v>
      </c>
    </row>
    <row r="12" spans="1:10" s="15" customFormat="1" x14ac:dyDescent="0.25">
      <c r="A12" s="7"/>
      <c r="B12" s="15">
        <v>9.8289190283888273E-2</v>
      </c>
      <c r="C12" s="15">
        <v>3.2643333077430725E-2</v>
      </c>
      <c r="D12" s="7"/>
      <c r="E12" s="15">
        <v>0</v>
      </c>
      <c r="F12" s="15">
        <v>0.56447263661976743</v>
      </c>
      <c r="G12" s="15">
        <v>0</v>
      </c>
      <c r="H12" s="15">
        <v>0</v>
      </c>
      <c r="I12" s="15">
        <v>0.43552736338023235</v>
      </c>
      <c r="J12" s="15">
        <v>0</v>
      </c>
    </row>
    <row r="13" spans="1:10" s="15" customFormat="1" x14ac:dyDescent="0.25">
      <c r="A13" s="7"/>
      <c r="B13" s="15">
        <v>0.11638004779451075</v>
      </c>
      <c r="C13" s="15">
        <v>3.5215727984905243E-2</v>
      </c>
      <c r="D13" s="7"/>
      <c r="E13" s="15">
        <v>0</v>
      </c>
      <c r="F13" s="15">
        <v>0.78223646160983829</v>
      </c>
      <c r="G13" s="15">
        <v>0</v>
      </c>
      <c r="H13" s="15">
        <v>0</v>
      </c>
      <c r="I13" s="15">
        <v>0.21776353839016155</v>
      </c>
      <c r="J13" s="15">
        <v>0</v>
      </c>
    </row>
    <row r="14" spans="1:10" s="15" customFormat="1" x14ac:dyDescent="0.25">
      <c r="A14" s="7"/>
      <c r="B14" s="15">
        <v>0.13621465211801501</v>
      </c>
      <c r="C14" s="15">
        <v>3.7788119167089462E-2</v>
      </c>
      <c r="D14" s="7"/>
      <c r="E14" s="15">
        <v>0</v>
      </c>
      <c r="F14" s="15">
        <v>0.99999999999999989</v>
      </c>
      <c r="G14" s="15">
        <v>0</v>
      </c>
      <c r="H14" s="15">
        <v>0</v>
      </c>
      <c r="I14" s="15">
        <v>0</v>
      </c>
      <c r="J14" s="15">
        <v>0</v>
      </c>
    </row>
  </sheetData>
  <phoneticPr fontId="0" type="noConversion"/>
  <printOptions headings="1" gridLines="1"/>
  <pageMargins left="0.75" right="0.75" top="1" bottom="1" header="0.5" footer="0.5"/>
  <pageSetup scale="95" orientation="portrait" horizontalDpi="1200" verticalDpi="12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43</vt:i4>
      </vt:variant>
    </vt:vector>
  </HeadingPairs>
  <TitlesOfParts>
    <vt:vector size="51" baseType="lpstr">
      <vt:lpstr>Explanation</vt:lpstr>
      <vt:lpstr>Stocks</vt:lpstr>
      <vt:lpstr>ClosingPricesFixed</vt:lpstr>
      <vt:lpstr>ClosingPrices</vt:lpstr>
      <vt:lpstr>Returns</vt:lpstr>
      <vt:lpstr>SummaryMeasures</vt:lpstr>
      <vt:lpstr>Model</vt:lpstr>
      <vt:lpstr>EfficientFrontier</vt:lpstr>
      <vt:lpstr>Returns!AA</vt:lpstr>
      <vt:lpstr>Returns!AAPL</vt:lpstr>
      <vt:lpstr>Returns!AXP</vt:lpstr>
      <vt:lpstr>Returns!BA</vt:lpstr>
      <vt:lpstr>Returns!CAT</vt:lpstr>
      <vt:lpstr>Model!Covar</vt:lpstr>
      <vt:lpstr>Returns!CSCO</vt:lpstr>
      <vt:lpstr>Returns!DD</vt:lpstr>
      <vt:lpstr>Returns!DIS</vt:lpstr>
      <vt:lpstr>Returns!EK</vt:lpstr>
      <vt:lpstr>Returns!FDX</vt:lpstr>
      <vt:lpstr>Returns!GE</vt:lpstr>
      <vt:lpstr>Returns!GM</vt:lpstr>
      <vt:lpstr>Returns!GT</vt:lpstr>
      <vt:lpstr>Returns!HPQ</vt:lpstr>
      <vt:lpstr>Returns!IBM</vt:lpstr>
      <vt:lpstr>Returns!IP</vt:lpstr>
      <vt:lpstr>Returns!JNJ</vt:lpstr>
      <vt:lpstr>Returns!JPM</vt:lpstr>
      <vt:lpstr>Returns!KO</vt:lpstr>
      <vt:lpstr>Returns!MCD</vt:lpstr>
      <vt:lpstr>Model!MeanReturn</vt:lpstr>
      <vt:lpstr>Model!Means</vt:lpstr>
      <vt:lpstr>Returns!MMM</vt:lpstr>
      <vt:lpstr>Returns!MO</vt:lpstr>
      <vt:lpstr>Returns!MRK</vt:lpstr>
      <vt:lpstr>Returns!MSFT</vt:lpstr>
      <vt:lpstr>Returns!PG</vt:lpstr>
      <vt:lpstr>Model!PortfolioStdev</vt:lpstr>
      <vt:lpstr>Model!PortfolioVariance</vt:lpstr>
      <vt:lpstr>ClosingPrices!Print_Area</vt:lpstr>
      <vt:lpstr>EfficientFrontier!Print_Area</vt:lpstr>
      <vt:lpstr>Model!Print_Area</vt:lpstr>
      <vt:lpstr>Returns!Print_Area</vt:lpstr>
      <vt:lpstr>Stocks!Print_Area</vt:lpstr>
      <vt:lpstr>SummaryMeasures!Print_Area</vt:lpstr>
      <vt:lpstr>Model!RequiredReturn</vt:lpstr>
      <vt:lpstr>Stocks!Stocks</vt:lpstr>
      <vt:lpstr>Model!SumWeights</vt:lpstr>
      <vt:lpstr>Returns!T</vt:lpstr>
      <vt:lpstr>Returns!UTX</vt:lpstr>
      <vt:lpstr>Model!Weights</vt:lpstr>
      <vt:lpstr>Returns!WMT</vt:lpstr>
    </vt:vector>
  </TitlesOfParts>
  <Company>Kelley School of Business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2011-01-28T16:07:59Z</cp:lastPrinted>
  <dcterms:created xsi:type="dcterms:W3CDTF">1999-12-01T18:33:58Z</dcterms:created>
  <dcterms:modified xsi:type="dcterms:W3CDTF">2015-02-09T17:34:41Z</dcterms:modified>
</cp:coreProperties>
</file>