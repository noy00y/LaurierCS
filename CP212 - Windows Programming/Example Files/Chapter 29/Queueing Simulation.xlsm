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C:\Users\Chris\Dropbox\My Books\VBA 5e\Example Files\Chapter 29\"/>
    </mc:Choice>
  </mc:AlternateContent>
  <bookViews>
    <workbookView xWindow="405" yWindow="90" windowWidth="8415" windowHeight="4965"/>
  </bookViews>
  <sheets>
    <sheet name="Explanation" sheetId="1" r:id="rId1"/>
    <sheet name="Report" sheetId="3" state="hidden" r:id="rId2"/>
    <sheet name="Module1" sheetId="4" state="veryHidden" r:id=""/>
  </sheets>
  <functionGroups builtInGroupCount="18"/>
  <definedNames>
    <definedName name="ArriveRate" localSheetId="1">Report!$B$5</definedName>
    <definedName name="AvgNInQ" localSheetId="1">Report!$B$16</definedName>
    <definedName name="AvgServerUtil" localSheetId="1">Report!$B$19</definedName>
    <definedName name="AvgTimeInQ" localSheetId="1">Report!$B$14</definedName>
    <definedName name="CloseTime" localSheetId="1">Report!$B$9</definedName>
    <definedName name="FinalTime" localSheetId="1">Report!$B$12</definedName>
    <definedName name="MaxAllowedInQ" localSheetId="1">Report!$B$8</definedName>
    <definedName name="MaxNInQ" localSheetId="1">Report!$B$17</definedName>
    <definedName name="MaxTimeInQ" localSheetId="1">Report!$B$15</definedName>
    <definedName name="MeanServeTime" localSheetId="1">Report!$B$6</definedName>
    <definedName name="NInQueue" localSheetId="1">Report!$A$27:$A$37</definedName>
    <definedName name="NInQueue">Report!$A$27:$A$37</definedName>
    <definedName name="NLost" localSheetId="1">Report!$B$22</definedName>
    <definedName name="NServed" localSheetId="1">Report!$B$21</definedName>
    <definedName name="NServers" localSheetId="1">Report!$B$7</definedName>
    <definedName name="PctLost" localSheetId="1">Report!$B$23</definedName>
    <definedName name="PctOfTime" localSheetId="1">Report!$B$27:$B$37</definedName>
    <definedName name="PctOfTime">Report!$B$27:$B$37</definedName>
    <definedName name="_xlnm.Print_Area" localSheetId="1">Report!$A$11:$I$37</definedName>
    <definedName name="TimeUnit" localSheetId="1">Report!$B$4</definedName>
  </definedNames>
  <calcPr calcId="152511"/>
</workbook>
</file>

<file path=xl/calcChain.xml><?xml version="1.0" encoding="utf-8"?>
<calcChain xmlns="http://schemas.openxmlformats.org/spreadsheetml/2006/main">
  <c r="B23" i="3" l="1"/>
  <c r="E9" i="3" l="1"/>
  <c r="C15" i="3"/>
  <c r="C14" i="3"/>
  <c r="C12" i="3"/>
  <c r="C9" i="3"/>
  <c r="C6" i="3"/>
  <c r="C5" i="3"/>
</calcChain>
</file>

<file path=xl/sharedStrings.xml><?xml version="1.0" encoding="utf-8"?>
<sst xmlns="http://schemas.openxmlformats.org/spreadsheetml/2006/main" count="25" uniqueCount="25">
  <si>
    <t>Multiserver Queueing System</t>
  </si>
  <si>
    <t>Multiple Server Queueing Simulation</t>
  </si>
  <si>
    <t>Inputs</t>
  </si>
  <si>
    <t>Time unit</t>
  </si>
  <si>
    <t>Customer arrival rate</t>
  </si>
  <si>
    <t>Number of servers</t>
  </si>
  <si>
    <t>Simulation run time</t>
  </si>
  <si>
    <t>Simulation Outputs</t>
  </si>
  <si>
    <t>Time last customer leaves</t>
  </si>
  <si>
    <t>Average time in queue per customer</t>
  </si>
  <si>
    <t>Average number of customers in queue</t>
  </si>
  <si>
    <t>Maximum number in queue</t>
  </si>
  <si>
    <t>Fraction of time each server is busy</t>
  </si>
  <si>
    <t>Number of customers processed</t>
  </si>
  <si>
    <t>Number of customers turned away</t>
  </si>
  <si>
    <t>Fraction of customers turned away</t>
  </si>
  <si>
    <t>Probability distribution of number in queue</t>
  </si>
  <si>
    <t>Number in queue</t>
  </si>
  <si>
    <t>% of time</t>
  </si>
  <si>
    <t>minute</t>
  </si>
  <si>
    <t>Mean service time</t>
  </si>
  <si>
    <t>Maximum time in queue for any customer</t>
  </si>
  <si>
    <t>Maximum allowed in queue</t>
  </si>
  <si>
    <t>Traffic intensity</t>
  </si>
  <si>
    <t>Measure of system congestion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</si>
</sst>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0.000"/>
  </numFmts>
  <fonts count="8" x14ac:knownFonts="1">
    <font>
      <sz val="11"/>
      <name val="Calibri"/>
      <family val="2"/>
      <scheme val="minor"/>
    </font>
    <font>
      <sz val="10"/>
      <name val="Arial"/>
      <family val="2"/>
    </font>
    <font>
      <sz val="11"/>
      <name val="Calibri"/>
      <family val="2"/>
      <scheme val="minor"/>
    </font>
    <font>
      <b/>
      <sz val="11"/>
      <name val="Calibri"/>
      <family val="2"/>
      <scheme val="minor"/>
    </font>
    <font>
      <b/>
      <sz val="11"/>
      <color indexed="10"/>
      <name val="Calibri"/>
      <family val="2"/>
      <scheme val="minor"/>
    </font>
    <font>
      <b/>
      <sz val="14"/>
      <name val="Calibri"/>
      <family val="2"/>
      <scheme val="minor"/>
    </font>
    <font>
      <sz val="11"/>
      <color indexed="8"/>
      <name val="Calibri"/>
      <family val="2"/>
      <scheme val="minor"/>
    </font>
    <font>
      <sz val="11"/>
      <color rgb="FF000000"/>
      <name val="Calibri"/>
      <family val="2"/>
    </font>
  </fonts>
  <fills count="3">
    <fill>
      <patternFill patternType="none"/>
    </fill>
    <fill>
      <patternFill patternType="gray125"/>
    </fill>
    <fill>
      <patternFill patternType="solid">
        <fgColor theme="4" tint="0.59996337778862885"/>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25">
    <xf numFmtId="0" fontId="0" fillId="0" borderId="0" xfId="0"/>
    <xf numFmtId="0" fontId="2" fillId="0" borderId="0" xfId="0" applyFont="1" applyFill="1"/>
    <xf numFmtId="0" fontId="4" fillId="0" borderId="0" xfId="0" applyFont="1" applyFill="1" applyAlignment="1">
      <alignment horizontal="centerContinuous"/>
    </xf>
    <xf numFmtId="0" fontId="2" fillId="0" borderId="0" xfId="0" applyFont="1" applyFill="1" applyAlignment="1">
      <alignment horizontal="centerContinuous"/>
    </xf>
    <xf numFmtId="0" fontId="3" fillId="0" borderId="0" xfId="0" applyFont="1" applyFill="1"/>
    <xf numFmtId="0" fontId="3" fillId="0" borderId="0" xfId="0" applyFont="1" applyFill="1" applyProtection="1">
      <protection locked="0"/>
    </xf>
    <xf numFmtId="0" fontId="2" fillId="0" borderId="0" xfId="0" applyFont="1" applyFill="1" applyProtection="1">
      <protection locked="0"/>
    </xf>
    <xf numFmtId="0" fontId="2" fillId="2" borderId="0" xfId="0" applyFont="1" applyFill="1" applyBorder="1" applyAlignment="1" applyProtection="1">
      <alignment horizontal="right"/>
    </xf>
    <xf numFmtId="0" fontId="2" fillId="0" borderId="0" xfId="0" applyFont="1" applyFill="1" applyBorder="1" applyProtection="1"/>
    <xf numFmtId="165" fontId="2" fillId="2" borderId="0" xfId="0" applyNumberFormat="1" applyFont="1" applyFill="1" applyBorder="1" applyAlignment="1" applyProtection="1">
      <alignment horizontal="right"/>
    </xf>
    <xf numFmtId="1" fontId="2" fillId="2" borderId="0" xfId="0" applyNumberFormat="1" applyFont="1" applyFill="1" applyBorder="1" applyAlignment="1" applyProtection="1">
      <alignment horizontal="right"/>
    </xf>
    <xf numFmtId="0" fontId="2" fillId="0" borderId="0" xfId="0" applyFont="1" applyFill="1" applyAlignment="1" applyProtection="1">
      <alignment vertical="center"/>
      <protection locked="0"/>
    </xf>
    <xf numFmtId="2" fontId="6" fillId="0" borderId="0" xfId="0" applyNumberFormat="1" applyFont="1" applyFill="1" applyAlignment="1" applyProtection="1">
      <alignment horizontal="right" wrapText="1"/>
      <protection locked="0"/>
    </xf>
    <xf numFmtId="0" fontId="4" fillId="0" borderId="0" xfId="0" applyFont="1" applyFill="1" applyAlignment="1" applyProtection="1">
      <alignment horizontal="right" wrapText="1"/>
      <protection locked="0"/>
    </xf>
    <xf numFmtId="4" fontId="2" fillId="0" borderId="0" xfId="0" applyNumberFormat="1" applyFont="1" applyFill="1" applyProtection="1">
      <protection locked="0"/>
    </xf>
    <xf numFmtId="2" fontId="2" fillId="0" borderId="0" xfId="0" applyNumberFormat="1" applyFont="1" applyFill="1" applyAlignment="1" applyProtection="1">
      <protection locked="0"/>
    </xf>
    <xf numFmtId="2" fontId="2" fillId="0" borderId="0" xfId="0" applyNumberFormat="1" applyFont="1" applyFill="1" applyProtection="1">
      <protection locked="0"/>
    </xf>
    <xf numFmtId="1" fontId="2" fillId="0" borderId="0" xfId="0" applyNumberFormat="1" applyFont="1" applyFill="1" applyProtection="1">
      <protection locked="0"/>
    </xf>
    <xf numFmtId="164" fontId="2" fillId="0" borderId="0" xfId="1" applyNumberFormat="1" applyFont="1" applyFill="1" applyProtection="1">
      <protection locked="0"/>
    </xf>
    <xf numFmtId="10" fontId="2" fillId="0" borderId="0" xfId="0" applyNumberFormat="1" applyFont="1" applyFill="1" applyProtection="1">
      <protection locked="0"/>
    </xf>
    <xf numFmtId="0" fontId="2" fillId="0" borderId="0" xfId="0" applyFont="1" applyFill="1" applyAlignment="1" applyProtection="1">
      <alignment horizontal="right" wrapText="1"/>
      <protection locked="0"/>
    </xf>
    <xf numFmtId="164" fontId="2" fillId="0" borderId="0" xfId="1" applyNumberFormat="1" applyFont="1" applyFill="1" applyAlignment="1" applyProtection="1">
      <alignment horizontal="right" wrapText="1"/>
      <protection locked="0"/>
    </xf>
    <xf numFmtId="0" fontId="2" fillId="0" borderId="0" xfId="0" applyFont="1" applyFill="1" applyAlignment="1" applyProtection="1">
      <alignment horizontal="right"/>
      <protection locked="0"/>
    </xf>
    <xf numFmtId="10" fontId="2" fillId="0" borderId="0" xfId="1" applyNumberFormat="1" applyFont="1" applyFill="1" applyProtection="1">
      <protection locked="0"/>
    </xf>
    <xf numFmtId="0" fontId="5" fillId="0" borderId="0" xfId="0" applyFont="1" applyFill="1" applyAlignment="1">
      <alignment horizontal="center"/>
    </xf>
  </cellXfs>
  <cellStyles count="2">
    <cellStyle name="Normal" xfId="0" builtinId="0" customBuiltin="1"/>
    <cellStyle name="Percent" xfId="1"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Distribution of number in queue</a:t>
            </a:r>
          </a:p>
        </c:rich>
      </c:tx>
      <c:overlay val="0"/>
    </c:title>
    <c:autoTitleDeleted val="0"/>
    <c:plotArea>
      <c:layout/>
      <c:barChart>
        <c:barDir val="col"/>
        <c:grouping val="clustered"/>
        <c:varyColors val="0"/>
        <c:ser>
          <c:idx val="1"/>
          <c:order val="0"/>
          <c:tx>
            <c:strRef>
              <c:f>Report!$B$26</c:f>
              <c:strCache>
                <c:ptCount val="1"/>
                <c:pt idx="0">
                  <c:v>% of time</c:v>
                </c:pt>
              </c:strCache>
            </c:strRef>
          </c:tx>
          <c:spPr>
            <a:solidFill>
              <a:schemeClr val="accent1">
                <a:lumMod val="60000"/>
                <a:lumOff val="40000"/>
              </a:schemeClr>
            </a:solidFill>
            <a:ln>
              <a:solidFill>
                <a:schemeClr val="accent1">
                  <a:lumMod val="60000"/>
                  <a:lumOff val="40000"/>
                </a:schemeClr>
              </a:solidFill>
            </a:ln>
          </c:spPr>
          <c:invertIfNegative val="0"/>
          <c:cat>
            <c:numRef>
              <c:f>Report!$A$27:$A$37</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Report!$B$27:$B$37</c:f>
              <c:numCache>
                <c:formatCode>0.00%</c:formatCode>
                <c:ptCount val="11"/>
                <c:pt idx="0">
                  <c:v>0.39853569865226746</c:v>
                </c:pt>
                <c:pt idx="1">
                  <c:v>0.10950236022472382</c:v>
                </c:pt>
                <c:pt idx="2">
                  <c:v>9.9878430366516113E-2</c:v>
                </c:pt>
                <c:pt idx="3">
                  <c:v>8.4626093506813049E-2</c:v>
                </c:pt>
                <c:pt idx="4">
                  <c:v>5.8967575430870056E-2</c:v>
                </c:pt>
                <c:pt idx="5">
                  <c:v>5.4034385830163956E-2</c:v>
                </c:pt>
                <c:pt idx="6">
                  <c:v>4.4461704790592194E-2</c:v>
                </c:pt>
                <c:pt idx="7">
                  <c:v>4.5318853110074997E-2</c:v>
                </c:pt>
                <c:pt idx="8">
                  <c:v>3.286704421043396E-2</c:v>
                </c:pt>
                <c:pt idx="9">
                  <c:v>4.0682706981897354E-2</c:v>
                </c:pt>
                <c:pt idx="10">
                  <c:v>3.1125150620937347E-2</c:v>
                </c:pt>
              </c:numCache>
            </c:numRef>
          </c:val>
        </c:ser>
        <c:dLbls>
          <c:showLegendKey val="0"/>
          <c:showVal val="0"/>
          <c:showCatName val="0"/>
          <c:showSerName val="0"/>
          <c:showPercent val="0"/>
          <c:showBubbleSize val="0"/>
        </c:dLbls>
        <c:gapWidth val="150"/>
        <c:axId val="127780160"/>
        <c:axId val="491972536"/>
      </c:barChart>
      <c:catAx>
        <c:axId val="127780160"/>
        <c:scaling>
          <c:orientation val="minMax"/>
        </c:scaling>
        <c:delete val="0"/>
        <c:axPos val="b"/>
        <c:title>
          <c:tx>
            <c:rich>
              <a:bodyPr/>
              <a:lstStyle/>
              <a:p>
                <a:pPr>
                  <a:defRPr/>
                </a:pPr>
                <a:r>
                  <a:rPr lang="en-US"/>
                  <a:t># of customers</a:t>
                </a:r>
              </a:p>
            </c:rich>
          </c:tx>
          <c:overlay val="0"/>
        </c:title>
        <c:numFmt formatCode="General" sourceLinked="1"/>
        <c:majorTickMark val="out"/>
        <c:minorTickMark val="none"/>
        <c:tickLblPos val="nextTo"/>
        <c:crossAx val="491972536"/>
        <c:crosses val="autoZero"/>
        <c:auto val="1"/>
        <c:lblAlgn val="ctr"/>
        <c:lblOffset val="100"/>
        <c:noMultiLvlLbl val="0"/>
      </c:catAx>
      <c:valAx>
        <c:axId val="491972536"/>
        <c:scaling>
          <c:orientation val="minMax"/>
        </c:scaling>
        <c:delete val="0"/>
        <c:axPos val="l"/>
        <c:majorGridlines>
          <c:spPr>
            <a:ln>
              <a:solidFill>
                <a:schemeClr val="bg1">
                  <a:lumMod val="85000"/>
                </a:schemeClr>
              </a:solidFill>
            </a:ln>
          </c:spPr>
        </c:majorGridlines>
        <c:title>
          <c:tx>
            <c:rich>
              <a:bodyPr rot="-5400000" vert="horz"/>
              <a:lstStyle/>
              <a:p>
                <a:pPr>
                  <a:defRPr/>
                </a:pPr>
                <a:r>
                  <a:rPr lang="en-US"/>
                  <a:t>Percentage of time</a:t>
                </a:r>
              </a:p>
            </c:rich>
          </c:tx>
          <c:overlay val="0"/>
        </c:title>
        <c:numFmt formatCode="0.00%" sourceLinked="1"/>
        <c:majorTickMark val="out"/>
        <c:minorTickMark val="none"/>
        <c:tickLblPos val="nextTo"/>
        <c:crossAx val="127780160"/>
        <c:crosses val="autoZero"/>
        <c:crossBetween val="between"/>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15875</xdr:colOff>
      <xdr:row>5</xdr:row>
      <xdr:rowOff>117475</xdr:rowOff>
    </xdr:from>
    <xdr:to>
      <xdr:col>8</xdr:col>
      <xdr:colOff>79375</xdr:colOff>
      <xdr:row>15</xdr:row>
      <xdr:rowOff>104775</xdr:rowOff>
    </xdr:to>
    <xdr:sp macro="" textlink="">
      <xdr:nvSpPr>
        <xdr:cNvPr id="3" name="TextBox 2"/>
        <xdr:cNvSpPr txBox="1"/>
      </xdr:nvSpPr>
      <xdr:spPr>
        <a:xfrm>
          <a:off x="625475" y="1117600"/>
          <a:ext cx="4330700" cy="1892300"/>
        </a:xfrm>
        <a:prstGeom prst="roundRect">
          <a:avLst/>
        </a:prstGeom>
        <a:solidFill>
          <a:schemeClr val="bg1">
            <a:lumMod val="95000"/>
          </a:schemeClr>
        </a:solidFill>
        <a:ln>
          <a:solidFill>
            <a:schemeClr val="bg1">
              <a:lumMod val="8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This application simulates a multiserver queueing system, such as at a bank, where arriving customers wait in a single line for the first available server. The system starts "empty and idle" and runs for a user-specified amount of time. The user specifies the arrival rate, the mean service time per customer, the number of (identical) servers, and the maximum number of customers allowed in the queue. (If a customer arrives when the system is full, this customer leaves.) The user also specifies the "closing" time. At this time, no further arrivals are permitted, but the customers already in the system are served.</a:t>
          </a:r>
        </a:p>
      </xdr:txBody>
    </xdr:sp>
    <xdr:clientData/>
  </xdr:twoCellAnchor>
  <mc:AlternateContent xmlns:mc="http://schemas.openxmlformats.org/markup-compatibility/2006">
    <mc:Choice xmlns:a14="http://schemas.microsoft.com/office/drawing/2010/main" Requires="a14">
      <xdr:twoCellAnchor>
        <xdr:from>
          <xdr:col>3</xdr:col>
          <xdr:colOff>171450</xdr:colOff>
          <xdr:row>2</xdr:row>
          <xdr:rowOff>161925</xdr:rowOff>
        </xdr:from>
        <xdr:to>
          <xdr:col>5</xdr:col>
          <xdr:colOff>466725</xdr:colOff>
          <xdr:row>4</xdr:row>
          <xdr:rowOff>57150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View/Change Inputs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44450</xdr:colOff>
      <xdr:row>2</xdr:row>
      <xdr:rowOff>28576</xdr:rowOff>
    </xdr:from>
    <xdr:to>
      <xdr:col>5</xdr:col>
      <xdr:colOff>295275</xdr:colOff>
      <xdr:row>6</xdr:row>
      <xdr:rowOff>19050</xdr:rowOff>
    </xdr:to>
    <xdr:sp macro="" textlink="">
      <xdr:nvSpPr>
        <xdr:cNvPr id="3" name="TextBox 2"/>
        <xdr:cNvSpPr txBox="1"/>
      </xdr:nvSpPr>
      <xdr:spPr>
        <a:xfrm>
          <a:off x="4749800" y="409576"/>
          <a:ext cx="1898650" cy="752474"/>
        </a:xfrm>
        <a:prstGeom prst="roundRect">
          <a:avLst/>
        </a:prstGeom>
        <a:solidFill>
          <a:schemeClr val="bg1">
            <a:lumMod val="85000"/>
          </a:schemeClr>
        </a:solidFill>
        <a:ln>
          <a:solidFill>
            <a:schemeClr val="bg1">
              <a:lumMod val="75000"/>
            </a:schemeClr>
          </a:solidFill>
        </a:ln>
      </xdr:spPr>
      <xdr:style>
        <a:lnRef idx="2">
          <a:schemeClr val="accent1"/>
        </a:lnRef>
        <a:fillRef idx="1">
          <a:schemeClr val="lt1"/>
        </a:fillRef>
        <a:effectRef idx="0">
          <a:schemeClr val="accent1"/>
        </a:effectRef>
        <a:fontRef idx="minor">
          <a:schemeClr val="dk1"/>
        </a:fontRef>
      </xdr:style>
      <xdr:txBody>
        <a:bodyPr vert="horz" rtlCol="0" anchor="t"/>
        <a:lstStyle/>
        <a:p>
          <a:r>
            <a:rPr lang="en-US" sz="1100"/>
            <a:t>Change any of the inputs in the blue cells and then click the Run simulation button.</a:t>
          </a:r>
        </a:p>
      </xdr:txBody>
    </xdr:sp>
    <xdr:clientData/>
  </xdr:twoCellAnchor>
  <xdr:twoCellAnchor>
    <xdr:from>
      <xdr:col>2</xdr:col>
      <xdr:colOff>409575</xdr:colOff>
      <xdr:row>22</xdr:row>
      <xdr:rowOff>9525</xdr:rowOff>
    </xdr:from>
    <xdr:to>
      <xdr:col>8</xdr:col>
      <xdr:colOff>190500</xdr:colOff>
      <xdr:row>36</xdr:row>
      <xdr:rowOff>85725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3</xdr:col>
          <xdr:colOff>47625</xdr:colOff>
          <xdr:row>10</xdr:row>
          <xdr:rowOff>57150</xdr:rowOff>
        </xdr:from>
        <xdr:to>
          <xdr:col>5</xdr:col>
          <xdr:colOff>190500</xdr:colOff>
          <xdr:row>12</xdr:row>
          <xdr:rowOff>28575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Simulation </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Explanation">
    <pageSetUpPr fitToPage="1"/>
  </sheetPr>
  <dimension ref="A2:H15"/>
  <sheetViews>
    <sheetView showGridLines="0" showRowColHeaders="0" tabSelected="1" workbookViewId="0">
      <selection activeCell="E4" sqref="E4"/>
    </sheetView>
  </sheetViews>
  <sheetFormatPr defaultRowHeight="15" x14ac:dyDescent="0.25"/>
  <cols>
    <col min="1" max="16384" width="9.140625" style="1"/>
  </cols>
  <sheetData>
    <row r="2" spans="1:8" ht="18.75" x14ac:dyDescent="0.3">
      <c r="B2" s="24" t="s">
        <v>0</v>
      </c>
      <c r="C2" s="24"/>
      <c r="D2" s="24"/>
      <c r="E2" s="24"/>
      <c r="F2" s="24"/>
      <c r="G2" s="24"/>
      <c r="H2" s="24"/>
    </row>
    <row r="3" spans="1:8" x14ac:dyDescent="0.25">
      <c r="B3" s="2"/>
      <c r="C3" s="3"/>
      <c r="D3" s="3"/>
      <c r="E3" s="3"/>
    </row>
    <row r="4" spans="1:8" x14ac:dyDescent="0.25">
      <c r="B4" s="2"/>
      <c r="C4" s="3"/>
      <c r="D4" s="3"/>
      <c r="E4" s="3"/>
    </row>
    <row r="6" spans="1:8" x14ac:dyDescent="0.25">
      <c r="A6" s="4"/>
    </row>
    <row r="7" spans="1:8" x14ac:dyDescent="0.25">
      <c r="A7" s="4"/>
    </row>
    <row r="8" spans="1:8" x14ac:dyDescent="0.25">
      <c r="A8" s="4"/>
    </row>
    <row r="9" spans="1:8" x14ac:dyDescent="0.25">
      <c r="A9" s="4"/>
    </row>
    <row r="10" spans="1:8" x14ac:dyDescent="0.25">
      <c r="A10" s="4"/>
    </row>
    <row r="11" spans="1:8" x14ac:dyDescent="0.25">
      <c r="A11" s="4"/>
    </row>
    <row r="12" spans="1:8" x14ac:dyDescent="0.25">
      <c r="A12" s="4"/>
    </row>
    <row r="13" spans="1:8" x14ac:dyDescent="0.25">
      <c r="A13" s="4"/>
    </row>
    <row r="14" spans="1:8" x14ac:dyDescent="0.25">
      <c r="A14" s="4"/>
    </row>
    <row r="15" spans="1:8" x14ac:dyDescent="0.25">
      <c r="A15" s="4"/>
    </row>
  </sheetData>
  <mergeCells count="1">
    <mergeCell ref="B2:H2"/>
  </mergeCells>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Line="0" autoPict="0" macro="[0]!ViewChangeInputs">
                <anchor moveWithCells="1" sizeWithCells="1">
                  <from>
                    <xdr:col>3</xdr:col>
                    <xdr:colOff>171450</xdr:colOff>
                    <xdr:row>2</xdr:row>
                    <xdr:rowOff>161925</xdr:rowOff>
                  </from>
                  <to>
                    <xdr:col>5</xdr:col>
                    <xdr:colOff>466725</xdr:colOff>
                    <xdr:row>4</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sReport">
    <pageSetUpPr fitToPage="1"/>
  </sheetPr>
  <dimension ref="A1:E37"/>
  <sheetViews>
    <sheetView workbookViewId="0"/>
  </sheetViews>
  <sheetFormatPr defaultRowHeight="15" x14ac:dyDescent="0.25"/>
  <cols>
    <col min="1" max="1" width="40.140625" style="6" customWidth="1"/>
    <col min="2" max="2" width="10.7109375" style="23" customWidth="1"/>
    <col min="3" max="3" width="22" style="6" customWidth="1"/>
    <col min="4" max="4" width="15.5703125" style="6" customWidth="1"/>
    <col min="5" max="16384" width="9.140625" style="6"/>
  </cols>
  <sheetData>
    <row r="1" spans="1:5" x14ac:dyDescent="0.25">
      <c r="A1" s="5" t="s">
        <v>1</v>
      </c>
      <c r="B1" s="6"/>
    </row>
    <row r="2" spans="1:5" x14ac:dyDescent="0.25">
      <c r="B2" s="6"/>
    </row>
    <row r="3" spans="1:5" x14ac:dyDescent="0.25">
      <c r="A3" s="5" t="s">
        <v>2</v>
      </c>
      <c r="B3" s="6"/>
    </row>
    <row r="4" spans="1:5" x14ac:dyDescent="0.25">
      <c r="A4" s="6" t="s">
        <v>3</v>
      </c>
      <c r="B4" s="7" t="s">
        <v>19</v>
      </c>
      <c r="C4" s="8"/>
    </row>
    <row r="5" spans="1:5" x14ac:dyDescent="0.25">
      <c r="A5" s="6" t="s">
        <v>4</v>
      </c>
      <c r="B5" s="9">
        <v>1</v>
      </c>
      <c r="C5" s="8" t="str">
        <f>"   customers/"&amp;TimeUnit</f>
        <v xml:space="preserve">   customers/minute</v>
      </c>
    </row>
    <row r="6" spans="1:5" x14ac:dyDescent="0.25">
      <c r="A6" s="6" t="s">
        <v>20</v>
      </c>
      <c r="B6" s="9">
        <v>2.7</v>
      </c>
      <c r="C6" s="8" t="str">
        <f>"   " &amp;TimeUnit&amp;"s"</f>
        <v xml:space="preserve">   minutes</v>
      </c>
    </row>
    <row r="7" spans="1:5" x14ac:dyDescent="0.25">
      <c r="A7" s="6" t="s">
        <v>5</v>
      </c>
      <c r="B7" s="10">
        <v>3</v>
      </c>
      <c r="C7" s="8"/>
    </row>
    <row r="8" spans="1:5" x14ac:dyDescent="0.25">
      <c r="A8" s="6" t="s">
        <v>22</v>
      </c>
      <c r="B8" s="10">
        <v>10</v>
      </c>
      <c r="C8" s="8"/>
      <c r="D8" s="5" t="s">
        <v>24</v>
      </c>
    </row>
    <row r="9" spans="1:5" x14ac:dyDescent="0.25">
      <c r="A9" s="6" t="s">
        <v>6</v>
      </c>
      <c r="B9" s="7">
        <v>1000</v>
      </c>
      <c r="C9" s="8" t="str">
        <f>"   "&amp;TimeUnit&amp;"s"</f>
        <v xml:space="preserve">   minutes</v>
      </c>
      <c r="D9" s="6" t="s">
        <v>23</v>
      </c>
      <c r="E9" s="6">
        <f>ArriveRate/(NServers/MeanServeTime)</f>
        <v>0.90000000000000013</v>
      </c>
    </row>
    <row r="10" spans="1:5" x14ac:dyDescent="0.25">
      <c r="B10" s="6"/>
    </row>
    <row r="11" spans="1:5" x14ac:dyDescent="0.25">
      <c r="A11" s="5" t="s">
        <v>7</v>
      </c>
      <c r="B11" s="11"/>
    </row>
    <row r="12" spans="1:5" ht="12.75" customHeight="1" x14ac:dyDescent="0.25">
      <c r="A12" s="6" t="s">
        <v>8</v>
      </c>
      <c r="B12" s="12">
        <v>1009.7322998046875</v>
      </c>
      <c r="C12" s="8" t="str">
        <f>"   "&amp;TimeUnit&amp;"s"</f>
        <v xml:space="preserve">   minutes</v>
      </c>
      <c r="D12" s="13"/>
    </row>
    <row r="13" spans="1:5" ht="12.75" customHeight="1" x14ac:dyDescent="0.25">
      <c r="B13" s="13"/>
      <c r="D13" s="13"/>
    </row>
    <row r="14" spans="1:5" x14ac:dyDescent="0.25">
      <c r="A14" s="6" t="s">
        <v>9</v>
      </c>
      <c r="B14" s="14">
        <v>2.8433825969696045</v>
      </c>
      <c r="C14" s="8" t="str">
        <f>"   "&amp;TimeUnit&amp;"s"</f>
        <v xml:space="preserve">   minutes</v>
      </c>
      <c r="D14" s="15"/>
    </row>
    <row r="15" spans="1:5" x14ac:dyDescent="0.25">
      <c r="A15" s="6" t="s">
        <v>21</v>
      </c>
      <c r="B15" s="16">
        <v>16.1474609375</v>
      </c>
      <c r="C15" s="8" t="str">
        <f>"   "&amp;TimeUnit&amp;"s"</f>
        <v xml:space="preserve">   minutes</v>
      </c>
      <c r="D15" s="15"/>
    </row>
    <row r="16" spans="1:5" x14ac:dyDescent="0.25">
      <c r="A16" s="6" t="s">
        <v>10</v>
      </c>
      <c r="B16" s="16">
        <v>2.5935127735137939</v>
      </c>
      <c r="D16" s="16"/>
    </row>
    <row r="17" spans="1:4" x14ac:dyDescent="0.25">
      <c r="A17" s="6" t="s">
        <v>11</v>
      </c>
      <c r="B17" s="17">
        <v>10</v>
      </c>
      <c r="D17" s="16"/>
    </row>
    <row r="18" spans="1:4" x14ac:dyDescent="0.25">
      <c r="B18" s="17"/>
      <c r="D18" s="16"/>
    </row>
    <row r="19" spans="1:4" x14ac:dyDescent="0.25">
      <c r="A19" s="6" t="s">
        <v>12</v>
      </c>
      <c r="B19" s="18">
        <v>0.84378284215927124</v>
      </c>
      <c r="D19" s="19"/>
    </row>
    <row r="20" spans="1:4" x14ac:dyDescent="0.25">
      <c r="B20" s="18"/>
      <c r="D20" s="19"/>
    </row>
    <row r="21" spans="1:4" x14ac:dyDescent="0.25">
      <c r="A21" s="6" t="s">
        <v>13</v>
      </c>
      <c r="B21" s="20">
        <v>921</v>
      </c>
    </row>
    <row r="22" spans="1:4" x14ac:dyDescent="0.25">
      <c r="A22" s="6" t="s">
        <v>14</v>
      </c>
      <c r="B22" s="20">
        <v>31</v>
      </c>
    </row>
    <row r="23" spans="1:4" x14ac:dyDescent="0.25">
      <c r="A23" s="6" t="s">
        <v>15</v>
      </c>
      <c r="B23" s="21">
        <f>NLost/(NLost + NServed)</f>
        <v>3.2563025210084036E-2</v>
      </c>
    </row>
    <row r="24" spans="1:4" x14ac:dyDescent="0.25">
      <c r="B24" s="6"/>
    </row>
    <row r="25" spans="1:4" x14ac:dyDescent="0.25">
      <c r="A25" s="6" t="s">
        <v>16</v>
      </c>
      <c r="B25" s="6"/>
    </row>
    <row r="26" spans="1:4" x14ac:dyDescent="0.25">
      <c r="A26" s="22" t="s">
        <v>17</v>
      </c>
      <c r="B26" s="22" t="s">
        <v>18</v>
      </c>
    </row>
    <row r="27" spans="1:4" x14ac:dyDescent="0.25">
      <c r="A27" s="6">
        <v>0</v>
      </c>
      <c r="B27" s="23">
        <v>0.39853569865226746</v>
      </c>
    </row>
    <row r="28" spans="1:4" x14ac:dyDescent="0.25">
      <c r="A28" s="6">
        <v>1</v>
      </c>
      <c r="B28" s="23">
        <v>0.10950236022472382</v>
      </c>
    </row>
    <row r="29" spans="1:4" x14ac:dyDescent="0.25">
      <c r="A29" s="6">
        <v>2</v>
      </c>
      <c r="B29" s="23">
        <v>9.9878430366516113E-2</v>
      </c>
    </row>
    <row r="30" spans="1:4" x14ac:dyDescent="0.25">
      <c r="A30" s="6">
        <v>3</v>
      </c>
      <c r="B30" s="23">
        <v>8.4626093506813049E-2</v>
      </c>
    </row>
    <row r="31" spans="1:4" x14ac:dyDescent="0.25">
      <c r="A31" s="6">
        <v>4</v>
      </c>
      <c r="B31" s="23">
        <v>5.8967575430870056E-2</v>
      </c>
    </row>
    <row r="32" spans="1:4" x14ac:dyDescent="0.25">
      <c r="A32" s="6">
        <v>5</v>
      </c>
      <c r="B32" s="23">
        <v>5.4034385830163956E-2</v>
      </c>
    </row>
    <row r="33" spans="1:3" x14ac:dyDescent="0.25">
      <c r="A33" s="6">
        <v>6</v>
      </c>
      <c r="B33" s="23">
        <v>4.4461704790592194E-2</v>
      </c>
      <c r="C33" s="19"/>
    </row>
    <row r="34" spans="1:3" x14ac:dyDescent="0.25">
      <c r="A34" s="6">
        <v>7</v>
      </c>
      <c r="B34" s="23">
        <v>4.5318853110074997E-2</v>
      </c>
    </row>
    <row r="35" spans="1:3" x14ac:dyDescent="0.25">
      <c r="A35" s="6">
        <v>8</v>
      </c>
      <c r="B35" s="23">
        <v>3.286704421043396E-2</v>
      </c>
    </row>
    <row r="36" spans="1:3" x14ac:dyDescent="0.25">
      <c r="A36" s="6">
        <v>9</v>
      </c>
      <c r="B36" s="23">
        <v>4.0682706981897354E-2</v>
      </c>
    </row>
    <row r="37" spans="1:3" x14ac:dyDescent="0.25">
      <c r="A37" s="6">
        <v>10</v>
      </c>
      <c r="B37" s="23">
        <v>3.1125150620937347E-2</v>
      </c>
    </row>
  </sheetData>
  <phoneticPr fontId="0" type="noConversion"/>
  <printOptions headings="1" gridLines="1" gridLinesSet="0"/>
  <pageMargins left="0.75" right="0.75" top="1" bottom="1" header="0.5" footer="0.5"/>
  <pageSetup scale="66" orientation="portrait" horizontalDpi="4294967292"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autoFill="0" autoLine="0" autoPict="0" macro="[0]!Main">
                <anchor moveWithCells="1" sizeWithCells="1">
                  <from>
                    <xdr:col>3</xdr:col>
                    <xdr:colOff>47625</xdr:colOff>
                    <xdr:row>10</xdr:row>
                    <xdr:rowOff>57150</xdr:rowOff>
                  </from>
                  <to>
                    <xdr:col>5</xdr:col>
                    <xdr:colOff>190500</xdr:colOff>
                    <xdr:row>12</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Explanation</vt:lpstr>
      <vt:lpstr>Report</vt:lpstr>
      <vt:lpstr>Report!ArriveRate</vt:lpstr>
      <vt:lpstr>Report!AvgNInQ</vt:lpstr>
      <vt:lpstr>Report!AvgServerUtil</vt:lpstr>
      <vt:lpstr>Report!AvgTimeInQ</vt:lpstr>
      <vt:lpstr>Report!CloseTime</vt:lpstr>
      <vt:lpstr>Report!FinalTime</vt:lpstr>
      <vt:lpstr>Report!MaxAllowedInQ</vt:lpstr>
      <vt:lpstr>Report!MaxNInQ</vt:lpstr>
      <vt:lpstr>Report!MaxTimeInQ</vt:lpstr>
      <vt:lpstr>Report!MeanServeTime</vt:lpstr>
      <vt:lpstr>Report!NInQueue</vt:lpstr>
      <vt:lpstr>NInQueue</vt:lpstr>
      <vt:lpstr>Report!NLost</vt:lpstr>
      <vt:lpstr>Report!NServed</vt:lpstr>
      <vt:lpstr>Report!NServers</vt:lpstr>
      <vt:lpstr>Report!PctLost</vt:lpstr>
      <vt:lpstr>Report!PctOfTime</vt:lpstr>
      <vt:lpstr>PctOfTime</vt:lpstr>
      <vt:lpstr>Report!Print_Area</vt:lpstr>
      <vt:lpstr>Report!TimeUnit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IU School of Business</dc:creator>
  <cp:lastModifiedBy>Chris Albright</cp:lastModifiedBy>
  <cp:lastPrinted>2011-01-29T00:44:55Z</cp:lastPrinted>
  <dcterms:created xsi:type="dcterms:W3CDTF">2000-07-29T00:46:31Z</dcterms:created>
  <dcterms:modified xsi:type="dcterms:W3CDTF">2015-02-12T14:25:30Z</dcterms:modified>
</cp:coreProperties>
</file>