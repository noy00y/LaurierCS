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chartsheets/sheet5.xml" ContentType="application/vnd.openxmlformats-officedocument.spreadsheetml.chartsheet+xml"/>
  <Override PartName="/xl/chartsheets/sheet6.xml" ContentType="application/vnd.openxmlformats-officedocument.spreadsheetml.chartsheet+xml"/>
  <Override PartName="/xl/chartsheets/sheet7.xml" ContentType="application/vnd.openxmlformats-officedocument.spreadsheetml.chart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xml"/>
  <Override PartName="/xl/charts/chart3.xml" ContentType="application/vnd.openxmlformats-officedocument.drawingml.chart+xml"/>
  <Override PartName="/xl/drawings/drawing6.xml" ContentType="application/vnd.openxmlformats-officedocument.drawing+xml"/>
  <Override PartName="/xl/charts/chart4.xml" ContentType="application/vnd.openxmlformats-officedocument.drawingml.chart+xml"/>
  <Override PartName="/xl/drawings/drawing7.xml" ContentType="application/vnd.openxmlformats-officedocument.drawing+xml"/>
  <Override PartName="/xl/charts/chart5.xml" ContentType="application/vnd.openxmlformats-officedocument.drawingml.chart+xml"/>
  <Override PartName="/xl/drawings/drawing8.xml" ContentType="application/vnd.openxmlformats-officedocument.drawing+xml"/>
  <Override PartName="/xl/charts/chart6.xml" ContentType="application/vnd.openxmlformats-officedocument.drawingml.chart+xml"/>
  <Override PartName="/xl/drawings/drawing9.xml" ContentType="application/vnd.openxmlformats-officedocument.drawing+xml"/>
  <Override PartName="/xl/charts/chart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mc:AlternateContent xmlns:mc="http://schemas.openxmlformats.org/markup-compatibility/2006">
    <mc:Choice Requires="x15">
      <x15ac:absPath xmlns:x15ac="http://schemas.microsoft.com/office/spreadsheetml/2010/11/ac" url="C:\Users\Chris\Dropbox\My Books\VBA 5e\Example Files\Chapter 20\"/>
    </mc:Choice>
  </mc:AlternateContent>
  <bookViews>
    <workbookView xWindow="120" yWindow="120" windowWidth="9375" windowHeight="4455"/>
  </bookViews>
  <sheets>
    <sheet name="Explanation" sheetId="2" r:id="rId1"/>
    <sheet name="Model" sheetId="1" state="hidden" r:id="rId2"/>
    <sheet name="Report" sheetId="3" state="hidden" r:id="rId3"/>
    <sheet name="CrudePurch" sheetId="4" state="hidden" r:id="rId4"/>
    <sheet name="GasProduced" sheetId="5" state="hidden" r:id="rId5"/>
    <sheet name="CrudeCosts" sheetId="6" state="hidden" r:id="rId6"/>
    <sheet name="ProdCostsRevs" sheetId="7" state="hidden" r:id="rId7"/>
    <sheet name="BlendPlan" sheetId="8" state="hidden" r:id="rId8"/>
    <sheet name="Octane" sheetId="9" state="hidden" r:id="rId9"/>
    <sheet name="Sulfur" sheetId="10" state="hidden" r:id="rId10"/>
  </sheets>
  <definedNames>
    <definedName name="AdEffect">Model!#REF!</definedName>
    <definedName name="Avails">Model!$G$23:$G$25</definedName>
    <definedName name="Capacity">Model!$D$35</definedName>
    <definedName name="Demands">Model!$B$31:$D$31</definedName>
    <definedName name="MaxSulfurs">Model!$B$14:$D$14</definedName>
    <definedName name="MinOctanes">Model!$B$13:$D$13</definedName>
    <definedName name="Octanes">Model!$B$17:$B$19</definedName>
    <definedName name="_xlnm.Print_Area" localSheetId="0">Explanation!$A$1:$L$26</definedName>
    <definedName name="_xlnm.Print_Area" localSheetId="1">Model!$A$1:$G$51</definedName>
    <definedName name="_xlnm.Print_Area" localSheetId="2">Report!$B$1:$L$26</definedName>
    <definedName name="ProdCost">Model!$B$9</definedName>
    <definedName name="PurchCosts">Model!$B$4:$B$6</definedName>
    <definedName name="SellPrices">Model!$D$5:$F$5</definedName>
    <definedName name="solver_adj" localSheetId="1" hidden="1">Model!$B$23:$D$25</definedName>
    <definedName name="solver_cvg" localSheetId="1" hidden="1">0.0001</definedName>
    <definedName name="solver_drv" localSheetId="1" hidden="1">1</definedName>
    <definedName name="solver_eng" localSheetId="1" hidden="1">2</definedName>
    <definedName name="solver_est" localSheetId="1" hidden="1">1</definedName>
    <definedName name="solver_ibd" localSheetId="1" hidden="1">2</definedName>
    <definedName name="solver_itr" localSheetId="1" hidden="1">100</definedName>
    <definedName name="solver_lhs1" localSheetId="1" hidden="1">Model!$B$29:$D$29</definedName>
    <definedName name="solver_lhs2" localSheetId="1" hidden="1">Model!$B$35</definedName>
    <definedName name="solver_lhs3" localSheetId="1" hidden="1">Model!$B$38:$D$38</definedName>
    <definedName name="solver_lhs4" localSheetId="1" hidden="1">Model!$B$43:$D$43</definedName>
    <definedName name="solver_lhs5" localSheetId="1" hidden="1">Model!$E$23:$E$25</definedName>
    <definedName name="solver_lhs6" localSheetId="1" hidden="1">Model!$B$38:$D$38</definedName>
    <definedName name="solver_lhs7" localSheetId="1" hidden="1">Model!$B$43:$D$43</definedName>
    <definedName name="solver_lin" localSheetId="1" hidden="1">1</definedName>
    <definedName name="solver_lva" localSheetId="1" hidden="1">2</definedName>
    <definedName name="solver_mip" localSheetId="1" hidden="1">5000</definedName>
    <definedName name="solver_mni" localSheetId="1" hidden="1">30</definedName>
    <definedName name="solver_mrt" localSheetId="1" hidden="1">0.075</definedName>
    <definedName name="solver_neg" localSheetId="1" hidden="1">1</definedName>
    <definedName name="solver_nod" localSheetId="1" hidden="1">5000</definedName>
    <definedName name="solver_num" localSheetId="1" hidden="1">5</definedName>
    <definedName name="solver_nwt" localSheetId="1" hidden="1">1</definedName>
    <definedName name="solver_ofx" localSheetId="1" hidden="1">2</definedName>
    <definedName name="solver_opt" localSheetId="1" hidden="1">Model!$B$51</definedName>
    <definedName name="solver_piv" localSheetId="1" hidden="1">0.000001</definedName>
    <definedName name="solver_pre" localSheetId="1" hidden="1">0.000001</definedName>
    <definedName name="solver_pro" localSheetId="1" hidden="1">2</definedName>
    <definedName name="solver_rbv" localSheetId="1" hidden="1">1</definedName>
    <definedName name="solver_red" localSheetId="1" hidden="1">0.000001</definedName>
    <definedName name="solver_rel1" localSheetId="1" hidden="1">1</definedName>
    <definedName name="solver_rel2" localSheetId="1" hidden="1">1</definedName>
    <definedName name="solver_rel3" localSheetId="1" hidden="1">3</definedName>
    <definedName name="solver_rel4" localSheetId="1" hidden="1">1</definedName>
    <definedName name="solver_rel5" localSheetId="1" hidden="1">1</definedName>
    <definedName name="solver_rel6" localSheetId="1" hidden="1">3</definedName>
    <definedName name="solver_rel7" localSheetId="1" hidden="1">1</definedName>
    <definedName name="solver_reo" localSheetId="1" hidden="1">2</definedName>
    <definedName name="solver_rep" localSheetId="1" hidden="1">2</definedName>
    <definedName name="solver_rhs1" localSheetId="1" hidden="1">Demands</definedName>
    <definedName name="solver_rhs2" localSheetId="1" hidden="1">Capacity</definedName>
    <definedName name="solver_rhs3" localSheetId="1" hidden="1">Model!$B$40:$D$40</definedName>
    <definedName name="solver_rhs4" localSheetId="1" hidden="1">Model!$B$45:$D$45</definedName>
    <definedName name="solver_rhs5" localSheetId="1" hidden="1">Avails</definedName>
    <definedName name="solver_rhs6" localSheetId="1" hidden="1">Model!$B$40:$D$40</definedName>
    <definedName name="solver_rhs7" localSheetId="1" hidden="1">Model!$B$45:$D$45</definedName>
    <definedName name="solver_rlx" localSheetId="1" hidden="1">2</definedName>
    <definedName name="solver_scl" localSheetId="1" hidden="1">2</definedName>
    <definedName name="solver_sho" localSheetId="1" hidden="1">2</definedName>
    <definedName name="solver_ssz" localSheetId="1" hidden="1">100</definedName>
    <definedName name="solver_std" localSheetId="1" hidden="1">1</definedName>
    <definedName name="solver_tim" localSheetId="1" hidden="1">100</definedName>
    <definedName name="solver_tol" localSheetId="1" hidden="1">0.05</definedName>
    <definedName name="solver_typ" localSheetId="1" hidden="1">1</definedName>
    <definedName name="solver_val" localSheetId="1" hidden="1">0</definedName>
    <definedName name="solver_ver" localSheetId="1" hidden="1">2</definedName>
    <definedName name="Sulfurs">Model!$E$17:$E$19</definedName>
  </definedNames>
  <calcPr calcId="152511"/>
</workbook>
</file>

<file path=xl/calcChain.xml><?xml version="1.0" encoding="utf-8"?>
<calcChain xmlns="http://schemas.openxmlformats.org/spreadsheetml/2006/main">
  <c r="B29" i="1" l="1"/>
  <c r="B45" i="1" s="1"/>
  <c r="C29" i="1"/>
  <c r="C40" i="1" s="1"/>
  <c r="D29" i="1"/>
  <c r="D40" i="1" s="1"/>
  <c r="E25" i="1"/>
  <c r="C7" i="3" s="1"/>
  <c r="E7" i="3" s="1"/>
  <c r="E23" i="1"/>
  <c r="C5" i="3" s="1"/>
  <c r="E5" i="3" s="1"/>
  <c r="E24" i="1"/>
  <c r="C43" i="1"/>
  <c r="D43" i="1"/>
  <c r="B43" i="1"/>
  <c r="C38" i="1"/>
  <c r="D38" i="1"/>
  <c r="C20" i="3" s="1"/>
  <c r="B38" i="1"/>
  <c r="I5" i="3" a="1"/>
  <c r="I6" i="3" s="1"/>
  <c r="D5" i="3"/>
  <c r="D6" i="3"/>
  <c r="D7" i="3"/>
  <c r="H18" i="3" a="1"/>
  <c r="H18" i="3" s="1"/>
  <c r="D18" i="3" a="1"/>
  <c r="D18" i="3" s="1"/>
  <c r="C12" i="3"/>
  <c r="D12" i="3"/>
  <c r="E12" i="3"/>
  <c r="C13" i="3"/>
  <c r="D13" i="3"/>
  <c r="E13" i="3"/>
  <c r="C14" i="3"/>
  <c r="D14" i="3"/>
  <c r="E14" i="3"/>
  <c r="G18" i="3" l="1"/>
  <c r="B40" i="1"/>
  <c r="C18" i="3"/>
  <c r="D45" i="1"/>
  <c r="G20" i="3"/>
  <c r="B47" i="1"/>
  <c r="C19" i="3"/>
  <c r="G19" i="3"/>
  <c r="C45" i="1"/>
  <c r="H5" i="3" a="1"/>
  <c r="H5" i="3" s="1"/>
  <c r="J5" i="3" s="1"/>
  <c r="C6" i="3"/>
  <c r="E6" i="3" s="1"/>
  <c r="E8" i="3" s="1"/>
  <c r="C23" i="3" s="1"/>
  <c r="K5" i="3" a="1"/>
  <c r="K5" i="3" s="1"/>
  <c r="B49" i="1"/>
  <c r="D8" i="3"/>
  <c r="B35" i="1"/>
  <c r="B48" i="1" s="1"/>
  <c r="I7" i="3"/>
  <c r="I5" i="3"/>
  <c r="H19" i="3"/>
  <c r="D19" i="3"/>
  <c r="D20" i="3"/>
  <c r="H20" i="3"/>
  <c r="C8" i="3" l="1"/>
  <c r="H6" i="3"/>
  <c r="J6" i="3" s="1"/>
  <c r="H7" i="3"/>
  <c r="J7" i="3" s="1"/>
  <c r="K6" i="3"/>
  <c r="I8" i="3"/>
  <c r="B51" i="1"/>
  <c r="K7" i="3"/>
  <c r="J8" i="3" l="1"/>
  <c r="C24" i="3" s="1"/>
  <c r="K8" i="3"/>
  <c r="C25" i="3" s="1"/>
  <c r="H8" i="3"/>
  <c r="C26" i="3" l="1"/>
</calcChain>
</file>

<file path=xl/sharedStrings.xml><?xml version="1.0" encoding="utf-8"?>
<sst xmlns="http://schemas.openxmlformats.org/spreadsheetml/2006/main" count="114" uniqueCount="54">
  <si>
    <t>Purchase prices per gallon of crude</t>
  </si>
  <si>
    <t>Sale price per barrel of gasoline</t>
  </si>
  <si>
    <t>Crude 1</t>
  </si>
  <si>
    <t>Gas 1</t>
  </si>
  <si>
    <t>Gas 2</t>
  </si>
  <si>
    <t>Gas 3</t>
  </si>
  <si>
    <t>Crude 2</t>
  </si>
  <si>
    <t>Crude 3</t>
  </si>
  <si>
    <t>Cost to transform one barrel of crude into one barrel of gasoline</t>
  </si>
  <si>
    <t>Minimum octane</t>
  </si>
  <si>
    <t>Purchase/production plan</t>
  </si>
  <si>
    <t>Total purchased</t>
  </si>
  <si>
    <t>Max Available</t>
  </si>
  <si>
    <t>&lt;=</t>
  </si>
  <si>
    <t>Demand for gasolines</t>
  </si>
  <si>
    <t>Total produced</t>
  </si>
  <si>
    <t>Max Capacity</t>
  </si>
  <si>
    <t>Amount produced</t>
  </si>
  <si>
    <t>Octane ratings</t>
  </si>
  <si>
    <t>Octane constraints</t>
  </si>
  <si>
    <t>Actual total octane</t>
  </si>
  <si>
    <t>&gt;=</t>
  </si>
  <si>
    <t>Required</t>
  </si>
  <si>
    <t>Purchase costs</t>
  </si>
  <si>
    <t>Production costs</t>
  </si>
  <si>
    <t>Sales revenue</t>
  </si>
  <si>
    <t>Profit</t>
  </si>
  <si>
    <t>Constraint on total production</t>
  </si>
  <si>
    <t>Requirements for gasolines</t>
  </si>
  <si>
    <t>Demand</t>
  </si>
  <si>
    <t>Report of optimal blending solution</t>
  </si>
  <si>
    <t>Amounts of crudes purchased</t>
  </si>
  <si>
    <t>Totals</t>
  </si>
  <si>
    <t>Blending plan (gallons of crudes used in different gasolines)</t>
  </si>
  <si>
    <t>Octane requirements</t>
  </si>
  <si>
    <t>Obtained</t>
  </si>
  <si>
    <t>Sulfur requirements</t>
  </si>
  <si>
    <t>Min required</t>
  </si>
  <si>
    <t>Max allowed</t>
  </si>
  <si>
    <t>Purchased</t>
  </si>
  <si>
    <t>Available</t>
  </si>
  <si>
    <t>Amounts of gasolines produced (and sold)</t>
  </si>
  <si>
    <t>Produced</t>
  </si>
  <si>
    <t>Purchase cost</t>
  </si>
  <si>
    <t>Production cost</t>
  </si>
  <si>
    <t>Revenue</t>
  </si>
  <si>
    <t>Maximum Demand</t>
  </si>
  <si>
    <t>Sulfur constraints</t>
  </si>
  <si>
    <t>Actual total sulfur</t>
  </si>
  <si>
    <t>Maximum sulfur</t>
  </si>
  <si>
    <t>Sulfur content</t>
  </si>
  <si>
    <t>Monetary summary</t>
  </si>
  <si>
    <t>Oil Blending Application</t>
  </si>
  <si>
    <t>Oil blending model</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</si>
</sst>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6" formatCode="&quot;$&quot;#,##0_);[Red]\(&quot;$&quot;#,##0\)"/>
    <numFmt numFmtId="164" formatCode="0.0%"/>
    <numFmt numFmtId="165" formatCode="&quot;$&quot;#,##0;\-&quot;$&quot;#,##0"/>
  </numFmts>
  <fonts count="12" x14ac:knownFonts="1">
    <font>
      <sz val="11"/>
      <name val="Calibri"/>
      <family val="2"/>
      <scheme val="minor"/>
    </font>
    <font>
      <b/>
      <sz val="10"/>
      <name val="Arial"/>
      <family val="2"/>
    </font>
    <font>
      <sz val="10"/>
      <name val="Arial"/>
      <family val="2"/>
    </font>
    <font>
      <b/>
      <sz val="10"/>
      <name val="Arial"/>
      <family val="2"/>
    </font>
    <font>
      <b/>
      <sz val="14"/>
      <name val="Arial"/>
      <family val="2"/>
    </font>
    <font>
      <sz val="14"/>
      <name val="Arial"/>
      <family val="2"/>
    </font>
    <font>
      <sz val="10"/>
      <color indexed="18"/>
      <name val="Arial"/>
      <family val="2"/>
    </font>
    <font>
      <b/>
      <sz val="10"/>
      <color indexed="8"/>
      <name val="Arial"/>
      <family val="2"/>
    </font>
    <font>
      <b/>
      <i/>
      <sz val="9"/>
      <color indexed="9"/>
      <name val="Arial"/>
      <family val="2"/>
    </font>
    <font>
      <b/>
      <sz val="14"/>
      <name val="Calibri"/>
      <family val="2"/>
      <scheme val="minor"/>
    </font>
    <font>
      <b/>
      <i/>
      <sz val="9"/>
      <name val="Arial"/>
      <family val="2"/>
    </font>
    <font>
      <sz val="11"/>
      <color rgb="FF000000"/>
      <name val="Calibri"/>
      <family val="2"/>
    </font>
  </fonts>
  <fills count="6">
    <fill>
      <patternFill patternType="none"/>
    </fill>
    <fill>
      <patternFill patternType="gray125"/>
    </fill>
    <fill>
      <patternFill patternType="solid">
        <fgColor theme="4" tint="0.59996337778862885"/>
        <bgColor indexed="64"/>
      </patternFill>
    </fill>
    <fill>
      <patternFill patternType="solid">
        <fgColor theme="5" tint="0.39994506668294322"/>
        <bgColor indexed="64"/>
      </patternFill>
    </fill>
    <fill>
      <patternFill patternType="solid">
        <fgColor theme="0" tint="-0.24994659260841701"/>
        <bgColor indexed="64"/>
      </patternFill>
    </fill>
    <fill>
      <patternFill patternType="solid">
        <fgColor theme="0"/>
        <bgColor indexed="64"/>
      </patternFill>
    </fill>
  </fills>
  <borders count="14">
    <border>
      <left/>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diagonal/>
    </border>
    <border>
      <left style="medium">
        <color indexed="64"/>
      </left>
      <right/>
      <top style="medium">
        <color indexed="64"/>
      </top>
      <bottom/>
      <diagonal/>
    </border>
  </borders>
  <cellStyleXfs count="2">
    <xf numFmtId="0" fontId="0" fillId="0" borderId="0"/>
    <xf numFmtId="9" fontId="2" fillId="0" borderId="0" applyFont="0" applyFill="0" applyBorder="0" applyAlignment="0" applyProtection="0"/>
  </cellStyleXfs>
  <cellXfs count="46">
    <xf numFmtId="0" fontId="0" fillId="0" borderId="0" xfId="0"/>
    <xf numFmtId="0" fontId="1" fillId="0" borderId="0" xfId="0" applyFont="1"/>
    <xf numFmtId="6" fontId="0" fillId="0" borderId="0" xfId="0" applyNumberFormat="1"/>
    <xf numFmtId="0" fontId="0" fillId="0" borderId="0" xfId="0" applyAlignment="1">
      <alignment horizontal="right"/>
    </xf>
    <xf numFmtId="0" fontId="0" fillId="0" borderId="0" xfId="0" applyBorder="1"/>
    <xf numFmtId="0" fontId="0" fillId="0" borderId="0" xfId="0" applyAlignment="1">
      <alignment horizontal="center"/>
    </xf>
    <xf numFmtId="9" fontId="0" fillId="0" borderId="0" xfId="0" applyNumberFormat="1" applyBorder="1"/>
    <xf numFmtId="0" fontId="0" fillId="0" borderId="0" xfId="0" applyFill="1"/>
    <xf numFmtId="6" fontId="0" fillId="2" borderId="0" xfId="0" applyNumberFormat="1" applyFill="1" applyBorder="1"/>
    <xf numFmtId="0" fontId="0" fillId="2" borderId="0" xfId="0" applyFill="1" applyBorder="1"/>
    <xf numFmtId="9" fontId="0" fillId="2" borderId="0" xfId="0" applyNumberFormat="1" applyFill="1" applyBorder="1"/>
    <xf numFmtId="164" fontId="0" fillId="2" borderId="0" xfId="0" applyNumberFormat="1" applyFill="1" applyBorder="1"/>
    <xf numFmtId="2" fontId="0" fillId="3" borderId="0" xfId="0" applyNumberFormat="1" applyFill="1" applyBorder="1"/>
    <xf numFmtId="6" fontId="0" fillId="4" borderId="0" xfId="0" applyNumberFormat="1" applyFill="1" applyBorder="1"/>
    <xf numFmtId="0" fontId="4" fillId="5" borderId="0" xfId="0" applyFont="1" applyFill="1"/>
    <xf numFmtId="0" fontId="5" fillId="5" borderId="0" xfId="0" applyFont="1" applyFill="1"/>
    <xf numFmtId="0" fontId="0" fillId="5" borderId="0" xfId="0" applyFill="1"/>
    <xf numFmtId="0" fontId="3" fillId="5" borderId="0" xfId="0" applyFont="1" applyFill="1"/>
    <xf numFmtId="0" fontId="6" fillId="5" borderId="4" xfId="0" applyFont="1" applyFill="1" applyBorder="1" applyAlignment="1"/>
    <xf numFmtId="0" fontId="10" fillId="5" borderId="8" xfId="0" applyFont="1" applyFill="1" applyBorder="1" applyAlignment="1">
      <alignment horizontal="right"/>
    </xf>
    <xf numFmtId="0" fontId="10" fillId="5" borderId="9" xfId="0" applyFont="1" applyFill="1" applyBorder="1" applyAlignment="1">
      <alignment horizontal="right"/>
    </xf>
    <xf numFmtId="0" fontId="7" fillId="5" borderId="1" xfId="0" applyFont="1" applyFill="1" applyBorder="1" applyAlignment="1">
      <alignment horizontal="left"/>
    </xf>
    <xf numFmtId="0" fontId="6" fillId="5" borderId="0" xfId="0" applyFont="1" applyFill="1" applyBorder="1" applyAlignment="1"/>
    <xf numFmtId="165" fontId="6" fillId="5" borderId="2" xfId="0" applyNumberFormat="1" applyFont="1" applyFill="1" applyBorder="1" applyAlignment="1"/>
    <xf numFmtId="165" fontId="6" fillId="5" borderId="0" xfId="0" applyNumberFormat="1" applyFont="1" applyFill="1" applyBorder="1" applyAlignment="1"/>
    <xf numFmtId="0" fontId="7" fillId="5" borderId="7" xfId="0" applyFont="1" applyFill="1" applyBorder="1" applyAlignment="1">
      <alignment horizontal="left"/>
    </xf>
    <xf numFmtId="0" fontId="6" fillId="5" borderId="5" xfId="0" applyFont="1" applyFill="1" applyBorder="1" applyAlignment="1"/>
    <xf numFmtId="165" fontId="6" fillId="5" borderId="6" xfId="0" applyNumberFormat="1" applyFont="1" applyFill="1" applyBorder="1" applyAlignment="1"/>
    <xf numFmtId="165" fontId="6" fillId="5" borderId="5" xfId="0" applyNumberFormat="1" applyFont="1" applyFill="1" applyBorder="1" applyAlignment="1"/>
    <xf numFmtId="0" fontId="8" fillId="5" borderId="4" xfId="0" applyFont="1" applyFill="1" applyBorder="1" applyAlignment="1">
      <alignment horizontal="right"/>
    </xf>
    <xf numFmtId="0" fontId="6" fillId="5" borderId="1" xfId="0" applyFont="1" applyFill="1" applyBorder="1" applyAlignment="1"/>
    <xf numFmtId="2" fontId="6" fillId="5" borderId="0" xfId="0" applyNumberFormat="1" applyFont="1" applyFill="1" applyBorder="1" applyAlignment="1"/>
    <xf numFmtId="2" fontId="6" fillId="5" borderId="2" xfId="0" applyNumberFormat="1" applyFont="1" applyFill="1" applyBorder="1" applyAlignment="1"/>
    <xf numFmtId="0" fontId="6" fillId="5" borderId="3" xfId="0" applyFont="1" applyFill="1" applyBorder="1" applyAlignment="1"/>
    <xf numFmtId="2" fontId="6" fillId="5" borderId="10" xfId="0" applyNumberFormat="1" applyFont="1" applyFill="1" applyBorder="1" applyAlignment="1"/>
    <xf numFmtId="2" fontId="6" fillId="5" borderId="11" xfId="0" applyNumberFormat="1" applyFont="1" applyFill="1" applyBorder="1" applyAlignment="1"/>
    <xf numFmtId="2" fontId="6" fillId="5" borderId="0" xfId="0" applyNumberFormat="1" applyFont="1" applyFill="1" applyBorder="1" applyAlignment="1">
      <alignment horizontal="right"/>
    </xf>
    <xf numFmtId="10" fontId="6" fillId="5" borderId="0" xfId="1" applyNumberFormat="1" applyFont="1" applyFill="1" applyBorder="1" applyAlignment="1">
      <alignment horizontal="right"/>
    </xf>
    <xf numFmtId="10" fontId="6" fillId="5" borderId="2" xfId="1" applyNumberFormat="1" applyFont="1" applyFill="1" applyBorder="1" applyAlignment="1"/>
    <xf numFmtId="2" fontId="6" fillId="5" borderId="10" xfId="0" applyNumberFormat="1" applyFont="1" applyFill="1" applyBorder="1" applyAlignment="1">
      <alignment horizontal="right"/>
    </xf>
    <xf numFmtId="10" fontId="6" fillId="5" borderId="10" xfId="1" applyNumberFormat="1" applyFont="1" applyFill="1" applyBorder="1" applyAlignment="1">
      <alignment horizontal="right"/>
    </xf>
    <xf numFmtId="10" fontId="6" fillId="5" borderId="11" xfId="1" applyNumberFormat="1" applyFont="1" applyFill="1" applyBorder="1" applyAlignment="1"/>
    <xf numFmtId="165" fontId="0" fillId="5" borderId="0" xfId="0" applyNumberFormat="1" applyFill="1"/>
    <xf numFmtId="0" fontId="7" fillId="5" borderId="13" xfId="0" applyFont="1" applyFill="1" applyBorder="1" applyAlignment="1">
      <alignment horizontal="left"/>
    </xf>
    <xf numFmtId="165" fontId="6" fillId="5" borderId="12" xfId="0" applyNumberFormat="1" applyFont="1" applyFill="1" applyBorder="1" applyAlignment="1"/>
    <xf numFmtId="0" fontId="9" fillId="0" borderId="0" xfId="0" applyFont="1" applyFill="1" applyAlignment="1">
      <alignment horizontal="center"/>
    </xf>
  </cellXfs>
  <cellStyles count="2">
    <cellStyle name="Normal" xfId="0" builtinId="0" customBuiltin="1"/>
    <cellStyle name="Percent" xfId="1"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hartsheet" Target="chartsheets/sheet5.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chartsheet" Target="chartsheets/sheet4.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hartsheet" Target="chartsheets/sheet3.xml"/><Relationship Id="rId11" Type="http://schemas.openxmlformats.org/officeDocument/2006/relationships/theme" Target="theme/theme1.xml"/><Relationship Id="rId5" Type="http://schemas.openxmlformats.org/officeDocument/2006/relationships/chartsheet" Target="chartsheets/sheet2.xml"/><Relationship Id="rId15" Type="http://schemas.microsoft.com/office/2006/relationships/vbaProject" Target="vbaProject.bin"/><Relationship Id="rId10" Type="http://schemas.openxmlformats.org/officeDocument/2006/relationships/chartsheet" Target="chartsheets/sheet7.xml"/><Relationship Id="rId4" Type="http://schemas.openxmlformats.org/officeDocument/2006/relationships/chartsheet" Target="chartsheets/sheet1.xml"/><Relationship Id="rId9" Type="http://schemas.openxmlformats.org/officeDocument/2006/relationships/chartsheet" Target="chartsheets/sheet6.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Gallons of Crudes Purchased</a:t>
            </a:r>
          </a:p>
        </c:rich>
      </c:tx>
      <c:layout>
        <c:manualLayout>
          <c:xMode val="edge"/>
          <c:yMode val="edge"/>
          <c:x val="0.37180910099889075"/>
          <c:y val="1.9575856443719442E-2"/>
        </c:manualLayout>
      </c:layout>
      <c:overlay val="0"/>
      <c:spPr>
        <a:noFill/>
        <a:ln w="25400">
          <a:noFill/>
        </a:ln>
      </c:spPr>
    </c:title>
    <c:autoTitleDeleted val="0"/>
    <c:view3D>
      <c:rotX val="15"/>
      <c:hPercent val="68"/>
      <c:rotY val="20"/>
      <c:depthPercent val="100"/>
      <c:rAngAx val="1"/>
    </c:view3D>
    <c:floor>
      <c:thickness val="0"/>
      <c:spPr>
        <a:solidFill>
          <a:srgbClr val="C0C0C0"/>
        </a:solidFill>
        <a:ln w="3175">
          <a:solidFill>
            <a:srgbClr val="000000"/>
          </a:solidFill>
          <a:prstDash val="solid"/>
        </a:ln>
      </c:spPr>
    </c:floor>
    <c:sideWall>
      <c:thickness val="0"/>
      <c:spPr>
        <a:solidFill>
          <a:srgbClr val="C0C0C0"/>
        </a:solidFill>
        <a:ln w="12700">
          <a:solidFill>
            <a:srgbClr val="808080"/>
          </a:solidFill>
          <a:prstDash val="solid"/>
        </a:ln>
      </c:spPr>
    </c:sideWall>
    <c:backWall>
      <c:thickness val="0"/>
      <c:spPr>
        <a:solidFill>
          <a:srgbClr val="C0C0C0"/>
        </a:solidFill>
        <a:ln w="12700">
          <a:solidFill>
            <a:srgbClr val="808080"/>
          </a:solidFill>
          <a:prstDash val="solid"/>
        </a:ln>
      </c:spPr>
    </c:backWall>
    <c:plotArea>
      <c:layout>
        <c:manualLayout>
          <c:layoutTarget val="inner"/>
          <c:xMode val="edge"/>
          <c:yMode val="edge"/>
          <c:x val="5.327413984461709E-2"/>
          <c:y val="0.10277324632952703"/>
          <c:w val="0.83906770255271923"/>
          <c:h val="0.83197389885807604"/>
        </c:manualLayout>
      </c:layout>
      <c:bar3DChart>
        <c:barDir val="col"/>
        <c:grouping val="clustered"/>
        <c:varyColors val="0"/>
        <c:ser>
          <c:idx val="0"/>
          <c:order val="0"/>
          <c:tx>
            <c:strRef>
              <c:f>Report!$C$4</c:f>
              <c:strCache>
                <c:ptCount val="1"/>
                <c:pt idx="0">
                  <c:v>Purchased</c:v>
                </c:pt>
              </c:strCache>
            </c:strRef>
          </c:tx>
          <c:spPr>
            <a:solidFill>
              <a:srgbClr val="8080FF"/>
            </a:solidFill>
            <a:ln w="12700">
              <a:solidFill>
                <a:srgbClr val="000000"/>
              </a:solidFill>
              <a:prstDash val="solid"/>
            </a:ln>
          </c:spPr>
          <c:invertIfNegative val="0"/>
          <c:cat>
            <c:strRef>
              <c:f>Report!$B$5:$B$7</c:f>
              <c:strCache>
                <c:ptCount val="3"/>
                <c:pt idx="0">
                  <c:v>Crude 1</c:v>
                </c:pt>
                <c:pt idx="1">
                  <c:v>Crude 2</c:v>
                </c:pt>
                <c:pt idx="2">
                  <c:v>Crude 3</c:v>
                </c:pt>
              </c:strCache>
            </c:strRef>
          </c:cat>
          <c:val>
            <c:numRef>
              <c:f>Report!$C$5:$C$7</c:f>
              <c:numCache>
                <c:formatCode>General</c:formatCode>
                <c:ptCount val="3"/>
                <c:pt idx="0">
                  <c:v>1500.0000000000002</c:v>
                </c:pt>
                <c:pt idx="1">
                  <c:v>4300</c:v>
                </c:pt>
                <c:pt idx="2">
                  <c:v>200.00000000000006</c:v>
                </c:pt>
              </c:numCache>
            </c:numRef>
          </c:val>
        </c:ser>
        <c:ser>
          <c:idx val="1"/>
          <c:order val="1"/>
          <c:tx>
            <c:strRef>
              <c:f>Report!$D$4</c:f>
              <c:strCache>
                <c:ptCount val="1"/>
                <c:pt idx="0">
                  <c:v>Available</c:v>
                </c:pt>
              </c:strCache>
            </c:strRef>
          </c:tx>
          <c:spPr>
            <a:solidFill>
              <a:srgbClr val="802060"/>
            </a:solidFill>
            <a:ln w="12700">
              <a:solidFill>
                <a:srgbClr val="000000"/>
              </a:solidFill>
              <a:prstDash val="solid"/>
            </a:ln>
          </c:spPr>
          <c:invertIfNegative val="0"/>
          <c:cat>
            <c:strRef>
              <c:f>Report!$B$5:$B$7</c:f>
              <c:strCache>
                <c:ptCount val="3"/>
                <c:pt idx="0">
                  <c:v>Crude 1</c:v>
                </c:pt>
                <c:pt idx="1">
                  <c:v>Crude 2</c:v>
                </c:pt>
                <c:pt idx="2">
                  <c:v>Crude 3</c:v>
                </c:pt>
              </c:strCache>
            </c:strRef>
          </c:cat>
          <c:val>
            <c:numRef>
              <c:f>Report!$D$5:$D$7</c:f>
              <c:numCache>
                <c:formatCode>General</c:formatCode>
                <c:ptCount val="3"/>
                <c:pt idx="0">
                  <c:v>5000</c:v>
                </c:pt>
                <c:pt idx="1">
                  <c:v>5000</c:v>
                </c:pt>
                <c:pt idx="2">
                  <c:v>5000</c:v>
                </c:pt>
              </c:numCache>
            </c:numRef>
          </c:val>
        </c:ser>
        <c:dLbls>
          <c:showLegendKey val="0"/>
          <c:showVal val="0"/>
          <c:showCatName val="0"/>
          <c:showSerName val="0"/>
          <c:showPercent val="0"/>
          <c:showBubbleSize val="0"/>
        </c:dLbls>
        <c:gapWidth val="150"/>
        <c:shape val="box"/>
        <c:axId val="613291464"/>
        <c:axId val="613299696"/>
        <c:axId val="0"/>
      </c:bar3DChart>
      <c:catAx>
        <c:axId val="61329146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13299696"/>
        <c:crosses val="autoZero"/>
        <c:auto val="1"/>
        <c:lblAlgn val="ctr"/>
        <c:lblOffset val="100"/>
        <c:tickLblSkip val="1"/>
        <c:tickMarkSkip val="1"/>
        <c:noMultiLvlLbl val="0"/>
      </c:catAx>
      <c:valAx>
        <c:axId val="613299696"/>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13291464"/>
        <c:crosses val="autoZero"/>
        <c:crossBetween val="between"/>
      </c:valAx>
      <c:spPr>
        <a:noFill/>
        <a:ln w="25400">
          <a:noFill/>
        </a:ln>
      </c:spPr>
    </c:plotArea>
    <c:legend>
      <c:legendPos val="r"/>
      <c:layout>
        <c:manualLayout>
          <c:xMode val="edge"/>
          <c:yMode val="edge"/>
          <c:x val="0.9045504994450605"/>
          <c:y val="0.50897226753670477"/>
          <c:w val="9.1009988901220862E-2"/>
          <c:h val="7.01468189233279E-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Gallons of Gasolines Produced</a:t>
            </a:r>
          </a:p>
        </c:rich>
      </c:tx>
      <c:layout>
        <c:manualLayout>
          <c:xMode val="edge"/>
          <c:yMode val="edge"/>
          <c:x val="0.36514983351831293"/>
          <c:y val="1.9575856443719442E-2"/>
        </c:manualLayout>
      </c:layout>
      <c:overlay val="0"/>
      <c:spPr>
        <a:noFill/>
        <a:ln w="25400">
          <a:noFill/>
        </a:ln>
      </c:spPr>
    </c:title>
    <c:autoTitleDeleted val="0"/>
    <c:view3D>
      <c:rotX val="15"/>
      <c:hPercent val="67"/>
      <c:rotY val="20"/>
      <c:depthPercent val="100"/>
      <c:rAngAx val="1"/>
    </c:view3D>
    <c:floor>
      <c:thickness val="0"/>
      <c:spPr>
        <a:solidFill>
          <a:srgbClr val="C0C0C0"/>
        </a:solidFill>
        <a:ln w="3175">
          <a:solidFill>
            <a:srgbClr val="000000"/>
          </a:solidFill>
          <a:prstDash val="solid"/>
        </a:ln>
      </c:spPr>
    </c:floor>
    <c:sideWall>
      <c:thickness val="0"/>
      <c:spPr>
        <a:solidFill>
          <a:srgbClr val="C0C0C0"/>
        </a:solidFill>
        <a:ln w="12700">
          <a:solidFill>
            <a:srgbClr val="808080"/>
          </a:solidFill>
          <a:prstDash val="solid"/>
        </a:ln>
      </c:spPr>
    </c:sideWall>
    <c:backWall>
      <c:thickness val="0"/>
      <c:spPr>
        <a:solidFill>
          <a:srgbClr val="C0C0C0"/>
        </a:solidFill>
        <a:ln w="12700">
          <a:solidFill>
            <a:srgbClr val="808080"/>
          </a:solidFill>
          <a:prstDash val="solid"/>
        </a:ln>
      </c:spPr>
    </c:backWall>
    <c:plotArea>
      <c:layout>
        <c:manualLayout>
          <c:layoutTarget val="inner"/>
          <c:xMode val="edge"/>
          <c:yMode val="edge"/>
          <c:x val="5.327413984461709E-2"/>
          <c:y val="0.10277324632952703"/>
          <c:w val="0.84683684794672587"/>
          <c:h val="0.83197389885807604"/>
        </c:manualLayout>
      </c:layout>
      <c:bar3DChart>
        <c:barDir val="col"/>
        <c:grouping val="clustered"/>
        <c:varyColors val="0"/>
        <c:ser>
          <c:idx val="0"/>
          <c:order val="0"/>
          <c:tx>
            <c:strRef>
              <c:f>Report!$H$4</c:f>
              <c:strCache>
                <c:ptCount val="1"/>
                <c:pt idx="0">
                  <c:v>Produced</c:v>
                </c:pt>
              </c:strCache>
            </c:strRef>
          </c:tx>
          <c:spPr>
            <a:solidFill>
              <a:srgbClr val="8080FF"/>
            </a:solidFill>
            <a:ln w="12700">
              <a:solidFill>
                <a:srgbClr val="000000"/>
              </a:solidFill>
              <a:prstDash val="solid"/>
            </a:ln>
          </c:spPr>
          <c:invertIfNegative val="0"/>
          <c:cat>
            <c:strRef>
              <c:f>Report!$G$5:$G$7</c:f>
              <c:strCache>
                <c:ptCount val="3"/>
                <c:pt idx="0">
                  <c:v>Gas 1</c:v>
                </c:pt>
                <c:pt idx="1">
                  <c:v>Gas 2</c:v>
                </c:pt>
                <c:pt idx="2">
                  <c:v>Gas 3</c:v>
                </c:pt>
              </c:strCache>
            </c:strRef>
          </c:cat>
          <c:val>
            <c:numRef>
              <c:f>Report!$H$5:$H$7</c:f>
              <c:numCache>
                <c:formatCode>General</c:formatCode>
                <c:ptCount val="3"/>
                <c:pt idx="0">
                  <c:v>3000.0000000000005</c:v>
                </c:pt>
                <c:pt idx="1">
                  <c:v>2000</c:v>
                </c:pt>
                <c:pt idx="2">
                  <c:v>1000.0000000000002</c:v>
                </c:pt>
              </c:numCache>
            </c:numRef>
          </c:val>
        </c:ser>
        <c:ser>
          <c:idx val="1"/>
          <c:order val="1"/>
          <c:tx>
            <c:strRef>
              <c:f>Report!$I$4</c:f>
              <c:strCache>
                <c:ptCount val="1"/>
                <c:pt idx="0">
                  <c:v>Demand</c:v>
                </c:pt>
              </c:strCache>
            </c:strRef>
          </c:tx>
          <c:spPr>
            <a:solidFill>
              <a:srgbClr val="802060"/>
            </a:solidFill>
            <a:ln w="12700">
              <a:solidFill>
                <a:srgbClr val="000000"/>
              </a:solidFill>
              <a:prstDash val="solid"/>
            </a:ln>
          </c:spPr>
          <c:invertIfNegative val="0"/>
          <c:cat>
            <c:strRef>
              <c:f>Report!$G$5:$G$7</c:f>
              <c:strCache>
                <c:ptCount val="3"/>
                <c:pt idx="0">
                  <c:v>Gas 1</c:v>
                </c:pt>
                <c:pt idx="1">
                  <c:v>Gas 2</c:v>
                </c:pt>
                <c:pt idx="2">
                  <c:v>Gas 3</c:v>
                </c:pt>
              </c:strCache>
            </c:strRef>
          </c:cat>
          <c:val>
            <c:numRef>
              <c:f>Report!$I$5:$I$7</c:f>
              <c:numCache>
                <c:formatCode>General</c:formatCode>
                <c:ptCount val="3"/>
                <c:pt idx="0">
                  <c:v>3000</c:v>
                </c:pt>
                <c:pt idx="1">
                  <c:v>2000</c:v>
                </c:pt>
                <c:pt idx="2">
                  <c:v>1000</c:v>
                </c:pt>
              </c:numCache>
            </c:numRef>
          </c:val>
        </c:ser>
        <c:dLbls>
          <c:showLegendKey val="0"/>
          <c:showVal val="0"/>
          <c:showCatName val="0"/>
          <c:showSerName val="0"/>
          <c:showPercent val="0"/>
          <c:showBubbleSize val="0"/>
        </c:dLbls>
        <c:gapWidth val="150"/>
        <c:shape val="box"/>
        <c:axId val="613302048"/>
        <c:axId val="613308320"/>
        <c:axId val="0"/>
      </c:bar3DChart>
      <c:catAx>
        <c:axId val="61330204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13308320"/>
        <c:crosses val="autoZero"/>
        <c:auto val="1"/>
        <c:lblAlgn val="ctr"/>
        <c:lblOffset val="100"/>
        <c:tickLblSkip val="1"/>
        <c:tickMarkSkip val="1"/>
        <c:noMultiLvlLbl val="0"/>
      </c:catAx>
      <c:valAx>
        <c:axId val="613308320"/>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13302048"/>
        <c:crosses val="autoZero"/>
        <c:crossBetween val="between"/>
      </c:valAx>
      <c:spPr>
        <a:noFill/>
        <a:ln w="25400">
          <a:noFill/>
        </a:ln>
      </c:spPr>
    </c:plotArea>
    <c:legend>
      <c:legendPos val="r"/>
      <c:layout>
        <c:manualLayout>
          <c:xMode val="edge"/>
          <c:yMode val="edge"/>
          <c:x val="0.91231964483906758"/>
          <c:y val="0.50897226753670477"/>
          <c:w val="8.3240843507214266E-2"/>
          <c:h val="7.01468189233279E-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Crude Purchase Costs</a:t>
            </a:r>
          </a:p>
        </c:rich>
      </c:tx>
      <c:layout>
        <c:manualLayout>
          <c:xMode val="edge"/>
          <c:yMode val="edge"/>
          <c:x val="0.40066592674805784"/>
          <c:y val="1.9575856443719442E-2"/>
        </c:manualLayout>
      </c:layout>
      <c:overlay val="0"/>
      <c:spPr>
        <a:noFill/>
        <a:ln w="25400">
          <a:noFill/>
        </a:ln>
      </c:spPr>
    </c:title>
    <c:autoTitleDeleted val="0"/>
    <c:view3D>
      <c:rotX val="15"/>
      <c:hPercent val="61"/>
      <c:rotY val="20"/>
      <c:depthPercent val="100"/>
      <c:rAngAx val="1"/>
    </c:view3D>
    <c:floor>
      <c:thickness val="0"/>
      <c:spPr>
        <a:solidFill>
          <a:srgbClr val="C0C0C0"/>
        </a:solidFill>
        <a:ln w="3175">
          <a:solidFill>
            <a:srgbClr val="000000"/>
          </a:solidFill>
          <a:prstDash val="solid"/>
        </a:ln>
      </c:spPr>
    </c:floor>
    <c:sideWall>
      <c:thickness val="0"/>
      <c:spPr>
        <a:solidFill>
          <a:srgbClr val="C0C0C0"/>
        </a:solidFill>
        <a:ln w="12700">
          <a:solidFill>
            <a:srgbClr val="808080"/>
          </a:solidFill>
          <a:prstDash val="solid"/>
        </a:ln>
      </c:spPr>
    </c:sideWall>
    <c:backWall>
      <c:thickness val="0"/>
      <c:spPr>
        <a:solidFill>
          <a:srgbClr val="C0C0C0"/>
        </a:solidFill>
        <a:ln w="12700">
          <a:solidFill>
            <a:srgbClr val="808080"/>
          </a:solidFill>
          <a:prstDash val="solid"/>
        </a:ln>
      </c:spPr>
    </c:backWall>
    <c:plotArea>
      <c:layout>
        <c:manualLayout>
          <c:layoutTarget val="inner"/>
          <c:xMode val="edge"/>
          <c:yMode val="edge"/>
          <c:x val="8.1021087680355153E-2"/>
          <c:y val="0.10277324632952703"/>
          <c:w val="0.90788013318534966"/>
          <c:h val="0.83197389885807604"/>
        </c:manualLayout>
      </c:layout>
      <c:bar3DChart>
        <c:barDir val="col"/>
        <c:grouping val="clustered"/>
        <c:varyColors val="0"/>
        <c:ser>
          <c:idx val="0"/>
          <c:order val="0"/>
          <c:spPr>
            <a:solidFill>
              <a:srgbClr val="8080FF"/>
            </a:solidFill>
            <a:ln w="12700">
              <a:solidFill>
                <a:srgbClr val="000000"/>
              </a:solidFill>
              <a:prstDash val="solid"/>
            </a:ln>
          </c:spPr>
          <c:invertIfNegative val="0"/>
          <c:dLbls>
            <c:delete val="1"/>
          </c:dLbls>
          <c:cat>
            <c:strRef>
              <c:f>Report!$B$5:$B$7</c:f>
              <c:strCache>
                <c:ptCount val="3"/>
                <c:pt idx="0">
                  <c:v>Crude 1</c:v>
                </c:pt>
                <c:pt idx="1">
                  <c:v>Crude 2</c:v>
                </c:pt>
                <c:pt idx="2">
                  <c:v>Crude 3</c:v>
                </c:pt>
              </c:strCache>
            </c:strRef>
          </c:cat>
          <c:val>
            <c:numRef>
              <c:f>Report!$E$5:$E$7</c:f>
              <c:numCache>
                <c:formatCode>"$"#,##0;\-"$"#,##0</c:formatCode>
                <c:ptCount val="3"/>
                <c:pt idx="0">
                  <c:v>82500.000000000015</c:v>
                </c:pt>
                <c:pt idx="1">
                  <c:v>150500</c:v>
                </c:pt>
                <c:pt idx="2">
                  <c:v>5000.0000000000018</c:v>
                </c:pt>
              </c:numCache>
            </c:numRef>
          </c:val>
        </c:ser>
        <c:dLbls>
          <c:showLegendKey val="0"/>
          <c:showVal val="1"/>
          <c:showCatName val="0"/>
          <c:showSerName val="0"/>
          <c:showPercent val="0"/>
          <c:showBubbleSize val="0"/>
        </c:dLbls>
        <c:gapWidth val="150"/>
        <c:shape val="box"/>
        <c:axId val="563943688"/>
        <c:axId val="563953096"/>
        <c:axId val="0"/>
      </c:bar3DChart>
      <c:catAx>
        <c:axId val="56394368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63953096"/>
        <c:crosses val="autoZero"/>
        <c:auto val="1"/>
        <c:lblAlgn val="ctr"/>
        <c:lblOffset val="100"/>
        <c:tickLblSkip val="1"/>
        <c:tickMarkSkip val="1"/>
        <c:noMultiLvlLbl val="0"/>
      </c:catAx>
      <c:valAx>
        <c:axId val="563953096"/>
        <c:scaling>
          <c:orientation val="minMax"/>
        </c:scaling>
        <c:delete val="0"/>
        <c:axPos val="l"/>
        <c:majorGridlines>
          <c:spPr>
            <a:ln w="3175">
              <a:solidFill>
                <a:srgbClr val="000000"/>
              </a:solidFill>
              <a:prstDash val="solid"/>
            </a:ln>
          </c:spPr>
        </c:majorGridlines>
        <c:numFmt formatCode="&quot;$&quot;#,##0;\-&quot;$&quot;#,##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63943688"/>
        <c:crosses val="autoZero"/>
        <c:crossBetween val="between"/>
      </c:valAx>
      <c:spPr>
        <a:noFill/>
        <a:ln w="25400">
          <a:noFill/>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Production Costs, Revenues from Gasolines</a:t>
            </a:r>
          </a:p>
        </c:rich>
      </c:tx>
      <c:layout>
        <c:manualLayout>
          <c:xMode val="edge"/>
          <c:yMode val="edge"/>
          <c:x val="0.30854605993340772"/>
          <c:y val="1.9575856443719442E-2"/>
        </c:manualLayout>
      </c:layout>
      <c:overlay val="0"/>
      <c:spPr>
        <a:noFill/>
        <a:ln w="25400">
          <a:noFill/>
        </a:ln>
      </c:spPr>
    </c:title>
    <c:autoTitleDeleted val="0"/>
    <c:view3D>
      <c:rotX val="15"/>
      <c:hPercent val="70"/>
      <c:rotY val="20"/>
      <c:depthPercent val="100"/>
      <c:rAngAx val="1"/>
    </c:view3D>
    <c:floor>
      <c:thickness val="0"/>
      <c:spPr>
        <a:solidFill>
          <a:srgbClr val="C0C0C0"/>
        </a:solidFill>
        <a:ln w="3175">
          <a:solidFill>
            <a:srgbClr val="000000"/>
          </a:solidFill>
          <a:prstDash val="solid"/>
        </a:ln>
      </c:spPr>
    </c:floor>
    <c:sideWall>
      <c:thickness val="0"/>
      <c:spPr>
        <a:solidFill>
          <a:srgbClr val="C0C0C0"/>
        </a:solidFill>
        <a:ln w="12700">
          <a:solidFill>
            <a:srgbClr val="808080"/>
          </a:solidFill>
          <a:prstDash val="solid"/>
        </a:ln>
      </c:spPr>
    </c:sideWall>
    <c:backWall>
      <c:thickness val="0"/>
      <c:spPr>
        <a:solidFill>
          <a:srgbClr val="C0C0C0"/>
        </a:solidFill>
        <a:ln w="12700">
          <a:solidFill>
            <a:srgbClr val="808080"/>
          </a:solidFill>
          <a:prstDash val="solid"/>
        </a:ln>
      </c:spPr>
    </c:backWall>
    <c:plotArea>
      <c:layout>
        <c:manualLayout>
          <c:layoutTarget val="inner"/>
          <c:xMode val="edge"/>
          <c:yMode val="edge"/>
          <c:x val="8.1021087680355153E-2"/>
          <c:y val="0.10277324632952703"/>
          <c:w val="0.77913429522752564"/>
          <c:h val="0.83197389885807604"/>
        </c:manualLayout>
      </c:layout>
      <c:bar3DChart>
        <c:barDir val="col"/>
        <c:grouping val="clustered"/>
        <c:varyColors val="0"/>
        <c:ser>
          <c:idx val="0"/>
          <c:order val="0"/>
          <c:tx>
            <c:strRef>
              <c:f>Report!$J$4</c:f>
              <c:strCache>
                <c:ptCount val="1"/>
                <c:pt idx="0">
                  <c:v>Production cost</c:v>
                </c:pt>
              </c:strCache>
            </c:strRef>
          </c:tx>
          <c:spPr>
            <a:solidFill>
              <a:srgbClr val="8080FF"/>
            </a:solidFill>
            <a:ln w="12700">
              <a:solidFill>
                <a:srgbClr val="000000"/>
              </a:solidFill>
              <a:prstDash val="solid"/>
            </a:ln>
          </c:spPr>
          <c:invertIfNegative val="0"/>
          <c:cat>
            <c:strRef>
              <c:f>Report!$G$5:$G$7</c:f>
              <c:strCache>
                <c:ptCount val="3"/>
                <c:pt idx="0">
                  <c:v>Gas 1</c:v>
                </c:pt>
                <c:pt idx="1">
                  <c:v>Gas 2</c:v>
                </c:pt>
                <c:pt idx="2">
                  <c:v>Gas 3</c:v>
                </c:pt>
              </c:strCache>
            </c:strRef>
          </c:cat>
          <c:val>
            <c:numRef>
              <c:f>Report!$J$5:$J$7</c:f>
              <c:numCache>
                <c:formatCode>"$"#,##0;\-"$"#,##0</c:formatCode>
                <c:ptCount val="3"/>
                <c:pt idx="0">
                  <c:v>15000.000000000002</c:v>
                </c:pt>
                <c:pt idx="1">
                  <c:v>10000</c:v>
                </c:pt>
                <c:pt idx="2">
                  <c:v>5000.0000000000009</c:v>
                </c:pt>
              </c:numCache>
            </c:numRef>
          </c:val>
        </c:ser>
        <c:ser>
          <c:idx val="1"/>
          <c:order val="1"/>
          <c:tx>
            <c:strRef>
              <c:f>Report!$K$4</c:f>
              <c:strCache>
                <c:ptCount val="1"/>
                <c:pt idx="0">
                  <c:v>Revenue</c:v>
                </c:pt>
              </c:strCache>
            </c:strRef>
          </c:tx>
          <c:spPr>
            <a:solidFill>
              <a:srgbClr val="802060"/>
            </a:solidFill>
            <a:ln w="12700">
              <a:solidFill>
                <a:srgbClr val="000000"/>
              </a:solidFill>
              <a:prstDash val="solid"/>
            </a:ln>
          </c:spPr>
          <c:invertIfNegative val="0"/>
          <c:cat>
            <c:strRef>
              <c:f>Report!$G$5:$G$7</c:f>
              <c:strCache>
                <c:ptCount val="3"/>
                <c:pt idx="0">
                  <c:v>Gas 1</c:v>
                </c:pt>
                <c:pt idx="1">
                  <c:v>Gas 2</c:v>
                </c:pt>
                <c:pt idx="2">
                  <c:v>Gas 3</c:v>
                </c:pt>
              </c:strCache>
            </c:strRef>
          </c:cat>
          <c:val>
            <c:numRef>
              <c:f>Report!$K$5:$K$7</c:f>
              <c:numCache>
                <c:formatCode>"$"#,##0;\-"$"#,##0</c:formatCode>
                <c:ptCount val="3"/>
                <c:pt idx="0">
                  <c:v>210000.00000000003</c:v>
                </c:pt>
                <c:pt idx="1">
                  <c:v>120000</c:v>
                </c:pt>
                <c:pt idx="2">
                  <c:v>75000.000000000015</c:v>
                </c:pt>
              </c:numCache>
            </c:numRef>
          </c:val>
        </c:ser>
        <c:dLbls>
          <c:showLegendKey val="0"/>
          <c:showVal val="0"/>
          <c:showCatName val="0"/>
          <c:showSerName val="0"/>
          <c:showPercent val="0"/>
          <c:showBubbleSize val="0"/>
        </c:dLbls>
        <c:gapWidth val="150"/>
        <c:shape val="box"/>
        <c:axId val="563944080"/>
        <c:axId val="563949176"/>
        <c:axId val="0"/>
      </c:bar3DChart>
      <c:catAx>
        <c:axId val="563944080"/>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63949176"/>
        <c:crosses val="autoZero"/>
        <c:auto val="1"/>
        <c:lblAlgn val="ctr"/>
        <c:lblOffset val="100"/>
        <c:tickLblSkip val="1"/>
        <c:tickMarkSkip val="1"/>
        <c:noMultiLvlLbl val="0"/>
      </c:catAx>
      <c:valAx>
        <c:axId val="563949176"/>
        <c:scaling>
          <c:orientation val="minMax"/>
        </c:scaling>
        <c:delete val="0"/>
        <c:axPos val="l"/>
        <c:majorGridlines>
          <c:spPr>
            <a:ln w="3175">
              <a:solidFill>
                <a:srgbClr val="000000"/>
              </a:solidFill>
              <a:prstDash val="solid"/>
            </a:ln>
          </c:spPr>
        </c:majorGridlines>
        <c:numFmt formatCode="&quot;$&quot;#,##0;\-&quot;$&quot;#,##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63944080"/>
        <c:crosses val="autoZero"/>
        <c:crossBetween val="between"/>
      </c:valAx>
      <c:spPr>
        <a:noFill/>
        <a:ln w="25400">
          <a:noFill/>
        </a:ln>
      </c:spPr>
    </c:plotArea>
    <c:legend>
      <c:legendPos val="r"/>
      <c:layout>
        <c:manualLayout>
          <c:xMode val="edge"/>
          <c:yMode val="edge"/>
          <c:x val="0.87236403995560452"/>
          <c:y val="0.50897226753670477"/>
          <c:w val="0.12319644839067714"/>
          <c:h val="7.01468189233279E-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Blending Plan: Gallons of Crudes Used in Gasolines</a:t>
            </a:r>
          </a:p>
        </c:rich>
      </c:tx>
      <c:layout>
        <c:manualLayout>
          <c:xMode val="edge"/>
          <c:yMode val="edge"/>
          <c:x val="0.2763596004439513"/>
          <c:y val="1.9575856443719442E-2"/>
        </c:manualLayout>
      </c:layout>
      <c:overlay val="0"/>
      <c:spPr>
        <a:noFill/>
        <a:ln w="25400">
          <a:noFill/>
        </a:ln>
      </c:spPr>
    </c:title>
    <c:autoTitleDeleted val="0"/>
    <c:view3D>
      <c:rotX val="15"/>
      <c:hPercent val="66"/>
      <c:rotY val="20"/>
      <c:depthPercent val="100"/>
      <c:rAngAx val="1"/>
    </c:view3D>
    <c:floor>
      <c:thickness val="0"/>
      <c:spPr>
        <a:solidFill>
          <a:srgbClr val="C0C0C0"/>
        </a:solidFill>
        <a:ln w="3175">
          <a:solidFill>
            <a:srgbClr val="000000"/>
          </a:solidFill>
          <a:prstDash val="solid"/>
        </a:ln>
      </c:spPr>
    </c:floor>
    <c:sideWall>
      <c:thickness val="0"/>
      <c:spPr>
        <a:solidFill>
          <a:srgbClr val="C0C0C0"/>
        </a:solidFill>
        <a:ln w="12700">
          <a:solidFill>
            <a:srgbClr val="808080"/>
          </a:solidFill>
          <a:prstDash val="solid"/>
        </a:ln>
      </c:spPr>
    </c:sideWall>
    <c:backWall>
      <c:thickness val="0"/>
      <c:spPr>
        <a:solidFill>
          <a:srgbClr val="C0C0C0"/>
        </a:solidFill>
        <a:ln w="12700">
          <a:solidFill>
            <a:srgbClr val="808080"/>
          </a:solidFill>
          <a:prstDash val="solid"/>
        </a:ln>
      </c:spPr>
    </c:backWall>
    <c:plotArea>
      <c:layout>
        <c:manualLayout>
          <c:layoutTarget val="inner"/>
          <c:xMode val="edge"/>
          <c:yMode val="edge"/>
          <c:x val="7.3251942286348501E-2"/>
          <c:y val="0.1011419249592171"/>
          <c:w val="0.76803551609323084"/>
          <c:h val="0.83197389885807604"/>
        </c:manualLayout>
      </c:layout>
      <c:bar3DChart>
        <c:barDir val="col"/>
        <c:grouping val="standard"/>
        <c:varyColors val="0"/>
        <c:ser>
          <c:idx val="0"/>
          <c:order val="0"/>
          <c:tx>
            <c:strRef>
              <c:f>Report!$B$12</c:f>
              <c:strCache>
                <c:ptCount val="1"/>
                <c:pt idx="0">
                  <c:v>Crude 1</c:v>
                </c:pt>
              </c:strCache>
            </c:strRef>
          </c:tx>
          <c:spPr>
            <a:solidFill>
              <a:srgbClr val="8080FF"/>
            </a:solidFill>
            <a:ln w="12700">
              <a:solidFill>
                <a:srgbClr val="000000"/>
              </a:solidFill>
              <a:prstDash val="solid"/>
            </a:ln>
          </c:spPr>
          <c:invertIfNegative val="0"/>
          <c:cat>
            <c:strRef>
              <c:f>Report!$C$11:$E$11</c:f>
              <c:strCache>
                <c:ptCount val="3"/>
                <c:pt idx="0">
                  <c:v>Gas 1</c:v>
                </c:pt>
                <c:pt idx="1">
                  <c:v>Gas 2</c:v>
                </c:pt>
                <c:pt idx="2">
                  <c:v>Gas 3</c:v>
                </c:pt>
              </c:strCache>
            </c:strRef>
          </c:cat>
          <c:val>
            <c:numRef>
              <c:f>Report!$C$12:$E$12</c:f>
              <c:numCache>
                <c:formatCode>0.00</c:formatCode>
                <c:ptCount val="3"/>
                <c:pt idx="0">
                  <c:v>1500.0000000000002</c:v>
                </c:pt>
                <c:pt idx="1">
                  <c:v>0</c:v>
                </c:pt>
                <c:pt idx="2">
                  <c:v>0</c:v>
                </c:pt>
              </c:numCache>
            </c:numRef>
          </c:val>
        </c:ser>
        <c:ser>
          <c:idx val="1"/>
          <c:order val="1"/>
          <c:tx>
            <c:strRef>
              <c:f>Report!$B$13</c:f>
              <c:strCache>
                <c:ptCount val="1"/>
                <c:pt idx="0">
                  <c:v>Crude 2</c:v>
                </c:pt>
              </c:strCache>
            </c:strRef>
          </c:tx>
          <c:spPr>
            <a:solidFill>
              <a:srgbClr val="802060"/>
            </a:solidFill>
            <a:ln w="12700">
              <a:solidFill>
                <a:srgbClr val="000000"/>
              </a:solidFill>
              <a:prstDash val="solid"/>
            </a:ln>
          </c:spPr>
          <c:invertIfNegative val="0"/>
          <c:cat>
            <c:strRef>
              <c:f>Report!$C$11:$E$11</c:f>
              <c:strCache>
                <c:ptCount val="3"/>
                <c:pt idx="0">
                  <c:v>Gas 1</c:v>
                </c:pt>
                <c:pt idx="1">
                  <c:v>Gas 2</c:v>
                </c:pt>
                <c:pt idx="2">
                  <c:v>Gas 3</c:v>
                </c:pt>
              </c:strCache>
            </c:strRef>
          </c:cat>
          <c:val>
            <c:numRef>
              <c:f>Report!$C$13:$E$13</c:f>
              <c:numCache>
                <c:formatCode>0.00</c:formatCode>
                <c:ptCount val="3"/>
                <c:pt idx="0">
                  <c:v>1500.0000000000002</c:v>
                </c:pt>
                <c:pt idx="1">
                  <c:v>2000</c:v>
                </c:pt>
                <c:pt idx="2">
                  <c:v>800.00000000000011</c:v>
                </c:pt>
              </c:numCache>
            </c:numRef>
          </c:val>
        </c:ser>
        <c:ser>
          <c:idx val="2"/>
          <c:order val="2"/>
          <c:tx>
            <c:strRef>
              <c:f>Report!$B$14</c:f>
              <c:strCache>
                <c:ptCount val="1"/>
                <c:pt idx="0">
                  <c:v>Crude 3</c:v>
                </c:pt>
              </c:strCache>
            </c:strRef>
          </c:tx>
          <c:spPr>
            <a:solidFill>
              <a:srgbClr val="FFFFC0"/>
            </a:solidFill>
            <a:ln w="12700">
              <a:solidFill>
                <a:srgbClr val="000000"/>
              </a:solidFill>
              <a:prstDash val="solid"/>
            </a:ln>
          </c:spPr>
          <c:invertIfNegative val="0"/>
          <c:cat>
            <c:strRef>
              <c:f>Report!$C$11:$E$11</c:f>
              <c:strCache>
                <c:ptCount val="3"/>
                <c:pt idx="0">
                  <c:v>Gas 1</c:v>
                </c:pt>
                <c:pt idx="1">
                  <c:v>Gas 2</c:v>
                </c:pt>
                <c:pt idx="2">
                  <c:v>Gas 3</c:v>
                </c:pt>
              </c:strCache>
            </c:strRef>
          </c:cat>
          <c:val>
            <c:numRef>
              <c:f>Report!$C$14:$E$14</c:f>
              <c:numCache>
                <c:formatCode>0.00</c:formatCode>
                <c:ptCount val="3"/>
                <c:pt idx="0">
                  <c:v>0</c:v>
                </c:pt>
                <c:pt idx="1">
                  <c:v>0</c:v>
                </c:pt>
                <c:pt idx="2">
                  <c:v>200.00000000000006</c:v>
                </c:pt>
              </c:numCache>
            </c:numRef>
          </c:val>
        </c:ser>
        <c:dLbls>
          <c:showLegendKey val="0"/>
          <c:showVal val="0"/>
          <c:showCatName val="0"/>
          <c:showSerName val="0"/>
          <c:showPercent val="0"/>
          <c:showBubbleSize val="0"/>
        </c:dLbls>
        <c:gapWidth val="150"/>
        <c:shape val="box"/>
        <c:axId val="563951920"/>
        <c:axId val="563942120"/>
        <c:axId val="617056112"/>
      </c:bar3DChart>
      <c:catAx>
        <c:axId val="563951920"/>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63942120"/>
        <c:crosses val="autoZero"/>
        <c:auto val="1"/>
        <c:lblAlgn val="ctr"/>
        <c:lblOffset val="100"/>
        <c:tickLblSkip val="1"/>
        <c:tickMarkSkip val="1"/>
        <c:noMultiLvlLbl val="0"/>
      </c:catAx>
      <c:valAx>
        <c:axId val="563942120"/>
        <c:scaling>
          <c:orientation val="minMax"/>
        </c:scaling>
        <c:delete val="0"/>
        <c:axPos val="l"/>
        <c:majorGridlines>
          <c:spPr>
            <a:ln w="3175">
              <a:solidFill>
                <a:srgbClr val="000000"/>
              </a:solidFill>
              <a:prstDash val="solid"/>
            </a:ln>
          </c:spPr>
        </c:majorGridlines>
        <c:numFmt formatCode="0.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63951920"/>
        <c:crosses val="autoZero"/>
        <c:crossBetween val="between"/>
      </c:valAx>
      <c:serAx>
        <c:axId val="617056112"/>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63942120"/>
        <c:crosses val="autoZero"/>
        <c:tickLblSkip val="1"/>
        <c:tickMarkSkip val="1"/>
      </c:serAx>
      <c:spPr>
        <a:noFill/>
        <a:ln w="25400">
          <a:noFill/>
        </a:ln>
      </c:spPr>
    </c:plotArea>
    <c:legend>
      <c:legendPos val="r"/>
      <c:layout>
        <c:manualLayout>
          <c:xMode val="edge"/>
          <c:yMode val="edge"/>
          <c:x val="0.92341842397336249"/>
          <c:y val="0.48939641109298593"/>
          <c:w val="7.658157602663708E-2"/>
          <c:h val="0.10440456769983676"/>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Octane Requirements</a:t>
            </a:r>
          </a:p>
        </c:rich>
      </c:tx>
      <c:layout>
        <c:manualLayout>
          <c:xMode val="edge"/>
          <c:yMode val="edge"/>
          <c:x val="0.40510543840177538"/>
          <c:y val="1.9575856443719442E-2"/>
        </c:manualLayout>
      </c:layout>
      <c:overlay val="0"/>
      <c:spPr>
        <a:noFill/>
        <a:ln w="25400">
          <a:noFill/>
        </a:ln>
      </c:spPr>
    </c:title>
    <c:autoTitleDeleted val="0"/>
    <c:view3D>
      <c:rotX val="15"/>
      <c:hPercent val="69"/>
      <c:rotY val="20"/>
      <c:depthPercent val="100"/>
      <c:rAngAx val="1"/>
    </c:view3D>
    <c:floor>
      <c:thickness val="0"/>
      <c:spPr>
        <a:solidFill>
          <a:srgbClr val="C0C0C0"/>
        </a:solidFill>
        <a:ln w="3175">
          <a:solidFill>
            <a:srgbClr val="000000"/>
          </a:solidFill>
          <a:prstDash val="solid"/>
        </a:ln>
      </c:spPr>
    </c:floor>
    <c:sideWall>
      <c:thickness val="0"/>
      <c:spPr>
        <a:solidFill>
          <a:srgbClr val="C0C0C0"/>
        </a:solidFill>
        <a:ln w="12700">
          <a:solidFill>
            <a:srgbClr val="808080"/>
          </a:solidFill>
          <a:prstDash val="solid"/>
        </a:ln>
      </c:spPr>
    </c:sideWall>
    <c:backWall>
      <c:thickness val="0"/>
      <c:spPr>
        <a:solidFill>
          <a:srgbClr val="C0C0C0"/>
        </a:solidFill>
        <a:ln w="12700">
          <a:solidFill>
            <a:srgbClr val="808080"/>
          </a:solidFill>
          <a:prstDash val="solid"/>
        </a:ln>
      </c:spPr>
    </c:backWall>
    <c:plotArea>
      <c:layout>
        <c:manualLayout>
          <c:layoutTarget val="inner"/>
          <c:xMode val="edge"/>
          <c:yMode val="edge"/>
          <c:x val="5.771365149833535E-2"/>
          <c:y val="0.10277324632952703"/>
          <c:w val="0.82463928967813638"/>
          <c:h val="0.83197389885807604"/>
        </c:manualLayout>
      </c:layout>
      <c:bar3DChart>
        <c:barDir val="col"/>
        <c:grouping val="clustered"/>
        <c:varyColors val="0"/>
        <c:ser>
          <c:idx val="0"/>
          <c:order val="0"/>
          <c:tx>
            <c:strRef>
              <c:f>Report!$C$17</c:f>
              <c:strCache>
                <c:ptCount val="1"/>
                <c:pt idx="0">
                  <c:v>Obtained</c:v>
                </c:pt>
              </c:strCache>
            </c:strRef>
          </c:tx>
          <c:spPr>
            <a:solidFill>
              <a:srgbClr val="8080FF"/>
            </a:solidFill>
            <a:ln w="12700">
              <a:solidFill>
                <a:srgbClr val="000000"/>
              </a:solidFill>
              <a:prstDash val="solid"/>
            </a:ln>
          </c:spPr>
          <c:invertIfNegative val="0"/>
          <c:cat>
            <c:strRef>
              <c:f>Report!$B$18:$B$20</c:f>
              <c:strCache>
                <c:ptCount val="3"/>
                <c:pt idx="0">
                  <c:v>Gas 1</c:v>
                </c:pt>
                <c:pt idx="1">
                  <c:v>Gas 2</c:v>
                </c:pt>
                <c:pt idx="2">
                  <c:v>Gas 3</c:v>
                </c:pt>
              </c:strCache>
            </c:strRef>
          </c:cat>
          <c:val>
            <c:numRef>
              <c:f>Report!$C$18:$C$20</c:f>
              <c:numCache>
                <c:formatCode>0.00</c:formatCode>
                <c:ptCount val="3"/>
                <c:pt idx="0">
                  <c:v>11</c:v>
                </c:pt>
                <c:pt idx="1">
                  <c:v>10</c:v>
                </c:pt>
                <c:pt idx="2">
                  <c:v>9.6</c:v>
                </c:pt>
              </c:numCache>
            </c:numRef>
          </c:val>
        </c:ser>
        <c:ser>
          <c:idx val="1"/>
          <c:order val="1"/>
          <c:tx>
            <c:strRef>
              <c:f>Report!$D$17</c:f>
              <c:strCache>
                <c:ptCount val="1"/>
                <c:pt idx="0">
                  <c:v>Min required</c:v>
                </c:pt>
              </c:strCache>
            </c:strRef>
          </c:tx>
          <c:spPr>
            <a:solidFill>
              <a:srgbClr val="802060"/>
            </a:solidFill>
            <a:ln w="12700">
              <a:solidFill>
                <a:srgbClr val="000000"/>
              </a:solidFill>
              <a:prstDash val="solid"/>
            </a:ln>
          </c:spPr>
          <c:invertIfNegative val="0"/>
          <c:cat>
            <c:strRef>
              <c:f>Report!$B$18:$B$20</c:f>
              <c:strCache>
                <c:ptCount val="3"/>
                <c:pt idx="0">
                  <c:v>Gas 1</c:v>
                </c:pt>
                <c:pt idx="1">
                  <c:v>Gas 2</c:v>
                </c:pt>
                <c:pt idx="2">
                  <c:v>Gas 3</c:v>
                </c:pt>
              </c:strCache>
            </c:strRef>
          </c:cat>
          <c:val>
            <c:numRef>
              <c:f>Report!$D$18:$D$20</c:f>
              <c:numCache>
                <c:formatCode>0.00</c:formatCode>
                <c:ptCount val="3"/>
                <c:pt idx="0">
                  <c:v>11</c:v>
                </c:pt>
                <c:pt idx="1">
                  <c:v>10</c:v>
                </c:pt>
                <c:pt idx="2">
                  <c:v>9</c:v>
                </c:pt>
              </c:numCache>
            </c:numRef>
          </c:val>
        </c:ser>
        <c:dLbls>
          <c:showLegendKey val="0"/>
          <c:showVal val="0"/>
          <c:showCatName val="0"/>
          <c:showSerName val="0"/>
          <c:showPercent val="0"/>
          <c:showBubbleSize val="0"/>
        </c:dLbls>
        <c:gapWidth val="150"/>
        <c:shape val="box"/>
        <c:axId val="563957408"/>
        <c:axId val="563955056"/>
        <c:axId val="0"/>
      </c:bar3DChart>
      <c:catAx>
        <c:axId val="56395740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63955056"/>
        <c:crosses val="autoZero"/>
        <c:auto val="1"/>
        <c:lblAlgn val="ctr"/>
        <c:lblOffset val="100"/>
        <c:tickLblSkip val="1"/>
        <c:tickMarkSkip val="1"/>
        <c:noMultiLvlLbl val="0"/>
      </c:catAx>
      <c:valAx>
        <c:axId val="563955056"/>
        <c:scaling>
          <c:orientation val="minMax"/>
        </c:scaling>
        <c:delete val="0"/>
        <c:axPos val="l"/>
        <c:majorGridlines>
          <c:spPr>
            <a:ln w="3175">
              <a:solidFill>
                <a:srgbClr val="000000"/>
              </a:solidFill>
              <a:prstDash val="solid"/>
            </a:ln>
          </c:spPr>
        </c:majorGridlines>
        <c:numFmt formatCode="0.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63957408"/>
        <c:crosses val="autoZero"/>
        <c:crossBetween val="between"/>
      </c:valAx>
      <c:spPr>
        <a:noFill/>
        <a:ln w="25400">
          <a:noFill/>
        </a:ln>
      </c:spPr>
    </c:plotArea>
    <c:legend>
      <c:legendPos val="r"/>
      <c:layout>
        <c:manualLayout>
          <c:xMode val="edge"/>
          <c:yMode val="edge"/>
          <c:x val="0.89456159822419534"/>
          <c:y val="0.50897226753670477"/>
          <c:w val="0.10099889012208647"/>
          <c:h val="7.01468189233279E-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Sulfur Requirements</a:t>
            </a:r>
          </a:p>
        </c:rich>
      </c:tx>
      <c:layout>
        <c:manualLayout>
          <c:xMode val="edge"/>
          <c:yMode val="edge"/>
          <c:x val="0.40954495005549391"/>
          <c:y val="1.9575856443719442E-2"/>
        </c:manualLayout>
      </c:layout>
      <c:overlay val="0"/>
      <c:spPr>
        <a:noFill/>
        <a:ln w="25400">
          <a:noFill/>
        </a:ln>
      </c:spPr>
    </c:title>
    <c:autoTitleDeleted val="0"/>
    <c:view3D>
      <c:rotX val="15"/>
      <c:hPercent val="69"/>
      <c:rotY val="20"/>
      <c:depthPercent val="100"/>
      <c:rAngAx val="1"/>
    </c:view3D>
    <c:floor>
      <c:thickness val="0"/>
      <c:spPr>
        <a:solidFill>
          <a:srgbClr val="C0C0C0"/>
        </a:solidFill>
        <a:ln w="3175">
          <a:solidFill>
            <a:srgbClr val="000000"/>
          </a:solidFill>
          <a:prstDash val="solid"/>
        </a:ln>
      </c:spPr>
    </c:floor>
    <c:sideWall>
      <c:thickness val="0"/>
      <c:spPr>
        <a:solidFill>
          <a:srgbClr val="C0C0C0"/>
        </a:solidFill>
        <a:ln w="12700">
          <a:solidFill>
            <a:srgbClr val="808080"/>
          </a:solidFill>
          <a:prstDash val="solid"/>
        </a:ln>
      </c:spPr>
    </c:sideWall>
    <c:backWall>
      <c:thickness val="0"/>
      <c:spPr>
        <a:solidFill>
          <a:srgbClr val="C0C0C0"/>
        </a:solidFill>
        <a:ln w="12700">
          <a:solidFill>
            <a:srgbClr val="808080"/>
          </a:solidFill>
          <a:prstDash val="solid"/>
        </a:ln>
      </c:spPr>
    </c:backWall>
    <c:plotArea>
      <c:layout>
        <c:manualLayout>
          <c:layoutTarget val="inner"/>
          <c:xMode val="edge"/>
          <c:yMode val="edge"/>
          <c:x val="6.3263041065482792E-2"/>
          <c:y val="0.10277324632952703"/>
          <c:w val="0.81798002219755861"/>
          <c:h val="0.83197389885807604"/>
        </c:manualLayout>
      </c:layout>
      <c:bar3DChart>
        <c:barDir val="col"/>
        <c:grouping val="clustered"/>
        <c:varyColors val="0"/>
        <c:ser>
          <c:idx val="0"/>
          <c:order val="0"/>
          <c:tx>
            <c:strRef>
              <c:f>Report!$G$17</c:f>
              <c:strCache>
                <c:ptCount val="1"/>
                <c:pt idx="0">
                  <c:v>Obtained</c:v>
                </c:pt>
              </c:strCache>
            </c:strRef>
          </c:tx>
          <c:spPr>
            <a:solidFill>
              <a:srgbClr val="8080FF"/>
            </a:solidFill>
            <a:ln w="12700">
              <a:solidFill>
                <a:srgbClr val="000000"/>
              </a:solidFill>
              <a:prstDash val="solid"/>
            </a:ln>
          </c:spPr>
          <c:invertIfNegative val="0"/>
          <c:cat>
            <c:strRef>
              <c:f>Report!$F$18:$F$20</c:f>
              <c:strCache>
                <c:ptCount val="3"/>
                <c:pt idx="0">
                  <c:v>Gas 1</c:v>
                </c:pt>
                <c:pt idx="1">
                  <c:v>Gas 2</c:v>
                </c:pt>
                <c:pt idx="2">
                  <c:v>Gas 3</c:v>
                </c:pt>
              </c:strCache>
            </c:strRef>
          </c:cat>
          <c:val>
            <c:numRef>
              <c:f>Report!$G$18:$G$20</c:f>
              <c:numCache>
                <c:formatCode>0.00%</c:formatCode>
                <c:ptCount val="3"/>
                <c:pt idx="0">
                  <c:v>7.4999999999999997E-3</c:v>
                </c:pt>
                <c:pt idx="1">
                  <c:v>5.0000000000000001E-3</c:v>
                </c:pt>
                <c:pt idx="2">
                  <c:v>1.0000000000000002E-2</c:v>
                </c:pt>
              </c:numCache>
            </c:numRef>
          </c:val>
        </c:ser>
        <c:ser>
          <c:idx val="1"/>
          <c:order val="1"/>
          <c:tx>
            <c:strRef>
              <c:f>Report!$H$17</c:f>
              <c:strCache>
                <c:ptCount val="1"/>
                <c:pt idx="0">
                  <c:v>Max allowed</c:v>
                </c:pt>
              </c:strCache>
            </c:strRef>
          </c:tx>
          <c:spPr>
            <a:solidFill>
              <a:srgbClr val="802060"/>
            </a:solidFill>
            <a:ln w="12700">
              <a:solidFill>
                <a:srgbClr val="000000"/>
              </a:solidFill>
              <a:prstDash val="solid"/>
            </a:ln>
          </c:spPr>
          <c:invertIfNegative val="0"/>
          <c:cat>
            <c:strRef>
              <c:f>Report!$F$18:$F$20</c:f>
              <c:strCache>
                <c:ptCount val="3"/>
                <c:pt idx="0">
                  <c:v>Gas 1</c:v>
                </c:pt>
                <c:pt idx="1">
                  <c:v>Gas 2</c:v>
                </c:pt>
                <c:pt idx="2">
                  <c:v>Gas 3</c:v>
                </c:pt>
              </c:strCache>
            </c:strRef>
          </c:cat>
          <c:val>
            <c:numRef>
              <c:f>Report!$H$18:$H$20</c:f>
              <c:numCache>
                <c:formatCode>0.00%</c:formatCode>
                <c:ptCount val="3"/>
                <c:pt idx="0">
                  <c:v>0.01</c:v>
                </c:pt>
                <c:pt idx="1">
                  <c:v>0.03</c:v>
                </c:pt>
                <c:pt idx="2">
                  <c:v>0.01</c:v>
                </c:pt>
              </c:numCache>
            </c:numRef>
          </c:val>
        </c:ser>
        <c:dLbls>
          <c:showLegendKey val="0"/>
          <c:showVal val="0"/>
          <c:showCatName val="0"/>
          <c:showSerName val="0"/>
          <c:showPercent val="0"/>
          <c:showBubbleSize val="0"/>
        </c:dLbls>
        <c:gapWidth val="150"/>
        <c:shape val="box"/>
        <c:axId val="619913160"/>
        <c:axId val="619908456"/>
        <c:axId val="0"/>
      </c:bar3DChart>
      <c:catAx>
        <c:axId val="619913160"/>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19908456"/>
        <c:crosses val="autoZero"/>
        <c:auto val="1"/>
        <c:lblAlgn val="ctr"/>
        <c:lblOffset val="100"/>
        <c:tickLblSkip val="1"/>
        <c:tickMarkSkip val="1"/>
        <c:noMultiLvlLbl val="0"/>
      </c:catAx>
      <c:valAx>
        <c:axId val="619908456"/>
        <c:scaling>
          <c:orientation val="minMax"/>
        </c:scaling>
        <c:delete val="0"/>
        <c:axPos val="l"/>
        <c:majorGridlines>
          <c:spPr>
            <a:ln w="3175">
              <a:solidFill>
                <a:srgbClr val="000000"/>
              </a:solidFill>
              <a:prstDash val="solid"/>
            </a:ln>
          </c:spPr>
        </c:majorGridlines>
        <c:numFmt formatCode="0.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19913160"/>
        <c:crosses val="autoZero"/>
        <c:crossBetween val="between"/>
      </c:valAx>
      <c:spPr>
        <a:noFill/>
        <a:ln w="25400">
          <a:noFill/>
        </a:ln>
      </c:spPr>
    </c:plotArea>
    <c:legend>
      <c:legendPos val="r"/>
      <c:layout>
        <c:manualLayout>
          <c:xMode val="edge"/>
          <c:yMode val="edge"/>
          <c:x val="0.89345172031076558"/>
          <c:y val="0.50897226753670477"/>
          <c:w val="0.10210876803551609"/>
          <c:h val="7.01468189233279E-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chartSpace>
</file>

<file path=xl/chartsheets/_rels/sheet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chartsheets/_rels/sheet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chartsheets/_rels/sheet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chartsheets/_rels/sheet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chart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chartsheets/_rels/sheet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chartsheets/_rels/sheet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chartsheets/sheet1.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sheetPr codeName="chtCrudePurch"/>
  <sheetViews>
    <sheetView zoomScale="116" workbookViewId="0" zoomToFit="1"/>
  </sheetViews>
  <pageMargins left="0.75" right="0.75" top="1" bottom="1" header="0.5" footer="0.5"/>
  <pageSetup orientation="landscape" horizontalDpi="1200" verticalDpi="1200" r:id="rId1"/>
  <headerFooter alignWithMargins="0"/>
  <drawing r:id="rId2"/>
  <legacyDrawing r:id="rId3"/>
</chartsheet>
</file>

<file path=xl/chartsheets/sheet2.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sheetPr codeName="chtGasProduced"/>
  <sheetViews>
    <sheetView zoomScale="101" workbookViewId="0" zoomToFit="1"/>
  </sheetViews>
  <pageMargins left="0.75" right="0.75" top="1" bottom="1" header="0.5" footer="0.5"/>
  <pageSetup orientation="landscape" horizontalDpi="1200" verticalDpi="1200" r:id="rId1"/>
  <headerFooter alignWithMargins="0"/>
  <drawing r:id="rId2"/>
  <legacyDrawing r:id="rId3"/>
</chartsheet>
</file>

<file path=xl/chartsheets/sheet3.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sheetPr codeName="chtCrudeCosts"/>
  <sheetViews>
    <sheetView zoomScale="101" workbookViewId="0" zoomToFit="1"/>
  </sheetViews>
  <pageMargins left="0.75" right="0.75" top="1" bottom="1" header="0.5" footer="0.5"/>
  <pageSetup orientation="landscape" horizontalDpi="1200" verticalDpi="1200" r:id="rId1"/>
  <headerFooter alignWithMargins="0"/>
  <drawing r:id="rId2"/>
  <legacyDrawing r:id="rId3"/>
</chartsheet>
</file>

<file path=xl/chartsheets/sheet4.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sheetPr codeName="chtProdCostsRevs"/>
  <sheetViews>
    <sheetView zoomScale="101" workbookViewId="0" zoomToFit="1"/>
  </sheetViews>
  <pageMargins left="0.75" right="0.75" top="1" bottom="1" header="0.5" footer="0.5"/>
  <pageSetup orientation="landscape" horizontalDpi="1200" verticalDpi="1200" r:id="rId1"/>
  <headerFooter alignWithMargins="0"/>
  <drawing r:id="rId2"/>
  <legacyDrawing r:id="rId3"/>
</chartsheet>
</file>

<file path=xl/chartsheets/sheet5.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sheetPr codeName="chtBlendPlan"/>
  <sheetViews>
    <sheetView zoomScale="101" workbookViewId="0" zoomToFit="1"/>
  </sheetViews>
  <pageMargins left="0.75" right="0.75" top="1" bottom="1" header="0.5" footer="0.5"/>
  <pageSetup orientation="landscape" horizontalDpi="1200" verticalDpi="1200" r:id="rId1"/>
  <headerFooter alignWithMargins="0"/>
  <drawing r:id="rId2"/>
  <legacyDrawing r:id="rId3"/>
</chartsheet>
</file>

<file path=xl/chartsheets/sheet6.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sheetPr codeName="chtOctane"/>
  <sheetViews>
    <sheetView zoomScale="101" workbookViewId="0" zoomToFit="1"/>
  </sheetViews>
  <pageMargins left="0.75" right="0.75" top="1" bottom="1" header="0.5" footer="0.5"/>
  <pageSetup orientation="landscape" horizontalDpi="1200" verticalDpi="1200" r:id="rId1"/>
  <headerFooter alignWithMargins="0"/>
  <drawing r:id="rId2"/>
  <legacyDrawing r:id="rId3"/>
</chartsheet>
</file>

<file path=xl/chartsheets/sheet7.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sheetPr codeName="chtSulfur"/>
  <sheetViews>
    <sheetView zoomScale="101" workbookViewId="0" zoomToFit="1"/>
  </sheetViews>
  <pageMargins left="0.75" right="0.75" top="1" bottom="1" header="0.5" footer="0.5"/>
  <pageSetup orientation="landscape" horizontalDpi="1200" verticalDpi="1200" r:id="rId1"/>
  <headerFooter alignWithMargins="0"/>
  <drawing r:id="rId2"/>
  <legacyDrawing r:id="rId3"/>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0</xdr:col>
      <xdr:colOff>447675</xdr:colOff>
      <xdr:row>5</xdr:row>
      <xdr:rowOff>101598</xdr:rowOff>
    </xdr:from>
    <xdr:to>
      <xdr:col>10</xdr:col>
      <xdr:colOff>381000</xdr:colOff>
      <xdr:row>27</xdr:row>
      <xdr:rowOff>38099</xdr:rowOff>
    </xdr:to>
    <xdr:sp macro="" textlink="">
      <xdr:nvSpPr>
        <xdr:cNvPr id="3" name="TextBox 2"/>
        <xdr:cNvSpPr txBox="1"/>
      </xdr:nvSpPr>
      <xdr:spPr>
        <a:xfrm>
          <a:off x="447675" y="1101723"/>
          <a:ext cx="6029325" cy="4127501"/>
        </a:xfrm>
        <a:prstGeom prst="roundRect">
          <a:avLst/>
        </a:prstGeom>
        <a:solidFill>
          <a:schemeClr val="bg1">
            <a:lumMod val="95000"/>
          </a:schemeClr>
        </a:solidFill>
        <a:ln>
          <a:solidFill>
            <a:schemeClr val="bg1">
              <a:lumMod val="85000"/>
            </a:schemeClr>
          </a:solidFill>
        </a:ln>
      </xdr:spPr>
      <xdr:style>
        <a:lnRef idx="2">
          <a:schemeClr val="accent1"/>
        </a:lnRef>
        <a:fillRef idx="1">
          <a:schemeClr val="lt1"/>
        </a:fillRef>
        <a:effectRef idx="0">
          <a:schemeClr val="accent1"/>
        </a:effectRef>
        <a:fontRef idx="minor">
          <a:schemeClr val="dk1"/>
        </a:fontRef>
      </xdr:style>
      <xdr:txBody>
        <a:bodyPr vert="horz" rtlCol="0" anchor="t"/>
        <a:lstStyle/>
        <a:p>
          <a:r>
            <a:rPr lang="en-US" sz="1100"/>
            <a:t>This application finds the optimal blending plan for a problem of a fixed size. The "fixed size" means that the problem always has three crude oils being blended into three gasoline types. Because of this fixed size, the optimization model and all reports, including charts, can be set up with Excel -- no VBA required -- at design time.  Then the application uses VBA to show the current inputs to the user and allows the user to change any of these.  It then runs Solver with these inputs and displays the results in a report, with several optional charts that can be viewed.
The inputs come in three groups:
(1) Monetary inputs: the cost per gallon of purchasing each type of crude, the selling price per gallon for each type of gasoline, and the cost of transforming a gallon of any crude into any type of gasoline.
(2) Data related to octanes and sulfur percentages. Each crude has a certain octane rating and sulfur percentage. Each gasoline has a minimum required octane rating and a maximum allowable sulfur percentage.
(3) Data related to demands, availabilities, and production capacity. As for demand, this is the maximum amount of each type of gasoline that can be sold. (There is no incentive, therefore, to produce more than this.)</a:t>
          </a:r>
        </a:p>
      </xdr:txBody>
    </xdr:sp>
    <xdr:clientData/>
  </xdr:twoCellAnchor>
  <mc:AlternateContent xmlns:mc="http://schemas.openxmlformats.org/markup-compatibility/2006">
    <mc:Choice xmlns:a14="http://schemas.microsoft.com/office/drawing/2010/main" Requires="a14">
      <xdr:twoCellAnchor>
        <xdr:from>
          <xdr:col>4</xdr:col>
          <xdr:colOff>190500</xdr:colOff>
          <xdr:row>2</xdr:row>
          <xdr:rowOff>133350</xdr:rowOff>
        </xdr:from>
        <xdr:to>
          <xdr:col>6</xdr:col>
          <xdr:colOff>409575</xdr:colOff>
          <xdr:row>4</xdr:row>
          <xdr:rowOff>38100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Run the application</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190500</xdr:colOff>
          <xdr:row>12</xdr:row>
          <xdr:rowOff>28575</xdr:rowOff>
        </xdr:from>
        <xdr:to>
          <xdr:col>11</xdr:col>
          <xdr:colOff>533400</xdr:colOff>
          <xdr:row>13</xdr:row>
          <xdr:rowOff>104775</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View chart of crudes purchased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190500</xdr:colOff>
          <xdr:row>13</xdr:row>
          <xdr:rowOff>133350</xdr:rowOff>
        </xdr:from>
        <xdr:to>
          <xdr:col>11</xdr:col>
          <xdr:colOff>533400</xdr:colOff>
          <xdr:row>15</xdr:row>
          <xdr:rowOff>9525</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View chart of crude purchase costs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190500</xdr:colOff>
          <xdr:row>15</xdr:row>
          <xdr:rowOff>38100</xdr:rowOff>
        </xdr:from>
        <xdr:to>
          <xdr:col>11</xdr:col>
          <xdr:colOff>533400</xdr:colOff>
          <xdr:row>16</xdr:row>
          <xdr:rowOff>104775</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View chart of gasolines produced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190500</xdr:colOff>
          <xdr:row>16</xdr:row>
          <xdr:rowOff>133350</xdr:rowOff>
        </xdr:from>
        <xdr:to>
          <xdr:col>11</xdr:col>
          <xdr:colOff>533400</xdr:colOff>
          <xdr:row>18</xdr:row>
          <xdr:rowOff>19050</xdr:rowOff>
        </xdr:to>
        <xdr:sp macro="" textlink="">
          <xdr:nvSpPr>
            <xdr:cNvPr id="3076" name="Button 4" hidden="1">
              <a:extLst>
                <a:ext uri="{63B3BB69-23CF-44E3-9099-C40C66FF867C}">
                  <a14:compatExt spid="_x0000_s30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View chart of gasoline production costs, revenues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190500</xdr:colOff>
          <xdr:row>18</xdr:row>
          <xdr:rowOff>47625</xdr:rowOff>
        </xdr:from>
        <xdr:to>
          <xdr:col>11</xdr:col>
          <xdr:colOff>533400</xdr:colOff>
          <xdr:row>19</xdr:row>
          <xdr:rowOff>123825</xdr:rowOff>
        </xdr:to>
        <xdr:sp macro="" textlink="">
          <xdr:nvSpPr>
            <xdr:cNvPr id="3077" name="Button 5" hidden="1">
              <a:extLst>
                <a:ext uri="{63B3BB69-23CF-44E3-9099-C40C66FF867C}">
                  <a14:compatExt spid="_x0000_s30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View chart of blending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190500</xdr:colOff>
          <xdr:row>19</xdr:row>
          <xdr:rowOff>152400</xdr:rowOff>
        </xdr:from>
        <xdr:to>
          <xdr:col>11</xdr:col>
          <xdr:colOff>533400</xdr:colOff>
          <xdr:row>21</xdr:row>
          <xdr:rowOff>28575</xdr:rowOff>
        </xdr:to>
        <xdr:sp macro="" textlink="">
          <xdr:nvSpPr>
            <xdr:cNvPr id="3078" name="Button 6" hidden="1">
              <a:extLst>
                <a:ext uri="{63B3BB69-23CF-44E3-9099-C40C66FF867C}">
                  <a14:compatExt spid="_x0000_s30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View chart of octane requirements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190500</xdr:colOff>
          <xdr:row>21</xdr:row>
          <xdr:rowOff>57150</xdr:rowOff>
        </xdr:from>
        <xdr:to>
          <xdr:col>11</xdr:col>
          <xdr:colOff>533400</xdr:colOff>
          <xdr:row>22</xdr:row>
          <xdr:rowOff>123825</xdr:rowOff>
        </xdr:to>
        <xdr:sp macro="" textlink="">
          <xdr:nvSpPr>
            <xdr:cNvPr id="3079" name="Button 7" hidden="1">
              <a:extLst>
                <a:ext uri="{63B3BB69-23CF-44E3-9099-C40C66FF867C}">
                  <a14:compatExt spid="_x0000_s30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View chart of sulfur requirements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190500</xdr:colOff>
          <xdr:row>22</xdr:row>
          <xdr:rowOff>152400</xdr:rowOff>
        </xdr:from>
        <xdr:to>
          <xdr:col>11</xdr:col>
          <xdr:colOff>533400</xdr:colOff>
          <xdr:row>24</xdr:row>
          <xdr:rowOff>38100</xdr:rowOff>
        </xdr:to>
        <xdr:sp macro="" textlink="">
          <xdr:nvSpPr>
            <xdr:cNvPr id="3082" name="Button 10" hidden="1">
              <a:extLst>
                <a:ext uri="{63B3BB69-23CF-44E3-9099-C40C66FF867C}">
                  <a14:compatExt spid="_x0000_s30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View Eplanation sheet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absoluteAnchor>
    <xdr:pos x="0" y="0"/>
    <xdr:ext cx="8572500" cy="582995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absoluteAnchor>
    <xdr:pos x="0" y="0"/>
    <xdr:ext cx="8581931" cy="5837599"/>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xdr:wsDr xmlns:xdr="http://schemas.openxmlformats.org/drawingml/2006/spreadsheetDrawing" xmlns:a="http://schemas.openxmlformats.org/drawingml/2006/main">
  <xdr:absoluteAnchor>
    <xdr:pos x="0" y="0"/>
    <xdr:ext cx="8581931" cy="5837599"/>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xdr:wsDr xmlns:xdr="http://schemas.openxmlformats.org/drawingml/2006/spreadsheetDrawing" xmlns:a="http://schemas.openxmlformats.org/drawingml/2006/main">
  <xdr:absoluteAnchor>
    <xdr:pos x="0" y="0"/>
    <xdr:ext cx="8581931" cy="5837599"/>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xdr:wsDr xmlns:xdr="http://schemas.openxmlformats.org/drawingml/2006/spreadsheetDrawing" xmlns:a="http://schemas.openxmlformats.org/drawingml/2006/main">
  <xdr:absoluteAnchor>
    <xdr:pos x="0" y="0"/>
    <xdr:ext cx="8581931" cy="5837599"/>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xdr:wsDr xmlns:xdr="http://schemas.openxmlformats.org/drawingml/2006/spreadsheetDrawing" xmlns:a="http://schemas.openxmlformats.org/drawingml/2006/main">
  <xdr:absoluteAnchor>
    <xdr:pos x="0" y="0"/>
    <xdr:ext cx="8581931" cy="5837599"/>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xdr:wsDr xmlns:xdr="http://schemas.openxmlformats.org/drawingml/2006/spreadsheetDrawing" xmlns:a="http://schemas.openxmlformats.org/drawingml/2006/main">
  <xdr:absoluteAnchor>
    <xdr:pos x="0" y="0"/>
    <xdr:ext cx="8581931" cy="5837599"/>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Explanation">
    <pageSetUpPr fitToPage="1"/>
  </sheetPr>
  <dimension ref="C2:I2"/>
  <sheetViews>
    <sheetView showGridLines="0" showRowColHeaders="0" tabSelected="1" workbookViewId="0"/>
  </sheetViews>
  <sheetFormatPr defaultRowHeight="15" x14ac:dyDescent="0.25"/>
  <cols>
    <col min="1" max="16384" width="9.140625" style="7"/>
  </cols>
  <sheetData>
    <row r="2" spans="3:9" ht="18.75" x14ac:dyDescent="0.3">
      <c r="C2" s="45" t="s">
        <v>52</v>
      </c>
      <c r="D2" s="45"/>
      <c r="E2" s="45"/>
      <c r="F2" s="45"/>
      <c r="G2" s="45"/>
      <c r="H2" s="45"/>
      <c r="I2" s="45"/>
    </row>
  </sheetData>
  <mergeCells count="1">
    <mergeCell ref="C2:I2"/>
  </mergeCells>
  <phoneticPr fontId="0" type="noConversion"/>
  <pageMargins left="0.75" right="0.75" top="1" bottom="1" header="0.5" footer="0.5"/>
  <pageSetup scale="81"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autoFill="0" autoPict="0" macro="[0]!MainBlending">
                <anchor moveWithCells="1" sizeWithCells="1">
                  <from>
                    <xdr:col>4</xdr:col>
                    <xdr:colOff>190500</xdr:colOff>
                    <xdr:row>2</xdr:row>
                    <xdr:rowOff>133350</xdr:rowOff>
                  </from>
                  <to>
                    <xdr:col>6</xdr:col>
                    <xdr:colOff>409575</xdr:colOff>
                    <xdr:row>4</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Model">
    <pageSetUpPr fitToPage="1"/>
  </sheetPr>
  <dimension ref="A1:G51"/>
  <sheetViews>
    <sheetView zoomScale="75" workbookViewId="0">
      <selection activeCell="A2" sqref="A2"/>
    </sheetView>
  </sheetViews>
  <sheetFormatPr defaultRowHeight="15" x14ac:dyDescent="0.25"/>
  <cols>
    <col min="1" max="1" width="19.28515625" customWidth="1"/>
    <col min="2" max="2" width="12.85546875" customWidth="1"/>
    <col min="3" max="4" width="12.5703125" customWidth="1"/>
    <col min="5" max="5" width="15.140625" customWidth="1"/>
    <col min="7" max="7" width="14" customWidth="1"/>
  </cols>
  <sheetData>
    <row r="1" spans="1:6" x14ac:dyDescent="0.25">
      <c r="A1" s="1" t="s">
        <v>53</v>
      </c>
    </row>
    <row r="3" spans="1:6" x14ac:dyDescent="0.25">
      <c r="A3" t="s">
        <v>0</v>
      </c>
      <c r="D3" t="s">
        <v>1</v>
      </c>
    </row>
    <row r="4" spans="1:6" x14ac:dyDescent="0.25">
      <c r="A4" t="s">
        <v>2</v>
      </c>
      <c r="B4" s="8">
        <v>55</v>
      </c>
      <c r="D4" s="3" t="s">
        <v>3</v>
      </c>
      <c r="E4" s="3" t="s">
        <v>4</v>
      </c>
      <c r="F4" s="3" t="s">
        <v>5</v>
      </c>
    </row>
    <row r="5" spans="1:6" x14ac:dyDescent="0.25">
      <c r="A5" t="s">
        <v>6</v>
      </c>
      <c r="B5" s="8">
        <v>35</v>
      </c>
      <c r="D5" s="8">
        <v>70</v>
      </c>
      <c r="E5" s="8">
        <v>60</v>
      </c>
      <c r="F5" s="8">
        <v>75</v>
      </c>
    </row>
    <row r="6" spans="1:6" x14ac:dyDescent="0.25">
      <c r="A6" t="s">
        <v>7</v>
      </c>
      <c r="B6" s="8">
        <v>25</v>
      </c>
    </row>
    <row r="8" spans="1:6" x14ac:dyDescent="0.25">
      <c r="A8" t="s">
        <v>8</v>
      </c>
    </row>
    <row r="9" spans="1:6" x14ac:dyDescent="0.25">
      <c r="B9" s="8">
        <v>5</v>
      </c>
    </row>
    <row r="11" spans="1:6" x14ac:dyDescent="0.25">
      <c r="A11" t="s">
        <v>28</v>
      </c>
    </row>
    <row r="12" spans="1:6" x14ac:dyDescent="0.25">
      <c r="B12" s="3" t="s">
        <v>3</v>
      </c>
      <c r="C12" s="3" t="s">
        <v>4</v>
      </c>
      <c r="D12" s="3" t="s">
        <v>5</v>
      </c>
    </row>
    <row r="13" spans="1:6" x14ac:dyDescent="0.25">
      <c r="A13" t="s">
        <v>9</v>
      </c>
      <c r="B13" s="9">
        <v>11</v>
      </c>
      <c r="C13" s="9">
        <v>10</v>
      </c>
      <c r="D13" s="9">
        <v>9</v>
      </c>
    </row>
    <row r="14" spans="1:6" x14ac:dyDescent="0.25">
      <c r="A14" t="s">
        <v>49</v>
      </c>
      <c r="B14" s="10">
        <v>0.01</v>
      </c>
      <c r="C14" s="10">
        <v>0.03</v>
      </c>
      <c r="D14" s="10">
        <v>0.01</v>
      </c>
    </row>
    <row r="15" spans="1:6" x14ac:dyDescent="0.25">
      <c r="B15" s="6"/>
      <c r="C15" s="6"/>
      <c r="D15" s="6"/>
    </row>
    <row r="16" spans="1:6" x14ac:dyDescent="0.25">
      <c r="A16" t="s">
        <v>18</v>
      </c>
      <c r="D16" t="s">
        <v>50</v>
      </c>
    </row>
    <row r="17" spans="1:7" x14ac:dyDescent="0.25">
      <c r="A17" t="s">
        <v>2</v>
      </c>
      <c r="B17" s="9">
        <v>12</v>
      </c>
      <c r="D17" t="s">
        <v>2</v>
      </c>
      <c r="E17" s="11">
        <v>0.01</v>
      </c>
    </row>
    <row r="18" spans="1:7" x14ac:dyDescent="0.25">
      <c r="A18" t="s">
        <v>6</v>
      </c>
      <c r="B18" s="9">
        <v>10</v>
      </c>
      <c r="D18" t="s">
        <v>6</v>
      </c>
      <c r="E18" s="11">
        <v>5.0000000000000001E-3</v>
      </c>
    </row>
    <row r="19" spans="1:7" x14ac:dyDescent="0.25">
      <c r="A19" t="s">
        <v>7</v>
      </c>
      <c r="B19" s="9">
        <v>8</v>
      </c>
      <c r="D19" t="s">
        <v>7</v>
      </c>
      <c r="E19" s="11">
        <v>0.03</v>
      </c>
    </row>
    <row r="21" spans="1:7" x14ac:dyDescent="0.25">
      <c r="A21" t="s">
        <v>10</v>
      </c>
    </row>
    <row r="22" spans="1:7" s="3" customFormat="1" x14ac:dyDescent="0.25">
      <c r="B22" s="3" t="s">
        <v>3</v>
      </c>
      <c r="C22" s="3" t="s">
        <v>4</v>
      </c>
      <c r="D22" s="3" t="s">
        <v>5</v>
      </c>
      <c r="E22" s="3" t="s">
        <v>11</v>
      </c>
      <c r="G22" s="3" t="s">
        <v>12</v>
      </c>
    </row>
    <row r="23" spans="1:7" x14ac:dyDescent="0.25">
      <c r="A23" t="s">
        <v>2</v>
      </c>
      <c r="B23" s="12">
        <v>1500.0000000000002</v>
      </c>
      <c r="C23" s="12">
        <v>0</v>
      </c>
      <c r="D23" s="12">
        <v>0</v>
      </c>
      <c r="E23">
        <f>SUM(B23:D23)</f>
        <v>1500.0000000000002</v>
      </c>
      <c r="F23" s="5" t="s">
        <v>13</v>
      </c>
      <c r="G23" s="9">
        <v>5000</v>
      </c>
    </row>
    <row r="24" spans="1:7" x14ac:dyDescent="0.25">
      <c r="A24" t="s">
        <v>6</v>
      </c>
      <c r="B24" s="12">
        <v>1500.0000000000002</v>
      </c>
      <c r="C24" s="12">
        <v>2000</v>
      </c>
      <c r="D24" s="12">
        <v>800.00000000000011</v>
      </c>
      <c r="E24">
        <f>SUM(B24:D24)</f>
        <v>4300</v>
      </c>
      <c r="F24" s="5" t="s">
        <v>13</v>
      </c>
      <c r="G24" s="9">
        <v>5000</v>
      </c>
    </row>
    <row r="25" spans="1:7" x14ac:dyDescent="0.25">
      <c r="A25" t="s">
        <v>7</v>
      </c>
      <c r="B25" s="12">
        <v>0</v>
      </c>
      <c r="C25" s="12">
        <v>0</v>
      </c>
      <c r="D25" s="12">
        <v>200.00000000000006</v>
      </c>
      <c r="E25">
        <f>SUM(B25:D25)</f>
        <v>200.00000000000006</v>
      </c>
      <c r="F25" s="5" t="s">
        <v>13</v>
      </c>
      <c r="G25" s="9">
        <v>5000</v>
      </c>
    </row>
    <row r="26" spans="1:7" x14ac:dyDescent="0.25">
      <c r="B26" s="4"/>
      <c r="C26" s="4"/>
      <c r="D26" s="4"/>
      <c r="F26" s="5"/>
    </row>
    <row r="27" spans="1:7" x14ac:dyDescent="0.25">
      <c r="A27" t="s">
        <v>14</v>
      </c>
      <c r="F27" s="5"/>
    </row>
    <row r="28" spans="1:7" x14ac:dyDescent="0.25">
      <c r="B28" s="3" t="s">
        <v>3</v>
      </c>
      <c r="C28" s="3" t="s">
        <v>4</v>
      </c>
      <c r="D28" s="3" t="s">
        <v>5</v>
      </c>
      <c r="F28" s="5"/>
    </row>
    <row r="29" spans="1:7" x14ac:dyDescent="0.25">
      <c r="A29" t="s">
        <v>17</v>
      </c>
      <c r="B29">
        <f>SUM(B23:B25)</f>
        <v>3000.0000000000005</v>
      </c>
      <c r="C29">
        <f>SUM(C23:C25)</f>
        <v>2000</v>
      </c>
      <c r="D29">
        <f>SUM(D23:D25)</f>
        <v>1000.0000000000002</v>
      </c>
    </row>
    <row r="30" spans="1:7" x14ac:dyDescent="0.25">
      <c r="B30" s="3" t="s">
        <v>13</v>
      </c>
      <c r="C30" s="3" t="s">
        <v>13</v>
      </c>
      <c r="D30" s="3" t="s">
        <v>13</v>
      </c>
    </row>
    <row r="31" spans="1:7" x14ac:dyDescent="0.25">
      <c r="A31" t="s">
        <v>46</v>
      </c>
      <c r="B31" s="9">
        <v>3000</v>
      </c>
      <c r="C31" s="9">
        <v>2000</v>
      </c>
      <c r="D31" s="9">
        <v>1000</v>
      </c>
    </row>
    <row r="33" spans="1:7" x14ac:dyDescent="0.25">
      <c r="A33" t="s">
        <v>27</v>
      </c>
      <c r="F33" s="5"/>
      <c r="G33" s="4"/>
    </row>
    <row r="34" spans="1:7" x14ac:dyDescent="0.25">
      <c r="B34" s="3" t="s">
        <v>15</v>
      </c>
      <c r="D34" s="3" t="s">
        <v>16</v>
      </c>
      <c r="F34" s="5"/>
      <c r="G34" s="4"/>
    </row>
    <row r="35" spans="1:7" x14ac:dyDescent="0.25">
      <c r="B35">
        <f>SUM(B29:D29)</f>
        <v>6000</v>
      </c>
      <c r="C35" s="5" t="s">
        <v>13</v>
      </c>
      <c r="D35" s="9">
        <v>15000</v>
      </c>
      <c r="F35" s="5"/>
      <c r="G35" s="4"/>
    </row>
    <row r="37" spans="1:7" x14ac:dyDescent="0.25">
      <c r="A37" t="s">
        <v>19</v>
      </c>
      <c r="B37" s="3" t="s">
        <v>3</v>
      </c>
      <c r="C37" s="3" t="s">
        <v>4</v>
      </c>
      <c r="D37" s="3" t="s">
        <v>5</v>
      </c>
    </row>
    <row r="38" spans="1:7" x14ac:dyDescent="0.25">
      <c r="A38" t="s">
        <v>20</v>
      </c>
      <c r="B38">
        <f>SUMPRODUCT($B$17:$B$19,B23:B25)</f>
        <v>33000.000000000007</v>
      </c>
      <c r="C38">
        <f>SUMPRODUCT($B$17:$B$19,C23:C25)</f>
        <v>20000</v>
      </c>
      <c r="D38">
        <f>SUMPRODUCT($B$17:$B$19,D23:D25)</f>
        <v>9600.0000000000018</v>
      </c>
    </row>
    <row r="39" spans="1:7" x14ac:dyDescent="0.25">
      <c r="B39" s="3" t="s">
        <v>21</v>
      </c>
      <c r="C39" s="3" t="s">
        <v>21</v>
      </c>
      <c r="D39" s="3" t="s">
        <v>21</v>
      </c>
    </row>
    <row r="40" spans="1:7" x14ac:dyDescent="0.25">
      <c r="A40" t="s">
        <v>22</v>
      </c>
      <c r="B40">
        <f>B13*B29</f>
        <v>33000.000000000007</v>
      </c>
      <c r="C40">
        <f>C13*C29</f>
        <v>20000</v>
      </c>
      <c r="D40">
        <f>D13*D29</f>
        <v>9000.0000000000018</v>
      </c>
    </row>
    <row r="42" spans="1:7" x14ac:dyDescent="0.25">
      <c r="A42" t="s">
        <v>47</v>
      </c>
      <c r="B42" s="3" t="s">
        <v>3</v>
      </c>
      <c r="C42" s="3" t="s">
        <v>4</v>
      </c>
      <c r="D42" s="3" t="s">
        <v>5</v>
      </c>
    </row>
    <row r="43" spans="1:7" x14ac:dyDescent="0.25">
      <c r="A43" t="s">
        <v>48</v>
      </c>
      <c r="B43">
        <f>SUMPRODUCT($E$17:$E$19,B23:B25)</f>
        <v>22.500000000000004</v>
      </c>
      <c r="C43">
        <f>SUMPRODUCT($E$17:$E$19,C23:C25)</f>
        <v>10</v>
      </c>
      <c r="D43">
        <f>SUMPRODUCT($E$17:$E$19,D23:D25)</f>
        <v>10.000000000000004</v>
      </c>
    </row>
    <row r="44" spans="1:7" x14ac:dyDescent="0.25">
      <c r="B44" s="3" t="s">
        <v>13</v>
      </c>
      <c r="C44" s="3" t="s">
        <v>13</v>
      </c>
      <c r="D44" s="3" t="s">
        <v>13</v>
      </c>
    </row>
    <row r="45" spans="1:7" x14ac:dyDescent="0.25">
      <c r="A45" t="s">
        <v>22</v>
      </c>
      <c r="B45" s="3">
        <f>B14*B29</f>
        <v>30.000000000000004</v>
      </c>
      <c r="C45" s="3">
        <f>C14*C29</f>
        <v>60</v>
      </c>
      <c r="D45" s="3">
        <f>D14*D29</f>
        <v>10.000000000000002</v>
      </c>
    </row>
    <row r="47" spans="1:7" x14ac:dyDescent="0.25">
      <c r="A47" t="s">
        <v>23</v>
      </c>
      <c r="B47" s="2">
        <f>SUMPRODUCT(B4:B6,E23:E25)</f>
        <v>238000</v>
      </c>
    </row>
    <row r="48" spans="1:7" x14ac:dyDescent="0.25">
      <c r="A48" t="s">
        <v>24</v>
      </c>
      <c r="B48" s="2">
        <f>B9*B35</f>
        <v>30000</v>
      </c>
    </row>
    <row r="49" spans="1:2" x14ac:dyDescent="0.25">
      <c r="A49" t="s">
        <v>25</v>
      </c>
      <c r="B49" s="2">
        <f>SUMPRODUCT(D5:F5,B29:D29)</f>
        <v>405000</v>
      </c>
    </row>
    <row r="51" spans="1:2" x14ac:dyDescent="0.25">
      <c r="A51" t="s">
        <v>26</v>
      </c>
      <c r="B51" s="13">
        <f>B49-SUM(B47:B48)</f>
        <v>137000</v>
      </c>
    </row>
  </sheetData>
  <phoneticPr fontId="0" type="noConversion"/>
  <printOptions headings="1" gridLines="1" gridLinesSet="0"/>
  <pageMargins left="0.75" right="0.75" top="1" bottom="1" header="0.5" footer="0.5"/>
  <pageSetup scale="86" orientation="portrait" horizontalDpi="300" verticalDpi="300"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Report">
    <pageSetUpPr fitToPage="1"/>
  </sheetPr>
  <dimension ref="B1:K26"/>
  <sheetViews>
    <sheetView workbookViewId="0"/>
  </sheetViews>
  <sheetFormatPr defaultRowHeight="15" x14ac:dyDescent="0.25"/>
  <cols>
    <col min="1" max="1" width="1.7109375" style="16" customWidth="1"/>
    <col min="2" max="2" width="17.85546875" style="16" customWidth="1"/>
    <col min="3" max="3" width="10.42578125" style="16" customWidth="1"/>
    <col min="4" max="4" width="15.7109375" style="16" customWidth="1"/>
    <col min="5" max="5" width="18" style="16" customWidth="1"/>
    <col min="6" max="6" width="6" style="16" customWidth="1"/>
    <col min="7" max="7" width="12.140625" style="16" customWidth="1"/>
    <col min="8" max="8" width="14.7109375" style="16" customWidth="1"/>
    <col min="9" max="9" width="11.42578125" style="16" customWidth="1"/>
    <col min="10" max="10" width="18.42578125" style="16" customWidth="1"/>
    <col min="11" max="11" width="12" style="16" customWidth="1"/>
    <col min="12" max="16384" width="9.140625" style="16"/>
  </cols>
  <sheetData>
    <row r="1" spans="2:11" ht="18" x14ac:dyDescent="0.25">
      <c r="B1" s="14" t="s">
        <v>30</v>
      </c>
      <c r="C1" s="15"/>
    </row>
    <row r="3" spans="2:11" ht="15.75" thickBot="1" x14ac:dyDescent="0.3">
      <c r="B3" s="17" t="s">
        <v>31</v>
      </c>
      <c r="G3" s="17" t="s">
        <v>41</v>
      </c>
    </row>
    <row r="4" spans="2:11" x14ac:dyDescent="0.25">
      <c r="B4" s="18"/>
      <c r="C4" s="19" t="s">
        <v>39</v>
      </c>
      <c r="D4" s="19" t="s">
        <v>40</v>
      </c>
      <c r="E4" s="20" t="s">
        <v>43</v>
      </c>
      <c r="G4" s="18"/>
      <c r="H4" s="19" t="s">
        <v>42</v>
      </c>
      <c r="I4" s="19" t="s">
        <v>29</v>
      </c>
      <c r="J4" s="19" t="s">
        <v>44</v>
      </c>
      <c r="K4" s="20" t="s">
        <v>45</v>
      </c>
    </row>
    <row r="5" spans="2:11" x14ac:dyDescent="0.25">
      <c r="B5" s="21" t="s">
        <v>2</v>
      </c>
      <c r="C5" s="22">
        <f>Model!E23</f>
        <v>1500.0000000000002</v>
      </c>
      <c r="D5" s="22">
        <f>Model!G23</f>
        <v>5000</v>
      </c>
      <c r="E5" s="23">
        <f>C5*Model!B4</f>
        <v>82500.000000000015</v>
      </c>
      <c r="G5" s="21" t="s">
        <v>3</v>
      </c>
      <c r="H5" s="22">
        <f t="array" ref="H5:H7">TRANSPOSE(Model!B29:D29)</f>
        <v>3000.0000000000005</v>
      </c>
      <c r="I5" s="22">
        <f t="array" ref="I5:I7">TRANSPOSE(Model!B31:D31)</f>
        <v>3000</v>
      </c>
      <c r="J5" s="24">
        <f>H5*Model!$B$9</f>
        <v>15000.000000000002</v>
      </c>
      <c r="K5" s="23">
        <f t="array" ref="K5:K7">TRANSPOSE(Model!B29:D29*Model!D5:F5)</f>
        <v>210000.00000000003</v>
      </c>
    </row>
    <row r="6" spans="2:11" x14ac:dyDescent="0.25">
      <c r="B6" s="21" t="s">
        <v>6</v>
      </c>
      <c r="C6" s="22">
        <f>Model!E24</f>
        <v>4300</v>
      </c>
      <c r="D6" s="22">
        <f>Model!G24</f>
        <v>5000</v>
      </c>
      <c r="E6" s="23">
        <f>C6*Model!B5</f>
        <v>150500</v>
      </c>
      <c r="G6" s="21" t="s">
        <v>4</v>
      </c>
      <c r="H6" s="22">
        <v>2000</v>
      </c>
      <c r="I6" s="22">
        <v>2000</v>
      </c>
      <c r="J6" s="24">
        <f>H6*Model!$B$9</f>
        <v>10000</v>
      </c>
      <c r="K6" s="23">
        <v>120000</v>
      </c>
    </row>
    <row r="7" spans="2:11" ht="15.75" thickBot="1" x14ac:dyDescent="0.3">
      <c r="B7" s="21" t="s">
        <v>7</v>
      </c>
      <c r="C7" s="22">
        <f>Model!E25</f>
        <v>200.00000000000006</v>
      </c>
      <c r="D7" s="22">
        <f>Model!G25</f>
        <v>5000</v>
      </c>
      <c r="E7" s="23">
        <f>C7*Model!B6</f>
        <v>5000.0000000000018</v>
      </c>
      <c r="G7" s="21" t="s">
        <v>5</v>
      </c>
      <c r="H7" s="22">
        <v>1000.0000000000002</v>
      </c>
      <c r="I7" s="22">
        <v>1000</v>
      </c>
      <c r="J7" s="24">
        <f>H7*Model!$B$9</f>
        <v>5000.0000000000009</v>
      </c>
      <c r="K7" s="23">
        <v>75000.000000000015</v>
      </c>
    </row>
    <row r="8" spans="2:11" ht="15.75" thickBot="1" x14ac:dyDescent="0.3">
      <c r="B8" s="25" t="s">
        <v>32</v>
      </c>
      <c r="C8" s="26">
        <f>SUM(C5:C7)</f>
        <v>6000</v>
      </c>
      <c r="D8" s="26">
        <f>SUM(D5:D7)</f>
        <v>15000</v>
      </c>
      <c r="E8" s="27">
        <f>SUM(E5:E7)</f>
        <v>238000</v>
      </c>
      <c r="G8" s="25" t="s">
        <v>32</v>
      </c>
      <c r="H8" s="26">
        <f>SUM(H5:H7)</f>
        <v>6000</v>
      </c>
      <c r="I8" s="26">
        <f>SUM(I5:I7)</f>
        <v>6000</v>
      </c>
      <c r="J8" s="28">
        <f>SUM(J5:J7)</f>
        <v>30000</v>
      </c>
      <c r="K8" s="27">
        <f>SUM(K5:K7)</f>
        <v>405000</v>
      </c>
    </row>
    <row r="10" spans="2:11" ht="15.75" thickBot="1" x14ac:dyDescent="0.3">
      <c r="B10" s="17" t="s">
        <v>33</v>
      </c>
    </row>
    <row r="11" spans="2:11" x14ac:dyDescent="0.25">
      <c r="B11" s="29"/>
      <c r="C11" s="19" t="s">
        <v>3</v>
      </c>
      <c r="D11" s="19" t="s">
        <v>4</v>
      </c>
      <c r="E11" s="20" t="s">
        <v>5</v>
      </c>
    </row>
    <row r="12" spans="2:11" x14ac:dyDescent="0.25">
      <c r="B12" s="30" t="s">
        <v>2</v>
      </c>
      <c r="C12" s="31">
        <f>Model!B23</f>
        <v>1500.0000000000002</v>
      </c>
      <c r="D12" s="31">
        <f>Model!C23</f>
        <v>0</v>
      </c>
      <c r="E12" s="32">
        <f>Model!D23</f>
        <v>0</v>
      </c>
    </row>
    <row r="13" spans="2:11" x14ac:dyDescent="0.25">
      <c r="B13" s="30" t="s">
        <v>6</v>
      </c>
      <c r="C13" s="31">
        <f>Model!B24</f>
        <v>1500.0000000000002</v>
      </c>
      <c r="D13" s="31">
        <f>Model!C24</f>
        <v>2000</v>
      </c>
      <c r="E13" s="32">
        <f>Model!D24</f>
        <v>800.00000000000011</v>
      </c>
    </row>
    <row r="14" spans="2:11" ht="15.75" thickBot="1" x14ac:dyDescent="0.3">
      <c r="B14" s="33" t="s">
        <v>7</v>
      </c>
      <c r="C14" s="34">
        <f>Model!B25</f>
        <v>0</v>
      </c>
      <c r="D14" s="34">
        <f>Model!C25</f>
        <v>0</v>
      </c>
      <c r="E14" s="35">
        <f>Model!D25</f>
        <v>200.00000000000006</v>
      </c>
    </row>
    <row r="16" spans="2:11" ht="15.75" thickBot="1" x14ac:dyDescent="0.3">
      <c r="B16" s="17" t="s">
        <v>34</v>
      </c>
      <c r="F16" s="17" t="s">
        <v>36</v>
      </c>
    </row>
    <row r="17" spans="2:8" x14ac:dyDescent="0.25">
      <c r="B17" s="29"/>
      <c r="C17" s="19" t="s">
        <v>35</v>
      </c>
      <c r="D17" s="20" t="s">
        <v>37</v>
      </c>
      <c r="F17" s="29"/>
      <c r="G17" s="19" t="s">
        <v>35</v>
      </c>
      <c r="H17" s="20" t="s">
        <v>38</v>
      </c>
    </row>
    <row r="18" spans="2:8" x14ac:dyDescent="0.25">
      <c r="B18" s="30" t="s">
        <v>3</v>
      </c>
      <c r="C18" s="36">
        <f>IF(Model!B29=0,"NA",Model!B38/Model!B29)</f>
        <v>11</v>
      </c>
      <c r="D18" s="32">
        <f t="array" ref="D18:D20">TRANSPOSE(Model!B13:D13)</f>
        <v>11</v>
      </c>
      <c r="F18" s="30" t="s">
        <v>3</v>
      </c>
      <c r="G18" s="37">
        <f>IF(Model!B29=0,"NA",Model!B43/Model!B29)</f>
        <v>7.4999999999999997E-3</v>
      </c>
      <c r="H18" s="38">
        <f t="array" ref="H18:H20">TRANSPOSE(Model!B14:D14)</f>
        <v>0.01</v>
      </c>
    </row>
    <row r="19" spans="2:8" x14ac:dyDescent="0.25">
      <c r="B19" s="30" t="s">
        <v>4</v>
      </c>
      <c r="C19" s="36">
        <f>IF(Model!C29=0,"NA",Model!C38/Model!C29)</f>
        <v>10</v>
      </c>
      <c r="D19" s="32">
        <v>10</v>
      </c>
      <c r="F19" s="30" t="s">
        <v>4</v>
      </c>
      <c r="G19" s="37">
        <f>IF(Model!C29=0,"NA",Model!C43/Model!C29)</f>
        <v>5.0000000000000001E-3</v>
      </c>
      <c r="H19" s="38">
        <v>0.03</v>
      </c>
    </row>
    <row r="20" spans="2:8" ht="15.75" thickBot="1" x14ac:dyDescent="0.3">
      <c r="B20" s="33" t="s">
        <v>5</v>
      </c>
      <c r="C20" s="39">
        <f>IF(Model!D29=0,"NA",Model!D38/Model!D29)</f>
        <v>9.6</v>
      </c>
      <c r="D20" s="35">
        <v>9</v>
      </c>
      <c r="F20" s="33" t="s">
        <v>5</v>
      </c>
      <c r="G20" s="40">
        <f>IF(Model!D29=0,"NA",Model!D43/Model!D29)</f>
        <v>1.0000000000000002E-2</v>
      </c>
      <c r="H20" s="41">
        <v>0.01</v>
      </c>
    </row>
    <row r="22" spans="2:8" ht="15.75" thickBot="1" x14ac:dyDescent="0.3">
      <c r="B22" s="17" t="s">
        <v>51</v>
      </c>
      <c r="F22" s="42"/>
    </row>
    <row r="23" spans="2:8" x14ac:dyDescent="0.25">
      <c r="B23" s="43" t="s">
        <v>43</v>
      </c>
      <c r="C23" s="44">
        <f>E8</f>
        <v>238000</v>
      </c>
    </row>
    <row r="24" spans="2:8" x14ac:dyDescent="0.25">
      <c r="B24" s="21" t="s">
        <v>44</v>
      </c>
      <c r="C24" s="23">
        <f>J8</f>
        <v>30000</v>
      </c>
    </row>
    <row r="25" spans="2:8" ht="15.75" thickBot="1" x14ac:dyDescent="0.3">
      <c r="B25" s="21" t="s">
        <v>25</v>
      </c>
      <c r="C25" s="23">
        <f>K8</f>
        <v>405000</v>
      </c>
    </row>
    <row r="26" spans="2:8" ht="15.75" thickBot="1" x14ac:dyDescent="0.3">
      <c r="B26" s="25" t="s">
        <v>26</v>
      </c>
      <c r="C26" s="27">
        <f>C25-C23-C24</f>
        <v>137000</v>
      </c>
    </row>
  </sheetData>
  <phoneticPr fontId="0" type="noConversion"/>
  <pageMargins left="0.75" right="0.75" top="1" bottom="1" header="0.5" footer="0.5"/>
  <pageSetup scale="61" orientation="portrait"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ViewCrudePurch">
                <anchor moveWithCells="1" sizeWithCells="1">
                  <from>
                    <xdr:col>8</xdr:col>
                    <xdr:colOff>190500</xdr:colOff>
                    <xdr:row>12</xdr:row>
                    <xdr:rowOff>28575</xdr:rowOff>
                  </from>
                  <to>
                    <xdr:col>11</xdr:col>
                    <xdr:colOff>533400</xdr:colOff>
                    <xdr:row>13</xdr:row>
                    <xdr:rowOff>104775</xdr:rowOff>
                  </to>
                </anchor>
              </controlPr>
            </control>
          </mc:Choice>
        </mc:AlternateContent>
        <mc:AlternateContent xmlns:mc="http://schemas.openxmlformats.org/markup-compatibility/2006">
          <mc:Choice Requires="x14">
            <control shapeId="3074" r:id="rId5" name="Button 2">
              <controlPr defaultSize="0" print="0" autoFill="0" autoPict="0" macro="[0]!ViewCrudeCosts">
                <anchor moveWithCells="1" sizeWithCells="1">
                  <from>
                    <xdr:col>8</xdr:col>
                    <xdr:colOff>190500</xdr:colOff>
                    <xdr:row>13</xdr:row>
                    <xdr:rowOff>133350</xdr:rowOff>
                  </from>
                  <to>
                    <xdr:col>11</xdr:col>
                    <xdr:colOff>533400</xdr:colOff>
                    <xdr:row>15</xdr:row>
                    <xdr:rowOff>9525</xdr:rowOff>
                  </to>
                </anchor>
              </controlPr>
            </control>
          </mc:Choice>
        </mc:AlternateContent>
        <mc:AlternateContent xmlns:mc="http://schemas.openxmlformats.org/markup-compatibility/2006">
          <mc:Choice Requires="x14">
            <control shapeId="3075" r:id="rId6" name="Button 3">
              <controlPr defaultSize="0" print="0" autoFill="0" autoPict="0" macro="[0]!ViewGasProduced">
                <anchor moveWithCells="1" sizeWithCells="1">
                  <from>
                    <xdr:col>8</xdr:col>
                    <xdr:colOff>190500</xdr:colOff>
                    <xdr:row>15</xdr:row>
                    <xdr:rowOff>38100</xdr:rowOff>
                  </from>
                  <to>
                    <xdr:col>11</xdr:col>
                    <xdr:colOff>533400</xdr:colOff>
                    <xdr:row>16</xdr:row>
                    <xdr:rowOff>104775</xdr:rowOff>
                  </to>
                </anchor>
              </controlPr>
            </control>
          </mc:Choice>
        </mc:AlternateContent>
        <mc:AlternateContent xmlns:mc="http://schemas.openxmlformats.org/markup-compatibility/2006">
          <mc:Choice Requires="x14">
            <control shapeId="3076" r:id="rId7" name="Button 4">
              <controlPr defaultSize="0" print="0" autoFill="0" autoPict="0" macro="[0]!ViewProdCostsRevs">
                <anchor moveWithCells="1" sizeWithCells="1">
                  <from>
                    <xdr:col>8</xdr:col>
                    <xdr:colOff>190500</xdr:colOff>
                    <xdr:row>16</xdr:row>
                    <xdr:rowOff>133350</xdr:rowOff>
                  </from>
                  <to>
                    <xdr:col>11</xdr:col>
                    <xdr:colOff>533400</xdr:colOff>
                    <xdr:row>18</xdr:row>
                    <xdr:rowOff>19050</xdr:rowOff>
                  </to>
                </anchor>
              </controlPr>
            </control>
          </mc:Choice>
        </mc:AlternateContent>
        <mc:AlternateContent xmlns:mc="http://schemas.openxmlformats.org/markup-compatibility/2006">
          <mc:Choice Requires="x14">
            <control shapeId="3077" r:id="rId8" name="Button 5">
              <controlPr defaultSize="0" print="0" autoFill="0" autoPict="0" macro="[0]!ViewBlendPlan">
                <anchor moveWithCells="1" sizeWithCells="1">
                  <from>
                    <xdr:col>8</xdr:col>
                    <xdr:colOff>190500</xdr:colOff>
                    <xdr:row>18</xdr:row>
                    <xdr:rowOff>47625</xdr:rowOff>
                  </from>
                  <to>
                    <xdr:col>11</xdr:col>
                    <xdr:colOff>533400</xdr:colOff>
                    <xdr:row>19</xdr:row>
                    <xdr:rowOff>123825</xdr:rowOff>
                  </to>
                </anchor>
              </controlPr>
            </control>
          </mc:Choice>
        </mc:AlternateContent>
        <mc:AlternateContent xmlns:mc="http://schemas.openxmlformats.org/markup-compatibility/2006">
          <mc:Choice Requires="x14">
            <control shapeId="3078" r:id="rId9" name="Button 6">
              <controlPr defaultSize="0" print="0" autoFill="0" autoPict="0" macro="[0]!ViewOctane">
                <anchor moveWithCells="1" sizeWithCells="1">
                  <from>
                    <xdr:col>8</xdr:col>
                    <xdr:colOff>190500</xdr:colOff>
                    <xdr:row>19</xdr:row>
                    <xdr:rowOff>152400</xdr:rowOff>
                  </from>
                  <to>
                    <xdr:col>11</xdr:col>
                    <xdr:colOff>533400</xdr:colOff>
                    <xdr:row>21</xdr:row>
                    <xdr:rowOff>28575</xdr:rowOff>
                  </to>
                </anchor>
              </controlPr>
            </control>
          </mc:Choice>
        </mc:AlternateContent>
        <mc:AlternateContent xmlns:mc="http://schemas.openxmlformats.org/markup-compatibility/2006">
          <mc:Choice Requires="x14">
            <control shapeId="3079" r:id="rId10" name="Button 7">
              <controlPr defaultSize="0" print="0" autoFill="0" autoPict="0" macro="[0]!ViewSulfur">
                <anchor moveWithCells="1" sizeWithCells="1">
                  <from>
                    <xdr:col>8</xdr:col>
                    <xdr:colOff>190500</xdr:colOff>
                    <xdr:row>21</xdr:row>
                    <xdr:rowOff>57150</xdr:rowOff>
                  </from>
                  <to>
                    <xdr:col>11</xdr:col>
                    <xdr:colOff>533400</xdr:colOff>
                    <xdr:row>22</xdr:row>
                    <xdr:rowOff>123825</xdr:rowOff>
                  </to>
                </anchor>
              </controlPr>
            </control>
          </mc:Choice>
        </mc:AlternateContent>
        <mc:AlternateContent xmlns:mc="http://schemas.openxmlformats.org/markup-compatibility/2006">
          <mc:Choice Requires="x14">
            <control shapeId="3082" r:id="rId11" name="Button 10">
              <controlPr defaultSize="0" print="0" autoFill="0" autoPict="0" macro="[0]!ViewExplanation">
                <anchor moveWithCells="1" sizeWithCells="1">
                  <from>
                    <xdr:col>8</xdr:col>
                    <xdr:colOff>190500</xdr:colOff>
                    <xdr:row>22</xdr:row>
                    <xdr:rowOff>152400</xdr:rowOff>
                  </from>
                  <to>
                    <xdr:col>11</xdr:col>
                    <xdr:colOff>533400</xdr:colOff>
                    <xdr:row>24</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3</vt:i4>
      </vt:variant>
      <vt:variant>
        <vt:lpstr>Charts</vt:lpstr>
      </vt:variant>
      <vt:variant>
        <vt:i4>7</vt:i4>
      </vt:variant>
      <vt:variant>
        <vt:lpstr>Named Ranges</vt:lpstr>
      </vt:variant>
      <vt:variant>
        <vt:i4>13</vt:i4>
      </vt:variant>
    </vt:vector>
  </HeadingPairs>
  <TitlesOfParts>
    <vt:vector size="23" baseType="lpstr">
      <vt:lpstr>Explanation</vt:lpstr>
      <vt:lpstr>Model</vt:lpstr>
      <vt:lpstr>Report</vt:lpstr>
      <vt:lpstr>CrudePurch</vt:lpstr>
      <vt:lpstr>GasProduced</vt:lpstr>
      <vt:lpstr>CrudeCosts</vt:lpstr>
      <vt:lpstr>ProdCostsRevs</vt:lpstr>
      <vt:lpstr>BlendPlan</vt:lpstr>
      <vt:lpstr>Octane</vt:lpstr>
      <vt:lpstr>Sulfur</vt:lpstr>
      <vt:lpstr>Avails</vt:lpstr>
      <vt:lpstr>Capacity</vt:lpstr>
      <vt:lpstr>Demands</vt:lpstr>
      <vt:lpstr>MaxSulfurs</vt:lpstr>
      <vt:lpstr>MinOctanes</vt:lpstr>
      <vt:lpstr>Octanes</vt:lpstr>
      <vt:lpstr>Explanation!Print_Area</vt:lpstr>
      <vt:lpstr>Model!Print_Area</vt:lpstr>
      <vt:lpstr>Report!Print_Area</vt:lpstr>
      <vt:lpstr>ProdCost</vt:lpstr>
      <vt:lpstr>PurchCosts</vt:lpstr>
      <vt:lpstr>SellPrices</vt:lpstr>
      <vt:lpstr>Sulfurs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Albright</dc:creator>
  <cp:lastModifiedBy>Chris Albright</cp:lastModifiedBy>
  <cp:lastPrinted>2011-01-23T18:21:46Z</cp:lastPrinted>
  <dcterms:created xsi:type="dcterms:W3CDTF">1999-12-10T01:46:14Z</dcterms:created>
  <dcterms:modified xsi:type="dcterms:W3CDTF">2015-02-09T17:40:48Z</dcterms:modified>
</cp:coreProperties>
</file>