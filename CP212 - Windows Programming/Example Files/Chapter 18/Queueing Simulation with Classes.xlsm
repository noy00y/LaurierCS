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18\"/>
    </mc:Choice>
  </mc:AlternateContent>
  <bookViews>
    <workbookView xWindow="120" yWindow="135" windowWidth="21075" windowHeight="9525"/>
  </bookViews>
  <sheets>
    <sheet name="Inputs" sheetId="2" r:id="rId1"/>
    <sheet name="Results" sheetId="3" r:id="rId2"/>
  </sheets>
  <definedNames>
    <definedName name="NBusy">OFFSET(Results!$J$3,0,0,COUNT(Results!$J:$J),1)</definedName>
    <definedName name="ProbNBusy">OFFSET(Results!$K$3,0,0,COUNT(Results!$K:$K),1)</definedName>
    <definedName name="ProbQSize">OFFSET(Results!$H$3,0,0,COUNT(Results!$H:$H),1)</definedName>
    <definedName name="ProbSysSize">OFFSET(Results!$E$3,0,0,COUNT(Results!$E:$E),1)</definedName>
    <definedName name="QSize">OFFSET(Results!$G$3,0,0,COUNT(Results!$G:$G),1)</definedName>
    <definedName name="SysSize">OFFSET(Results!$D$3,0,0,COUNT(Results!$D:$D),1)</definedName>
  </definedNames>
  <calcPr calcId="152511" calcMode="autoNoTable"/>
</workbook>
</file>

<file path=xl/calcChain.xml><?xml version="1.0" encoding="utf-8"?>
<calcChain xmlns="http://schemas.openxmlformats.org/spreadsheetml/2006/main">
  <c r="B7" i="2" l="1"/>
</calcChain>
</file>

<file path=xl/sharedStrings.xml><?xml version="1.0" encoding="utf-8"?>
<sst xmlns="http://schemas.openxmlformats.org/spreadsheetml/2006/main" count="25" uniqueCount="23">
  <si>
    <t>Mean interarrival time</t>
  </si>
  <si>
    <t>Mean service time</t>
  </si>
  <si>
    <t>Number of servers</t>
  </si>
  <si>
    <t>Maximum allowed in queue</t>
  </si>
  <si>
    <t>Traffic intensity</t>
  </si>
  <si>
    <t>Mean time in system</t>
  </si>
  <si>
    <t>Distribution of number in system</t>
  </si>
  <si>
    <t>Distribution of queue size</t>
  </si>
  <si>
    <t>Distribution of number busy</t>
  </si>
  <si>
    <t>Number in system</t>
  </si>
  <si>
    <t>Probability</t>
  </si>
  <si>
    <t>Number in queue</t>
  </si>
  <si>
    <t>Number busy</t>
  </si>
  <si>
    <t>Mean time in queue</t>
  </si>
  <si>
    <t>Mean number in system</t>
  </si>
  <si>
    <t>Maximum number in system</t>
  </si>
  <si>
    <t>Mean number in queue</t>
  </si>
  <si>
    <t>Maximum number in queue</t>
  </si>
  <si>
    <t>Server utilization</t>
  </si>
  <si>
    <t>Customers served</t>
  </si>
  <si>
    <t>Customers lost</t>
  </si>
  <si>
    <t>Time simulation ends</t>
  </si>
  <si>
    <t>Close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</si>
</sst>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1">
    <xf numFmtId="0" fontId="0" fillId="0" borderId="0" xfId="0"/>
    <xf numFmtId="0" fontId="1" fillId="0" borderId="0" xfId="1"/>
    <xf numFmtId="2" fontId="1" fillId="2" borderId="0" xfId="1" applyNumberFormat="1" applyFill="1" applyBorder="1"/>
    <xf numFmtId="0" fontId="1" fillId="2" borderId="0" xfId="1" applyFill="1" applyBorder="1"/>
    <xf numFmtId="164" fontId="1" fillId="0" borderId="0" xfId="1" applyNumberFormat="1"/>
    <xf numFmtId="1" fontId="1" fillId="0" borderId="0" xfId="1" applyNumberFormat="1"/>
    <xf numFmtId="0" fontId="1" fillId="0" borderId="0" xfId="1" applyAlignment="1">
      <alignment horizontal="right"/>
    </xf>
    <xf numFmtId="164" fontId="1" fillId="0" borderId="0" xfId="1" applyNumberFormat="1" applyAlignment="1">
      <alignment horizontal="right"/>
    </xf>
    <xf numFmtId="1" fontId="1" fillId="0" borderId="0" xfId="1" applyNumberFormat="1" applyAlignment="1">
      <alignment horizontal="right"/>
    </xf>
    <xf numFmtId="10" fontId="1" fillId="0" borderId="0" xfId="1" applyNumberFormat="1"/>
    <xf numFmtId="165" fontId="1" fillId="0" borderId="0" xfId="1" applyNumberForma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Distribution of Number Busy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invertIfNegative val="0"/>
          <c:cat>
            <c:numRef>
              <c:f>Results!$J$3:$J$5</c:f>
              <c:numCache>
                <c:formatCode>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Results!$K$3:$K$5</c:f>
              <c:numCache>
                <c:formatCode>0.0000</c:formatCode>
                <c:ptCount val="3"/>
                <c:pt idx="0">
                  <c:v>0.11222433298826218</c:v>
                </c:pt>
                <c:pt idx="1">
                  <c:v>0.18406689167022705</c:v>
                </c:pt>
                <c:pt idx="2">
                  <c:v>0.70370876789093018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582352"/>
        <c:axId val="98575688"/>
      </c:barChart>
      <c:catAx>
        <c:axId val="98582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Busy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98575688"/>
        <c:crosses val="autoZero"/>
        <c:auto val="1"/>
        <c:lblAlgn val="ctr"/>
        <c:lblOffset val="100"/>
        <c:noMultiLvlLbl val="0"/>
      </c:catAx>
      <c:valAx>
        <c:axId val="985756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000" sourceLinked="1"/>
        <c:majorTickMark val="out"/>
        <c:minorTickMark val="none"/>
        <c:tickLblPos val="nextTo"/>
        <c:crossAx val="98582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Distribution of Number in Queue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invertIfNegative val="0"/>
          <c:cat>
            <c:numRef>
              <c:f>Results!$G$3:$G$18</c:f>
              <c:numCache>
                <c:formatCode>0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cat>
          <c:val>
            <c:numRef>
              <c:f>Results!$H$3:$H$18</c:f>
              <c:numCache>
                <c:formatCode>0.0000</c:formatCode>
                <c:ptCount val="16"/>
                <c:pt idx="0">
                  <c:v>0.44234439730644226</c:v>
                </c:pt>
                <c:pt idx="1">
                  <c:v>0.12373636662960052</c:v>
                </c:pt>
                <c:pt idx="2">
                  <c:v>9.9400460720062256E-2</c:v>
                </c:pt>
                <c:pt idx="3">
                  <c:v>7.9621084034442902E-2</c:v>
                </c:pt>
                <c:pt idx="4">
                  <c:v>5.8216564357280731E-2</c:v>
                </c:pt>
                <c:pt idx="5">
                  <c:v>4.230215772986412E-2</c:v>
                </c:pt>
                <c:pt idx="6">
                  <c:v>3.4692429006099701E-2</c:v>
                </c:pt>
                <c:pt idx="7">
                  <c:v>2.7059093117713928E-2</c:v>
                </c:pt>
                <c:pt idx="8">
                  <c:v>2.0711537450551987E-2</c:v>
                </c:pt>
                <c:pt idx="9">
                  <c:v>1.7798164859414101E-2</c:v>
                </c:pt>
                <c:pt idx="10">
                  <c:v>1.498161256313324E-2</c:v>
                </c:pt>
                <c:pt idx="11">
                  <c:v>1.1942490004003048E-2</c:v>
                </c:pt>
                <c:pt idx="12">
                  <c:v>9.8442304879426956E-3</c:v>
                </c:pt>
                <c:pt idx="13">
                  <c:v>7.5514414347708225E-3</c:v>
                </c:pt>
                <c:pt idx="14">
                  <c:v>5.6348694488406181E-3</c:v>
                </c:pt>
                <c:pt idx="15">
                  <c:v>4.1631171479821205E-3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134824"/>
        <c:axId val="150127376"/>
      </c:barChart>
      <c:catAx>
        <c:axId val="150134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in Queue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50127376"/>
        <c:crosses val="autoZero"/>
        <c:auto val="1"/>
        <c:lblAlgn val="ctr"/>
        <c:lblOffset val="100"/>
        <c:noMultiLvlLbl val="0"/>
      </c:catAx>
      <c:valAx>
        <c:axId val="1501273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000" sourceLinked="1"/>
        <c:majorTickMark val="out"/>
        <c:minorTickMark val="none"/>
        <c:tickLblPos val="nextTo"/>
        <c:crossAx val="150134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Distribution of Number in System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invertIfNegative val="0"/>
          <c:cat>
            <c:numRef>
              <c:f>Results!$D$3:$D$20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cat>
          <c:val>
            <c:numRef>
              <c:f>Results!$E$3:$E$20</c:f>
              <c:numCache>
                <c:formatCode>0.0000</c:formatCode>
                <c:ptCount val="18"/>
                <c:pt idx="0">
                  <c:v>0.11222433298826218</c:v>
                </c:pt>
                <c:pt idx="1">
                  <c:v>0.18406689167022705</c:v>
                </c:pt>
                <c:pt idx="2">
                  <c:v>0.14605315029621124</c:v>
                </c:pt>
                <c:pt idx="3">
                  <c:v>0.12373636662960052</c:v>
                </c:pt>
                <c:pt idx="4">
                  <c:v>9.9400460720062256E-2</c:v>
                </c:pt>
                <c:pt idx="5">
                  <c:v>7.9621084034442902E-2</c:v>
                </c:pt>
                <c:pt idx="6">
                  <c:v>5.8216564357280731E-2</c:v>
                </c:pt>
                <c:pt idx="7">
                  <c:v>4.230215772986412E-2</c:v>
                </c:pt>
                <c:pt idx="8">
                  <c:v>3.4692429006099701E-2</c:v>
                </c:pt>
                <c:pt idx="9">
                  <c:v>2.7059093117713928E-2</c:v>
                </c:pt>
                <c:pt idx="10">
                  <c:v>2.0711537450551987E-2</c:v>
                </c:pt>
                <c:pt idx="11">
                  <c:v>1.7798164859414101E-2</c:v>
                </c:pt>
                <c:pt idx="12">
                  <c:v>1.498161256313324E-2</c:v>
                </c:pt>
                <c:pt idx="13">
                  <c:v>1.1942490004003048E-2</c:v>
                </c:pt>
                <c:pt idx="14">
                  <c:v>9.8442304879426956E-3</c:v>
                </c:pt>
                <c:pt idx="15">
                  <c:v>7.5514414347708225E-3</c:v>
                </c:pt>
                <c:pt idx="16">
                  <c:v>5.6348694488406181E-3</c:v>
                </c:pt>
                <c:pt idx="17">
                  <c:v>4.1631171479821205E-3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128160"/>
        <c:axId val="150128552"/>
      </c:barChart>
      <c:catAx>
        <c:axId val="150128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in System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0128552"/>
        <c:crosses val="autoZero"/>
        <c:auto val="1"/>
        <c:lblAlgn val="ctr"/>
        <c:lblOffset val="100"/>
        <c:noMultiLvlLbl val="0"/>
      </c:catAx>
      <c:valAx>
        <c:axId val="1501285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000" sourceLinked="1"/>
        <c:majorTickMark val="out"/>
        <c:minorTickMark val="none"/>
        <c:tickLblPos val="nextTo"/>
        <c:crossAx val="150128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47625</xdr:rowOff>
        </xdr:from>
        <xdr:to>
          <xdr:col>5</xdr:col>
          <xdr:colOff>590550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32</xdr:row>
      <xdr:rowOff>38100</xdr:rowOff>
    </xdr:from>
    <xdr:to>
      <xdr:col>9</xdr:col>
      <xdr:colOff>685799</xdr:colOff>
      <xdr:row>40</xdr:row>
      <xdr:rowOff>161925</xdr:rowOff>
    </xdr:to>
    <xdr:graphicFrame macro="">
      <xdr:nvGraphicFramePr>
        <xdr:cNvPr id="2" name="NBusy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400050</xdr:colOff>
      <xdr:row>21</xdr:row>
      <xdr:rowOff>9525</xdr:rowOff>
    </xdr:from>
    <xdr:to>
      <xdr:col>12</xdr:col>
      <xdr:colOff>333375</xdr:colOff>
      <xdr:row>31</xdr:row>
      <xdr:rowOff>38100</xdr:rowOff>
    </xdr:to>
    <xdr:graphicFrame macro="">
      <xdr:nvGraphicFramePr>
        <xdr:cNvPr id="3" name="NQueue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342900</xdr:colOff>
      <xdr:row>23</xdr:row>
      <xdr:rowOff>63500</xdr:rowOff>
    </xdr:from>
    <xdr:to>
      <xdr:col>2</xdr:col>
      <xdr:colOff>409575</xdr:colOff>
      <xdr:row>28</xdr:row>
      <xdr:rowOff>28575</xdr:rowOff>
    </xdr:to>
    <xdr:sp macro="" textlink="">
      <xdr:nvSpPr>
        <xdr:cNvPr id="4" name="TextBox 3"/>
        <xdr:cNvSpPr txBox="1"/>
      </xdr:nvSpPr>
      <xdr:spPr>
        <a:xfrm>
          <a:off x="342900" y="4445000"/>
          <a:ext cx="2771775" cy="9175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sz="1100"/>
            <a:t>Note the dynamic range names for columns D, E, G, H, J, and K (all starting in row 3). The charts are linked to these ranges in the ReportResults procedure.</a:t>
          </a:r>
        </a:p>
      </xdr:txBody>
    </xdr:sp>
    <xdr:clientData/>
  </xdr:twoCellAnchor>
  <xdr:twoCellAnchor>
    <xdr:from>
      <xdr:col>3</xdr:col>
      <xdr:colOff>180975</xdr:colOff>
      <xdr:row>21</xdr:row>
      <xdr:rowOff>0</xdr:rowOff>
    </xdr:from>
    <xdr:to>
      <xdr:col>7</xdr:col>
      <xdr:colOff>304800</xdr:colOff>
      <xdr:row>31</xdr:row>
      <xdr:rowOff>57150</xdr:rowOff>
    </xdr:to>
    <xdr:graphicFrame macro="">
      <xdr:nvGraphicFramePr>
        <xdr:cNvPr id="5" name="NSystem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Inputs"/>
  <dimension ref="A1:B7"/>
  <sheetViews>
    <sheetView tabSelected="1" workbookViewId="0"/>
  </sheetViews>
  <sheetFormatPr defaultRowHeight="15" x14ac:dyDescent="0.25"/>
  <cols>
    <col min="1" max="1" width="26.28515625" style="1" bestFit="1" customWidth="1"/>
    <col min="2" max="16384" width="9.140625" style="1"/>
  </cols>
  <sheetData>
    <row r="1" spans="1:2" x14ac:dyDescent="0.25">
      <c r="A1" s="1" t="s">
        <v>0</v>
      </c>
      <c r="B1" s="2">
        <v>1</v>
      </c>
    </row>
    <row r="2" spans="1:2" x14ac:dyDescent="0.25">
      <c r="A2" s="1" t="s">
        <v>1</v>
      </c>
      <c r="B2" s="2">
        <v>1.6</v>
      </c>
    </row>
    <row r="3" spans="1:2" x14ac:dyDescent="0.25">
      <c r="A3" s="1" t="s">
        <v>2</v>
      </c>
      <c r="B3" s="3">
        <v>2</v>
      </c>
    </row>
    <row r="4" spans="1:2" x14ac:dyDescent="0.25">
      <c r="A4" s="1" t="s">
        <v>3</v>
      </c>
      <c r="B4" s="3">
        <v>15</v>
      </c>
    </row>
    <row r="5" spans="1:2" x14ac:dyDescent="0.25">
      <c r="A5" s="1" t="s">
        <v>22</v>
      </c>
      <c r="B5" s="3">
        <v>10000</v>
      </c>
    </row>
    <row r="7" spans="1:2" x14ac:dyDescent="0.25">
      <c r="A7" s="1" t="s">
        <v>4</v>
      </c>
      <c r="B7" s="1">
        <f>(1/B1)/(B3*(1/B2))</f>
        <v>0.8</v>
      </c>
    </row>
  </sheetData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123825</xdr:colOff>
                    <xdr:row>2</xdr:row>
                    <xdr:rowOff>47625</xdr:rowOff>
                  </from>
                  <to>
                    <xdr:col>5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Report"/>
  <dimension ref="A1:N20"/>
  <sheetViews>
    <sheetView zoomScaleNormal="100" workbookViewId="0"/>
  </sheetViews>
  <sheetFormatPr defaultRowHeight="15" x14ac:dyDescent="0.25"/>
  <cols>
    <col min="1" max="1" width="27.42578125" style="1" customWidth="1"/>
    <col min="2" max="2" width="13.140625" style="1" customWidth="1"/>
    <col min="3" max="3" width="9.140625" style="1"/>
    <col min="4" max="4" width="18.28515625" style="1" customWidth="1"/>
    <col min="5" max="5" width="10.7109375" style="4" bestFit="1" customWidth="1"/>
    <col min="6" max="6" width="9.140625" style="1"/>
    <col min="7" max="7" width="17.42578125" style="5" customWidth="1"/>
    <col min="8" max="8" width="10.7109375" style="4" bestFit="1" customWidth="1"/>
    <col min="9" max="9" width="9.140625" style="1"/>
    <col min="10" max="10" width="14.5703125" style="5" customWidth="1"/>
    <col min="11" max="11" width="10" style="4" customWidth="1"/>
    <col min="12" max="12" width="9.140625" style="1"/>
    <col min="13" max="13" width="16.5703125" style="1" customWidth="1"/>
    <col min="14" max="14" width="9.7109375" style="4" customWidth="1"/>
    <col min="15" max="16384" width="9.140625" style="1"/>
  </cols>
  <sheetData>
    <row r="1" spans="1:11" x14ac:dyDescent="0.25">
      <c r="A1" s="1" t="s">
        <v>5</v>
      </c>
      <c r="B1" s="4">
        <v>3.9479122161865234</v>
      </c>
      <c r="D1" s="1" t="s">
        <v>6</v>
      </c>
      <c r="G1" s="5" t="s">
        <v>7</v>
      </c>
      <c r="J1" s="5" t="s">
        <v>8</v>
      </c>
    </row>
    <row r="2" spans="1:11" x14ac:dyDescent="0.25">
      <c r="A2" s="1" t="s">
        <v>13</v>
      </c>
      <c r="B2" s="4">
        <v>2.3610992431640625</v>
      </c>
      <c r="D2" s="6" t="s">
        <v>9</v>
      </c>
      <c r="E2" s="7" t="s">
        <v>10</v>
      </c>
      <c r="G2" s="8" t="s">
        <v>11</v>
      </c>
      <c r="H2" s="7" t="s">
        <v>10</v>
      </c>
      <c r="J2" s="8" t="s">
        <v>12</v>
      </c>
      <c r="K2" s="7" t="s">
        <v>10</v>
      </c>
    </row>
    <row r="3" spans="1:11" x14ac:dyDescent="0.25">
      <c r="B3" s="4"/>
      <c r="D3" s="1">
        <v>0</v>
      </c>
      <c r="E3" s="4">
        <v>0.11222433298826218</v>
      </c>
      <c r="G3" s="5">
        <v>0</v>
      </c>
      <c r="H3" s="4">
        <v>0.44234439730644226</v>
      </c>
      <c r="J3" s="5">
        <v>0</v>
      </c>
      <c r="K3" s="4">
        <v>0.11222433298826218</v>
      </c>
    </row>
    <row r="4" spans="1:11" x14ac:dyDescent="0.25">
      <c r="A4" s="1" t="s">
        <v>14</v>
      </c>
      <c r="B4" s="4">
        <v>3.959524393081665</v>
      </c>
      <c r="D4" s="1">
        <v>1</v>
      </c>
      <c r="E4" s="4">
        <v>0.18406689167022705</v>
      </c>
      <c r="G4" s="5">
        <v>1</v>
      </c>
      <c r="H4" s="4">
        <v>0.12373636662960052</v>
      </c>
      <c r="J4" s="5">
        <v>1</v>
      </c>
      <c r="K4" s="4">
        <v>0.18406689167022705</v>
      </c>
    </row>
    <row r="5" spans="1:11" x14ac:dyDescent="0.25">
      <c r="A5" s="1" t="s">
        <v>15</v>
      </c>
      <c r="B5" s="5">
        <v>17</v>
      </c>
      <c r="D5" s="1">
        <v>2</v>
      </c>
      <c r="E5" s="4">
        <v>0.14605315029621124</v>
      </c>
      <c r="G5" s="5">
        <v>2</v>
      </c>
      <c r="H5" s="4">
        <v>9.9400460720062256E-2</v>
      </c>
      <c r="J5" s="5">
        <v>2</v>
      </c>
      <c r="K5" s="4">
        <v>0.70370876789093018</v>
      </c>
    </row>
    <row r="6" spans="1:11" x14ac:dyDescent="0.25">
      <c r="A6" s="1" t="s">
        <v>16</v>
      </c>
      <c r="B6" s="4">
        <v>2.368039608001709</v>
      </c>
      <c r="D6" s="1">
        <v>3</v>
      </c>
      <c r="E6" s="4">
        <v>0.12373636662960052</v>
      </c>
      <c r="G6" s="5">
        <v>3</v>
      </c>
      <c r="H6" s="4">
        <v>7.9621084034442902E-2</v>
      </c>
    </row>
    <row r="7" spans="1:11" x14ac:dyDescent="0.25">
      <c r="A7" s="1" t="s">
        <v>17</v>
      </c>
      <c r="B7" s="5">
        <v>15</v>
      </c>
      <c r="D7" s="1">
        <v>4</v>
      </c>
      <c r="E7" s="4">
        <v>9.9400460720062256E-2</v>
      </c>
      <c r="G7" s="5">
        <v>4</v>
      </c>
      <c r="H7" s="4">
        <v>5.8216564357280731E-2</v>
      </c>
    </row>
    <row r="8" spans="1:11" x14ac:dyDescent="0.25">
      <c r="D8" s="1">
        <v>5</v>
      </c>
      <c r="E8" s="4">
        <v>7.9621084034442902E-2</v>
      </c>
      <c r="G8" s="5">
        <v>5</v>
      </c>
      <c r="H8" s="4">
        <v>4.230215772986412E-2</v>
      </c>
    </row>
    <row r="9" spans="1:11" x14ac:dyDescent="0.25">
      <c r="A9" s="1" t="s">
        <v>18</v>
      </c>
      <c r="B9" s="9">
        <v>0.7957422137260437</v>
      </c>
      <c r="D9" s="1">
        <v>6</v>
      </c>
      <c r="E9" s="4">
        <v>5.8216564357280731E-2</v>
      </c>
      <c r="G9" s="5">
        <v>6</v>
      </c>
      <c r="H9" s="4">
        <v>3.4692429006099701E-2</v>
      </c>
    </row>
    <row r="10" spans="1:11" x14ac:dyDescent="0.25">
      <c r="D10" s="1">
        <v>7</v>
      </c>
      <c r="E10" s="4">
        <v>4.230215772986412E-2</v>
      </c>
      <c r="G10" s="5">
        <v>7</v>
      </c>
      <c r="H10" s="4">
        <v>2.7059093117713928E-2</v>
      </c>
    </row>
    <row r="11" spans="1:11" x14ac:dyDescent="0.25">
      <c r="A11" s="1" t="s">
        <v>19</v>
      </c>
      <c r="B11" s="5">
        <v>10030</v>
      </c>
      <c r="D11" s="1">
        <v>8</v>
      </c>
      <c r="E11" s="4">
        <v>3.4692429006099701E-2</v>
      </c>
      <c r="G11" s="5">
        <v>8</v>
      </c>
      <c r="H11" s="4">
        <v>2.0711537450551987E-2</v>
      </c>
    </row>
    <row r="12" spans="1:11" x14ac:dyDescent="0.25">
      <c r="A12" s="1" t="s">
        <v>20</v>
      </c>
      <c r="B12" s="5">
        <v>37</v>
      </c>
      <c r="D12" s="1">
        <v>9</v>
      </c>
      <c r="E12" s="4">
        <v>2.7059093117713928E-2</v>
      </c>
      <c r="G12" s="5">
        <v>9</v>
      </c>
      <c r="H12" s="4">
        <v>1.7798164859414101E-2</v>
      </c>
    </row>
    <row r="13" spans="1:11" x14ac:dyDescent="0.25">
      <c r="D13" s="1">
        <v>10</v>
      </c>
      <c r="E13" s="4">
        <v>2.0711537450551987E-2</v>
      </c>
      <c r="G13" s="5">
        <v>10</v>
      </c>
      <c r="H13" s="4">
        <v>1.498161256313324E-2</v>
      </c>
    </row>
    <row r="14" spans="1:11" x14ac:dyDescent="0.25">
      <c r="A14" s="1" t="s">
        <v>21</v>
      </c>
      <c r="B14" s="10">
        <v>10000.5849609375</v>
      </c>
      <c r="D14" s="1">
        <v>11</v>
      </c>
      <c r="E14" s="4">
        <v>1.7798164859414101E-2</v>
      </c>
      <c r="G14" s="5">
        <v>11</v>
      </c>
      <c r="H14" s="4">
        <v>1.1942490004003048E-2</v>
      </c>
    </row>
    <row r="15" spans="1:11" x14ac:dyDescent="0.25">
      <c r="B15" s="4"/>
      <c r="D15" s="1">
        <v>12</v>
      </c>
      <c r="E15" s="4">
        <v>1.498161256313324E-2</v>
      </c>
      <c r="G15" s="5">
        <v>12</v>
      </c>
      <c r="H15" s="4">
        <v>9.8442304879426956E-3</v>
      </c>
    </row>
    <row r="16" spans="1:11" x14ac:dyDescent="0.25">
      <c r="D16" s="1">
        <v>13</v>
      </c>
      <c r="E16" s="4">
        <v>1.1942490004003048E-2</v>
      </c>
      <c r="G16" s="5">
        <v>13</v>
      </c>
      <c r="H16" s="4">
        <v>7.5514414347708225E-3</v>
      </c>
    </row>
    <row r="17" spans="4:8" x14ac:dyDescent="0.25">
      <c r="D17" s="1">
        <v>14</v>
      </c>
      <c r="E17" s="4">
        <v>9.8442304879426956E-3</v>
      </c>
      <c r="G17" s="5">
        <v>14</v>
      </c>
      <c r="H17" s="4">
        <v>5.6348694488406181E-3</v>
      </c>
    </row>
    <row r="18" spans="4:8" x14ac:dyDescent="0.25">
      <c r="D18" s="1">
        <v>15</v>
      </c>
      <c r="E18" s="4">
        <v>7.5514414347708225E-3</v>
      </c>
      <c r="G18" s="5">
        <v>15</v>
      </c>
      <c r="H18" s="4">
        <v>4.1631171479821205E-3</v>
      </c>
    </row>
    <row r="19" spans="4:8" x14ac:dyDescent="0.25">
      <c r="D19" s="1">
        <v>16</v>
      </c>
      <c r="E19" s="4">
        <v>5.6348694488406181E-3</v>
      </c>
    </row>
    <row r="20" spans="4:8" x14ac:dyDescent="0.25">
      <c r="D20" s="1">
        <v>17</v>
      </c>
      <c r="E20" s="4">
        <v>4.1631171479821205E-3</v>
      </c>
    </row>
  </sheetData>
  <dataConsolidate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Inputs</vt:lpstr>
      <vt:lpstr>Results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 Albright</cp:lastModifiedBy>
  <dcterms:created xsi:type="dcterms:W3CDTF">2011-01-29T13:25:53Z</dcterms:created>
  <dcterms:modified xsi:type="dcterms:W3CDTF">2014-08-13T18:32:44Z</dcterms:modified>
</cp:coreProperties>
</file>