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3\"/>
    </mc:Choice>
  </mc:AlternateContent>
  <bookViews>
    <workbookView xWindow="360" yWindow="120" windowWidth="11340" windowHeight="5520"/>
  </bookViews>
  <sheets>
    <sheet name="Explanation" sheetId="13" r:id="rId1"/>
    <sheet name="Data" sheetId="1" state="hidden" r:id="rId2"/>
    <sheet name="Model" sheetId="12" state="hidden" r:id="rId3"/>
    <sheet name="Report" sheetId="15" state="hidden" r:id="rId4"/>
    <sheet name="Demand_Forecast" sheetId="10" state="hidden" r:id="rId5"/>
    <sheet name="Cost_Forecast" sheetId="11" state="hidden" r:id="rId6"/>
  </sheets>
  <definedNames>
    <definedName name="_APE1" localSheetId="1">Data!$K$4:$K$66</definedName>
    <definedName name="_APE2" localSheetId="1">Data!$L$4:$L$66</definedName>
    <definedName name="Alpha1" localSheetId="1">Data!$AB$6</definedName>
    <definedName name="Alpha2" localSheetId="1">Data!$AE$6</definedName>
    <definedName name="AvgInv" localSheetId="2">Model!$B$26:$G$26</definedName>
    <definedName name="Beta1" localSheetId="1">Data!$AB$7</definedName>
    <definedName name="Beta2" localSheetId="1">Data!$AE$7</definedName>
    <definedName name="CostFCasts" localSheetId="1">Data!$J$3:$J$66</definedName>
    <definedName name="Demands" localSheetId="1">Data!$B$3:$B$66</definedName>
    <definedName name="DemFCasts" localSheetId="1">Data!$G$3:$G$66</definedName>
    <definedName name="EndInv" localSheetId="2">Model!$B$23:$G$23</definedName>
    <definedName name="FCosts" localSheetId="2">Model!$B$30:$G$30</definedName>
    <definedName name="FDemands" localSheetId="2">Model!$B$21:$G$21</definedName>
    <definedName name="Gamma1" localSheetId="1">Data!$AB$8</definedName>
    <definedName name="HoldOpt" localSheetId="2">Model!$B$8</definedName>
    <definedName name="HoldPct" localSheetId="2">Model!$B$7</definedName>
    <definedName name="InitInv" localSheetId="2">Model!$B$5</definedName>
    <definedName name="InvCap" localSheetId="2">Model!$B$10</definedName>
    <definedName name="InvCaps" localSheetId="2">Model!$B$25:$G$25</definedName>
    <definedName name="MAPE1" localSheetId="1">Data!$O$4</definedName>
    <definedName name="MAPE2" localSheetId="1">Data!$O$5</definedName>
    <definedName name="Month" localSheetId="1">Data!$A$4:$A$63</definedName>
    <definedName name="Months" localSheetId="1">Data!$A$4:$A$66</definedName>
    <definedName name="Months" localSheetId="2">Model!$B$13:$G$13</definedName>
    <definedName name="NMonths" localSheetId="2">Model!$B$4</definedName>
    <definedName name="Onhand" localSheetId="2">Model!$B$19:$G$19</definedName>
    <definedName name="_xlnm.Print_Area" localSheetId="3">Report!$A$1:$K$21</definedName>
    <definedName name="ProdCap" localSheetId="2">Model!$B$9</definedName>
    <definedName name="ProdCaps" localSheetId="2">Model!$B$17:$G$17</definedName>
    <definedName name="ProdPct" localSheetId="2">Model!$B$6</definedName>
    <definedName name="Production" localSheetId="2">Model!$B$15:$G$15</definedName>
    <definedName name="RepEndInv" localSheetId="3">Report!$A$5:$G$5</definedName>
    <definedName name="RepMonths" localSheetId="3">Report!$B$3:$G$3</definedName>
    <definedName name="RepProd" localSheetId="3">Report!$A$4:$G$4</definedName>
    <definedName name="solver_adj" localSheetId="2" hidden="1">Model!$B$15:$G$15</definedName>
    <definedName name="solver_cct" localSheetId="2" hidden="1">20</definedName>
    <definedName name="solver_cgt" localSheetId="2" hidden="1">1</definedName>
    <definedName name="solver_con1" localSheetId="2" hidden="1">" "</definedName>
    <definedName name="solver_con2" localSheetId="2" hidden="1">" "</definedName>
    <definedName name="solver_con3" localSheetId="2" hidden="1">" "</definedName>
    <definedName name="solver_cvg" localSheetId="2" hidden="1">0.0001</definedName>
    <definedName name="solver_dia" localSheetId="2" hidden="1">1</definedName>
    <definedName name="solver_drv" localSheetId="2" hidden="1">1</definedName>
    <definedName name="solver_dua" localSheetId="2" hidden="1">1</definedName>
    <definedName name="solver_eng" localSheetId="2" hidden="1">2</definedName>
    <definedName name="solver_est" localSheetId="2" hidden="1">1</definedName>
    <definedName name="solver_fns" localSheetId="2" hidden="1">0</definedName>
    <definedName name="solver_gct" localSheetId="2" hidden="1">20</definedName>
    <definedName name="solver_gop" localSheetId="2" hidden="1">1</definedName>
    <definedName name="solver_ibd" localSheetId="2" hidden="1">0</definedName>
    <definedName name="solver_itr" localSheetId="2" hidden="1">100</definedName>
    <definedName name="solver_lhs1" localSheetId="2" hidden="1">Model!$B$15:$G$15</definedName>
    <definedName name="solver_lhs2" localSheetId="2" hidden="1">Model!$B$19:$G$19</definedName>
    <definedName name="solver_lhs3" localSheetId="2" hidden="1">Model!$B$23:$G$23</definedName>
    <definedName name="solver_lin" localSheetId="2" hidden="1">1</definedName>
    <definedName name="solver_loc" localSheetId="2" hidden="1">4</definedName>
    <definedName name="solver_lva" localSheetId="2" hidden="1">0</definedName>
    <definedName name="solver_mip" localSheetId="2" hidden="1">5000</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5000</definedName>
    <definedName name="solver_num" localSheetId="2" hidden="1">3</definedName>
    <definedName name="solver_nwt" localSheetId="2" hidden="1">1</definedName>
    <definedName name="solver_ofx" localSheetId="2" hidden="1">0</definedName>
    <definedName name="solver_opt" localSheetId="2" hidden="1">Model!$B$34</definedName>
    <definedName name="solver_phr" localSheetId="2" hidden="1">0</definedName>
    <definedName name="solver_piv" localSheetId="2" hidden="1">0.000001</definedName>
    <definedName name="solver_pre" localSheetId="2" hidden="1">0.000001</definedName>
    <definedName name="solver_pro" localSheetId="2" hidden="1">0</definedName>
    <definedName name="solver_psi" localSheetId="2" hidden="1">0</definedName>
    <definedName name="solver_rbv" localSheetId="2" hidden="1">1</definedName>
    <definedName name="solver_red" localSheetId="2" hidden="1">0.000001</definedName>
    <definedName name="solver_rel1" localSheetId="2" hidden="1">1</definedName>
    <definedName name="solver_rel2" localSheetId="2" hidden="1">3</definedName>
    <definedName name="solver_rel3" localSheetId="2" hidden="1">1</definedName>
    <definedName name="solver_reo" localSheetId="2" hidden="1">2</definedName>
    <definedName name="solver_rep" localSheetId="2" hidden="1">0</definedName>
    <definedName name="solver_rhs1" localSheetId="2" hidden="1">Model!ProdCaps</definedName>
    <definedName name="solver_rhs2" localSheetId="2" hidden="1">Model!FDemands</definedName>
    <definedName name="solver_rhs3" localSheetId="2" hidden="1">Model!InvCaps</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0</definedName>
    <definedName name="solver_std" localSheetId="2" hidden="1">0</definedName>
    <definedName name="solver_tim" localSheetId="2" hidden="1">100</definedName>
    <definedName name="solver_tms" localSheetId="2" hidden="1">0</definedName>
    <definedName name="solver_tol" localSheetId="2" hidden="1">0.05</definedName>
    <definedName name="solver_typ" localSheetId="2" hidden="1">2</definedName>
    <definedName name="solver_val" localSheetId="2" hidden="1">0</definedName>
    <definedName name="solver_var" localSheetId="2" hidden="1">" "</definedName>
    <definedName name="solver_ver" localSheetId="2" hidden="1">3</definedName>
    <definedName name="solver_vol" localSheetId="2" hidden="1">0</definedName>
    <definedName name="TotalCost" localSheetId="2">Model!$B$34</definedName>
    <definedName name="UnitCosts" localSheetId="1">Data!$C$3:$C$66</definedName>
  </definedNames>
  <calcPr calcId="152511"/>
</workbook>
</file>

<file path=xl/calcChain.xml><?xml version="1.0" encoding="utf-8"?>
<calcChain xmlns="http://schemas.openxmlformats.org/spreadsheetml/2006/main">
  <c r="B32" i="12" l="1"/>
  <c r="G25" i="12"/>
  <c r="G17" i="12"/>
  <c r="F25" i="12"/>
  <c r="F17" i="12"/>
  <c r="E25" i="12"/>
  <c r="E17" i="12"/>
  <c r="D25" i="12"/>
  <c r="D17" i="12"/>
  <c r="C25" i="12"/>
  <c r="C17" i="12"/>
  <c r="B25" i="12"/>
  <c r="B19" i="12"/>
  <c r="B23" i="12" s="1"/>
  <c r="B17" i="12"/>
  <c r="B14" i="12"/>
  <c r="B26" i="12" l="1"/>
  <c r="C14" i="12"/>
  <c r="B7" i="15"/>
  <c r="H4" i="1"/>
  <c r="I4" i="1" s="1"/>
  <c r="D4" i="1"/>
  <c r="E4" i="1" s="1"/>
  <c r="J4" i="1"/>
  <c r="L4" i="1" s="1"/>
  <c r="G4" i="1"/>
  <c r="K4" i="1" s="1"/>
  <c r="C19" i="12" l="1"/>
  <c r="C23" i="12" s="1"/>
  <c r="F4" i="1"/>
  <c r="H5" i="1"/>
  <c r="J5" i="1"/>
  <c r="L5" i="1" s="1"/>
  <c r="G5" i="1"/>
  <c r="K5" i="1" s="1"/>
  <c r="D5" i="1"/>
  <c r="D14" i="12" l="1"/>
  <c r="C26" i="12"/>
  <c r="I5" i="1"/>
  <c r="H6" i="1" s="1"/>
  <c r="E5" i="1"/>
  <c r="D6" i="1" s="1"/>
  <c r="F5" i="1"/>
  <c r="D19" i="12" l="1"/>
  <c r="D23" i="12" s="1"/>
  <c r="D26" i="12" s="1"/>
  <c r="G6" i="1"/>
  <c r="K6" i="1" s="1"/>
  <c r="J6" i="1"/>
  <c r="L6" i="1" s="1"/>
  <c r="I6" i="1"/>
  <c r="H7" i="1" s="1"/>
  <c r="E6" i="1"/>
  <c r="G7" i="1" s="1"/>
  <c r="K7" i="1" s="1"/>
  <c r="F6" i="1"/>
  <c r="E14" i="12" l="1"/>
  <c r="D7" i="1"/>
  <c r="E7" i="1" s="1"/>
  <c r="J7" i="1"/>
  <c r="L7" i="1" s="1"/>
  <c r="I7" i="1"/>
  <c r="H8" i="1" s="1"/>
  <c r="E19" i="12" l="1"/>
  <c r="E23" i="12" s="1"/>
  <c r="E26" i="12" s="1"/>
  <c r="J8" i="1"/>
  <c r="L8" i="1" s="1"/>
  <c r="F7" i="1"/>
  <c r="D8" i="1"/>
  <c r="E8" i="1" s="1"/>
  <c r="G9" i="1" s="1"/>
  <c r="K9" i="1" s="1"/>
  <c r="G8" i="1"/>
  <c r="K8" i="1" s="1"/>
  <c r="I8" i="1"/>
  <c r="H9" i="1" s="1"/>
  <c r="F14" i="12" l="1"/>
  <c r="F8" i="1"/>
  <c r="J9" i="1"/>
  <c r="L9" i="1" s="1"/>
  <c r="D9" i="1"/>
  <c r="E9" i="1" s="1"/>
  <c r="D10" i="1" s="1"/>
  <c r="I9" i="1"/>
  <c r="H10" i="1" s="1"/>
  <c r="F19" i="12" l="1"/>
  <c r="F23" i="12" s="1"/>
  <c r="F9" i="1"/>
  <c r="J10" i="1"/>
  <c r="L10" i="1" s="1"/>
  <c r="G10" i="1"/>
  <c r="K10" i="1" s="1"/>
  <c r="I10" i="1"/>
  <c r="H11" i="1" s="1"/>
  <c r="E10" i="1"/>
  <c r="G11" i="1" s="1"/>
  <c r="K11" i="1" s="1"/>
  <c r="F10" i="1"/>
  <c r="G14" i="12" l="1"/>
  <c r="F26" i="12"/>
  <c r="D11" i="1"/>
  <c r="E11" i="1" s="1"/>
  <c r="J11" i="1"/>
  <c r="L11" i="1" s="1"/>
  <c r="I11" i="1"/>
  <c r="H12" i="1" s="1"/>
  <c r="G19" i="12" l="1"/>
  <c r="G23" i="12" s="1"/>
  <c r="B33" i="12" s="1"/>
  <c r="F11" i="1"/>
  <c r="G12" i="1"/>
  <c r="K12" i="1" s="1"/>
  <c r="D12" i="1"/>
  <c r="E12" i="1" s="1"/>
  <c r="G13" i="1" s="1"/>
  <c r="K13" i="1" s="1"/>
  <c r="J12" i="1"/>
  <c r="L12" i="1" s="1"/>
  <c r="I12" i="1"/>
  <c r="H13" i="1" s="1"/>
  <c r="G26" i="12" l="1"/>
  <c r="F12" i="1"/>
  <c r="J13" i="1"/>
  <c r="L13" i="1" s="1"/>
  <c r="D13" i="1"/>
  <c r="E13" i="1" s="1"/>
  <c r="D14" i="1" s="1"/>
  <c r="I13" i="1"/>
  <c r="H14" i="1" s="1"/>
  <c r="B8" i="15" l="1"/>
  <c r="F13" i="1"/>
  <c r="G14" i="1"/>
  <c r="K14" i="1" s="1"/>
  <c r="J14" i="1"/>
  <c r="L14" i="1" s="1"/>
  <c r="I14" i="1"/>
  <c r="H15" i="1" s="1"/>
  <c r="E14" i="1"/>
  <c r="G15" i="1" s="1"/>
  <c r="K15" i="1" s="1"/>
  <c r="F14" i="1"/>
  <c r="B34" i="12" l="1"/>
  <c r="B9" i="15" s="1"/>
  <c r="D15" i="1"/>
  <c r="E15" i="1" s="1"/>
  <c r="G16" i="1" s="1"/>
  <c r="K16" i="1" s="1"/>
  <c r="J15" i="1"/>
  <c r="L15" i="1" s="1"/>
  <c r="I15" i="1"/>
  <c r="H16" i="1" s="1"/>
  <c r="F15" i="1" l="1"/>
  <c r="D16" i="1"/>
  <c r="E16" i="1" s="1"/>
  <c r="I16" i="1"/>
  <c r="H17" i="1" s="1"/>
  <c r="J16" i="1"/>
  <c r="L16" i="1" s="1"/>
  <c r="F16" i="1" l="1"/>
  <c r="G17" i="1"/>
  <c r="K17" i="1" s="1"/>
  <c r="D17" i="1"/>
  <c r="E17" i="1" s="1"/>
  <c r="D18" i="1" s="1"/>
  <c r="J17" i="1"/>
  <c r="L17" i="1" s="1"/>
  <c r="I17" i="1"/>
  <c r="H18" i="1" s="1"/>
  <c r="F17" i="1" l="1"/>
  <c r="G18" i="1"/>
  <c r="K18" i="1" s="1"/>
  <c r="J18" i="1"/>
  <c r="L18" i="1" s="1"/>
  <c r="I18" i="1"/>
  <c r="H19" i="1" s="1"/>
  <c r="E18" i="1"/>
  <c r="G19" i="1" s="1"/>
  <c r="K19" i="1" s="1"/>
  <c r="F18" i="1"/>
  <c r="D19" i="1" l="1"/>
  <c r="E19" i="1" s="1"/>
  <c r="J19" i="1"/>
  <c r="L19" i="1" s="1"/>
  <c r="I19" i="1"/>
  <c r="H20" i="1" s="1"/>
  <c r="F19" i="1" l="1"/>
  <c r="D20" i="1"/>
  <c r="E20" i="1" s="1"/>
  <c r="G21" i="1" s="1"/>
  <c r="K21" i="1" s="1"/>
  <c r="G20" i="1"/>
  <c r="K20" i="1" s="1"/>
  <c r="J20" i="1"/>
  <c r="L20" i="1" s="1"/>
  <c r="I20" i="1"/>
  <c r="H21" i="1" s="1"/>
  <c r="F20" i="1" l="1"/>
  <c r="D21" i="1"/>
  <c r="E21" i="1" s="1"/>
  <c r="D22" i="1" s="1"/>
  <c r="J21" i="1"/>
  <c r="L21" i="1" s="1"/>
  <c r="I21" i="1"/>
  <c r="H22" i="1" s="1"/>
  <c r="F21" i="1" l="1"/>
  <c r="G22" i="1"/>
  <c r="K22" i="1" s="1"/>
  <c r="J22" i="1"/>
  <c r="L22" i="1" s="1"/>
  <c r="E22" i="1"/>
  <c r="G23" i="1" s="1"/>
  <c r="K23" i="1" s="1"/>
  <c r="F22" i="1"/>
  <c r="I22" i="1"/>
  <c r="H23" i="1" s="1"/>
  <c r="D23" i="1" l="1"/>
  <c r="E23" i="1" s="1"/>
  <c r="D24" i="1" s="1"/>
  <c r="J23" i="1"/>
  <c r="L23" i="1" s="1"/>
  <c r="I23" i="1"/>
  <c r="H24" i="1" s="1"/>
  <c r="F23" i="1" l="1"/>
  <c r="G24" i="1"/>
  <c r="K24" i="1" s="1"/>
  <c r="J24" i="1"/>
  <c r="L24" i="1" s="1"/>
  <c r="E24" i="1"/>
  <c r="G25" i="1" s="1"/>
  <c r="K25" i="1" s="1"/>
  <c r="F24" i="1"/>
  <c r="I24" i="1"/>
  <c r="H25" i="1" s="1"/>
  <c r="D25" i="1" l="1"/>
  <c r="E25" i="1" s="1"/>
  <c r="D26" i="1" s="1"/>
  <c r="J25" i="1"/>
  <c r="L25" i="1" s="1"/>
  <c r="I25" i="1"/>
  <c r="H26" i="1" s="1"/>
  <c r="F25" i="1" l="1"/>
  <c r="G26" i="1"/>
  <c r="K26" i="1" s="1"/>
  <c r="J26" i="1"/>
  <c r="L26" i="1" s="1"/>
  <c r="E26" i="1"/>
  <c r="G27" i="1" s="1"/>
  <c r="K27" i="1" s="1"/>
  <c r="F26" i="1"/>
  <c r="I26" i="1"/>
  <c r="H27" i="1" s="1"/>
  <c r="D27" i="1" l="1"/>
  <c r="F27" i="1" s="1"/>
  <c r="J27" i="1"/>
  <c r="L27" i="1" s="1"/>
  <c r="I27" i="1"/>
  <c r="H28" i="1" s="1"/>
  <c r="E27" i="1" l="1"/>
  <c r="G28" i="1" s="1"/>
  <c r="K28" i="1" s="1"/>
  <c r="J28" i="1"/>
  <c r="L28" i="1" s="1"/>
  <c r="I28" i="1"/>
  <c r="H29" i="1" s="1"/>
  <c r="D28" i="1" l="1"/>
  <c r="E28" i="1" s="1"/>
  <c r="G29" i="1" s="1"/>
  <c r="K29" i="1" s="1"/>
  <c r="J29" i="1"/>
  <c r="L29" i="1" s="1"/>
  <c r="I29" i="1"/>
  <c r="J30" i="1" s="1"/>
  <c r="L30" i="1" s="1"/>
  <c r="D29" i="1" l="1"/>
  <c r="E29" i="1" s="1"/>
  <c r="D30" i="1" s="1"/>
  <c r="E30" i="1" s="1"/>
  <c r="G31" i="1" s="1"/>
  <c r="K31" i="1" s="1"/>
  <c r="F28" i="1"/>
  <c r="H30" i="1"/>
  <c r="I30" i="1" s="1"/>
  <c r="J31" i="1" s="1"/>
  <c r="L31" i="1" s="1"/>
  <c r="F30" i="1" l="1"/>
  <c r="G30" i="1"/>
  <c r="K30" i="1" s="1"/>
  <c r="F29" i="1"/>
  <c r="H31" i="1"/>
  <c r="I31" i="1" s="1"/>
  <c r="H32" i="1" s="1"/>
  <c r="D31" i="1"/>
  <c r="E31" i="1" s="1"/>
  <c r="D32" i="1" s="1"/>
  <c r="F31" i="1" l="1"/>
  <c r="J32" i="1"/>
  <c r="L32" i="1" s="1"/>
  <c r="G32" i="1"/>
  <c r="K32" i="1" s="1"/>
  <c r="I32" i="1"/>
  <c r="H33" i="1" s="1"/>
  <c r="E32" i="1"/>
  <c r="G33" i="1" s="1"/>
  <c r="K33" i="1" s="1"/>
  <c r="F32" i="1"/>
  <c r="D33" i="1" l="1"/>
  <c r="F33" i="1" s="1"/>
  <c r="J33" i="1"/>
  <c r="L33" i="1" s="1"/>
  <c r="I33" i="1"/>
  <c r="H34" i="1" s="1"/>
  <c r="E33" i="1" l="1"/>
  <c r="D34" i="1" s="1"/>
  <c r="E34" i="1" s="1"/>
  <c r="G35" i="1" s="1"/>
  <c r="K35" i="1" s="1"/>
  <c r="J34" i="1"/>
  <c r="L34" i="1" s="1"/>
  <c r="I34" i="1"/>
  <c r="H35" i="1" s="1"/>
  <c r="D35" i="1" l="1"/>
  <c r="E35" i="1" s="1"/>
  <c r="D36" i="1" s="1"/>
  <c r="F34" i="1"/>
  <c r="G34" i="1"/>
  <c r="K34" i="1" s="1"/>
  <c r="J35" i="1"/>
  <c r="L35" i="1" s="1"/>
  <c r="I35" i="1"/>
  <c r="H36" i="1" s="1"/>
  <c r="F35" i="1" l="1"/>
  <c r="J36" i="1"/>
  <c r="L36" i="1" s="1"/>
  <c r="G36" i="1"/>
  <c r="K36" i="1" s="1"/>
  <c r="E36" i="1"/>
  <c r="G37" i="1" s="1"/>
  <c r="K37" i="1" s="1"/>
  <c r="F36" i="1"/>
  <c r="I36" i="1"/>
  <c r="H37" i="1" s="1"/>
  <c r="D37" i="1" l="1"/>
  <c r="E37" i="1" s="1"/>
  <c r="D38" i="1" s="1"/>
  <c r="J37" i="1"/>
  <c r="L37" i="1" s="1"/>
  <c r="I37" i="1"/>
  <c r="H38" i="1" s="1"/>
  <c r="F37" i="1" l="1"/>
  <c r="G38" i="1"/>
  <c r="K38" i="1" s="1"/>
  <c r="J38" i="1"/>
  <c r="L38" i="1" s="1"/>
  <c r="E38" i="1"/>
  <c r="D39" i="1" s="1"/>
  <c r="F38" i="1"/>
  <c r="I38" i="1"/>
  <c r="H39" i="1" s="1"/>
  <c r="G39" i="1" l="1"/>
  <c r="K39" i="1" s="1"/>
  <c r="J39" i="1"/>
  <c r="L39" i="1" s="1"/>
  <c r="I39" i="1"/>
  <c r="H40" i="1" s="1"/>
  <c r="F39" i="1"/>
  <c r="E39" i="1"/>
  <c r="G40" i="1" s="1"/>
  <c r="K40" i="1" s="1"/>
  <c r="D40" i="1" l="1"/>
  <c r="E40" i="1" s="1"/>
  <c r="J40" i="1"/>
  <c r="L40" i="1" s="1"/>
  <c r="I40" i="1"/>
  <c r="H41" i="1" s="1"/>
  <c r="F40" i="1" l="1"/>
  <c r="D41" i="1"/>
  <c r="F41" i="1" s="1"/>
  <c r="G41" i="1"/>
  <c r="K41" i="1" s="1"/>
  <c r="J41" i="1"/>
  <c r="L41" i="1" s="1"/>
  <c r="I41" i="1"/>
  <c r="H42" i="1" s="1"/>
  <c r="E41" i="1" l="1"/>
  <c r="D42" i="1" s="1"/>
  <c r="E42" i="1" s="1"/>
  <c r="G43" i="1" s="1"/>
  <c r="K43" i="1" s="1"/>
  <c r="J42" i="1"/>
  <c r="L42" i="1" s="1"/>
  <c r="I42" i="1"/>
  <c r="H43" i="1" s="1"/>
  <c r="F42" i="1" l="1"/>
  <c r="D43" i="1"/>
  <c r="G42" i="1"/>
  <c r="K42" i="1" s="1"/>
  <c r="J43" i="1"/>
  <c r="L43" i="1" s="1"/>
  <c r="I43" i="1"/>
  <c r="H44" i="1" s="1"/>
  <c r="E43" i="1"/>
  <c r="D44" i="1" s="1"/>
  <c r="F43" i="1"/>
  <c r="G44" i="1" l="1"/>
  <c r="K44" i="1" s="1"/>
  <c r="J44" i="1"/>
  <c r="L44" i="1" s="1"/>
  <c r="E44" i="1"/>
  <c r="G45" i="1" s="1"/>
  <c r="K45" i="1" s="1"/>
  <c r="F44" i="1"/>
  <c r="D45" i="1"/>
  <c r="I44" i="1"/>
  <c r="H45" i="1" s="1"/>
  <c r="J45" i="1" l="1"/>
  <c r="L45" i="1" s="1"/>
  <c r="I45" i="1"/>
  <c r="H46" i="1" s="1"/>
  <c r="E45" i="1"/>
  <c r="D46" i="1" s="1"/>
  <c r="F45" i="1"/>
  <c r="G46" i="1" l="1"/>
  <c r="K46" i="1" s="1"/>
  <c r="J46" i="1"/>
  <c r="L46" i="1" s="1"/>
  <c r="E46" i="1"/>
  <c r="D47" i="1" s="1"/>
  <c r="F46" i="1"/>
  <c r="I46" i="1"/>
  <c r="H47" i="1" s="1"/>
  <c r="G47" i="1" l="1"/>
  <c r="K47" i="1" s="1"/>
  <c r="J47" i="1"/>
  <c r="L47" i="1" s="1"/>
  <c r="I47" i="1"/>
  <c r="H48" i="1" s="1"/>
  <c r="E47" i="1"/>
  <c r="D48" i="1" s="1"/>
  <c r="F47" i="1"/>
  <c r="G48" i="1" l="1"/>
  <c r="K48" i="1" s="1"/>
  <c r="J48" i="1"/>
  <c r="L48" i="1" s="1"/>
  <c r="E48" i="1"/>
  <c r="D49" i="1" s="1"/>
  <c r="F48" i="1"/>
  <c r="I48" i="1"/>
  <c r="H49" i="1" s="1"/>
  <c r="G49" i="1" l="1"/>
  <c r="K49" i="1" s="1"/>
  <c r="J49" i="1"/>
  <c r="L49" i="1" s="1"/>
  <c r="I49" i="1"/>
  <c r="H50" i="1" s="1"/>
  <c r="E49" i="1"/>
  <c r="D50" i="1" s="1"/>
  <c r="F49" i="1"/>
  <c r="J50" i="1" l="1"/>
  <c r="L50" i="1" s="1"/>
  <c r="G50" i="1"/>
  <c r="K50" i="1" s="1"/>
  <c r="E50" i="1"/>
  <c r="G51" i="1" s="1"/>
  <c r="K51" i="1" s="1"/>
  <c r="F50" i="1"/>
  <c r="I50" i="1"/>
  <c r="H51" i="1" s="1"/>
  <c r="D51" i="1" l="1"/>
  <c r="J51" i="1"/>
  <c r="L51" i="1" s="1"/>
  <c r="I51" i="1"/>
  <c r="H52" i="1" s="1"/>
  <c r="F51" i="1"/>
  <c r="E51" i="1"/>
  <c r="G52" i="1" s="1"/>
  <c r="K52" i="1" s="1"/>
  <c r="D52" i="1" l="1"/>
  <c r="E52" i="1" s="1"/>
  <c r="G53" i="1" s="1"/>
  <c r="K53" i="1" s="1"/>
  <c r="J52" i="1"/>
  <c r="L52" i="1" s="1"/>
  <c r="I52" i="1"/>
  <c r="H53" i="1" s="1"/>
  <c r="F52" i="1" l="1"/>
  <c r="D53" i="1"/>
  <c r="F53" i="1" s="1"/>
  <c r="J53" i="1"/>
  <c r="L53" i="1" s="1"/>
  <c r="I53" i="1"/>
  <c r="H54" i="1" s="1"/>
  <c r="E53" i="1" l="1"/>
  <c r="G54" i="1" s="1"/>
  <c r="K54" i="1" s="1"/>
  <c r="J54" i="1"/>
  <c r="L54" i="1" s="1"/>
  <c r="I54" i="1"/>
  <c r="H55" i="1" s="1"/>
  <c r="D54" i="1" l="1"/>
  <c r="J55" i="1"/>
  <c r="L55" i="1" s="1"/>
  <c r="I55" i="1"/>
  <c r="H56" i="1" s="1"/>
  <c r="E54" i="1" l="1"/>
  <c r="D55" i="1" s="1"/>
  <c r="F54" i="1"/>
  <c r="J56" i="1"/>
  <c r="L56" i="1" s="1"/>
  <c r="I56" i="1"/>
  <c r="H57" i="1" s="1"/>
  <c r="E55" i="1" l="1"/>
  <c r="D56" i="1" s="1"/>
  <c r="F55" i="1"/>
  <c r="G55" i="1"/>
  <c r="K55" i="1" s="1"/>
  <c r="J57" i="1"/>
  <c r="L57" i="1" s="1"/>
  <c r="I57" i="1"/>
  <c r="H58" i="1" s="1"/>
  <c r="G56" i="1" l="1"/>
  <c r="K56" i="1" s="1"/>
  <c r="F56" i="1"/>
  <c r="E56" i="1"/>
  <c r="D57" i="1" s="1"/>
  <c r="J58" i="1"/>
  <c r="L58" i="1" s="1"/>
  <c r="I58" i="1"/>
  <c r="H59" i="1" s="1"/>
  <c r="E57" i="1" l="1"/>
  <c r="G58" i="1" s="1"/>
  <c r="K58" i="1" s="1"/>
  <c r="F57" i="1"/>
  <c r="G57" i="1"/>
  <c r="K57" i="1" s="1"/>
  <c r="J59" i="1"/>
  <c r="L59" i="1" s="1"/>
  <c r="I59" i="1"/>
  <c r="H60" i="1" s="1"/>
  <c r="D58" i="1" l="1"/>
  <c r="J60" i="1"/>
  <c r="L60" i="1" s="1"/>
  <c r="I60" i="1"/>
  <c r="H61" i="1" s="1"/>
  <c r="E58" i="1" l="1"/>
  <c r="D59" i="1" s="1"/>
  <c r="F58" i="1"/>
  <c r="J61" i="1"/>
  <c r="L61" i="1" s="1"/>
  <c r="I61" i="1"/>
  <c r="H62" i="1" s="1"/>
  <c r="G59" i="1" l="1"/>
  <c r="K59" i="1" s="1"/>
  <c r="E59" i="1"/>
  <c r="G60" i="1" s="1"/>
  <c r="K60" i="1" s="1"/>
  <c r="F59" i="1"/>
  <c r="J62" i="1"/>
  <c r="L62" i="1" s="1"/>
  <c r="I62" i="1"/>
  <c r="H63" i="1" s="1"/>
  <c r="D60" i="1" l="1"/>
  <c r="F60" i="1" s="1"/>
  <c r="J63" i="1"/>
  <c r="L63" i="1" s="1"/>
  <c r="I63" i="1"/>
  <c r="E60" i="1" l="1"/>
  <c r="D61" i="1" s="1"/>
  <c r="E61" i="1" s="1"/>
  <c r="G62" i="1" s="1"/>
  <c r="K62" i="1" s="1"/>
  <c r="D62" i="1" l="1"/>
  <c r="E62" i="1" s="1"/>
  <c r="D63" i="1" s="1"/>
  <c r="F61" i="1"/>
  <c r="G61" i="1"/>
  <c r="K61" i="1" s="1"/>
  <c r="F62" i="1" l="1"/>
  <c r="O5" i="1"/>
  <c r="F63" i="1"/>
  <c r="E63" i="1"/>
  <c r="G63" i="1"/>
  <c r="K63" i="1" s="1"/>
  <c r="O4" i="1" s="1"/>
</calcChain>
</file>

<file path=xl/sharedStrings.xml><?xml version="1.0" encoding="utf-8"?>
<sst xmlns="http://schemas.openxmlformats.org/spreadsheetml/2006/main" count="88" uniqueCount="60">
  <si>
    <t>Historical data on demands and unit production costs</t>
  </si>
  <si>
    <t>Month</t>
  </si>
  <si>
    <t>Demand</t>
  </si>
  <si>
    <t>UnitCost</t>
  </si>
  <si>
    <t>Level</t>
  </si>
  <si>
    <t>Trend</t>
  </si>
  <si>
    <t>Seasonal factors</t>
  </si>
  <si>
    <t>Jan</t>
  </si>
  <si>
    <t>Feb</t>
  </si>
  <si>
    <t>Mar</t>
  </si>
  <si>
    <t>Apr</t>
  </si>
  <si>
    <t>May</t>
  </si>
  <si>
    <t>Jun</t>
  </si>
  <si>
    <t>Jul</t>
  </si>
  <si>
    <t>Aug</t>
  </si>
  <si>
    <t>Sep</t>
  </si>
  <si>
    <t>Oct</t>
  </si>
  <si>
    <t>Nov</t>
  </si>
  <si>
    <t>Dec</t>
  </si>
  <si>
    <t>Seasonality</t>
  </si>
  <si>
    <t>Smoothing parameters for exponential smoothing</t>
  </si>
  <si>
    <t>Winters' method (for demand)</t>
  </si>
  <si>
    <t>Holt's method (for unit cost)</t>
  </si>
  <si>
    <t>FCastDemand</t>
  </si>
  <si>
    <t>FCastUnitCost</t>
  </si>
  <si>
    <t>SmTrend2</t>
  </si>
  <si>
    <t>SmLevel2</t>
  </si>
  <si>
    <t>SmLevel1</t>
  </si>
  <si>
    <t>SmTrend1</t>
  </si>
  <si>
    <t>SmSeas1</t>
  </si>
  <si>
    <t>AbsPctErr1</t>
  </si>
  <si>
    <t>AbsPctErr2</t>
  </si>
  <si>
    <t>Production planning model</t>
  </si>
  <si>
    <t>Inputs</t>
  </si>
  <si>
    <t>Planning horizon</t>
  </si>
  <si>
    <t>Holding cost pct</t>
  </si>
  <si>
    <t>Production capacity</t>
  </si>
  <si>
    <t>Storage capacity</t>
  </si>
  <si>
    <t>Holding cost option</t>
  </si>
  <si>
    <t>Beginning inventory</t>
  </si>
  <si>
    <t>Production pct</t>
  </si>
  <si>
    <t>Production</t>
  </si>
  <si>
    <t>Available to meet demand</t>
  </si>
  <si>
    <t>Ending inventory</t>
  </si>
  <si>
    <t>Cost summary</t>
  </si>
  <si>
    <t>Total cost</t>
  </si>
  <si>
    <t>Production plan</t>
  </si>
  <si>
    <t>Forecasted unit production costs</t>
  </si>
  <si>
    <t>Total production cost</t>
  </si>
  <si>
    <t>Total holding cost</t>
  </si>
  <si>
    <t>Average inventory</t>
  </si>
  <si>
    <t>&lt;=</t>
  </si>
  <si>
    <t>&gt;=</t>
  </si>
  <si>
    <t>Summary of optimal production plan</t>
  </si>
  <si>
    <t>Production planning, using exponential smoothing for demand and cost forecasts</t>
  </si>
  <si>
    <t>MAPE for historical data</t>
  </si>
  <si>
    <t>Demands</t>
  </si>
  <si>
    <t>Unit costs</t>
  </si>
  <si>
    <t>Initialization values for Winters'method</t>
  </si>
  <si>
    <t>Initialization values for Holt's method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</si>
</sst>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quot;$&quot;#,##0.00"/>
    <numFmt numFmtId="167" formatCode="&quot;$&quot;#,##0;\-&quot;$&quot;#,##0"/>
  </numFmts>
  <fonts count="7" x14ac:knownFonts="1">
    <font>
      <sz val="10"/>
      <name val="Arial"/>
    </font>
    <font>
      <sz val="10"/>
      <name val="Arial"/>
      <family val="2"/>
    </font>
    <font>
      <sz val="8"/>
      <name val="Arial"/>
      <family val="2"/>
    </font>
    <font>
      <sz val="11"/>
      <name val="Calibri"/>
      <family val="2"/>
      <scheme val="minor"/>
    </font>
    <font>
      <b/>
      <sz val="11"/>
      <name val="Calibri"/>
      <family val="2"/>
      <scheme val="minor"/>
    </font>
    <font>
      <b/>
      <sz val="14"/>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3" fillId="0" borderId="0" xfId="0" applyFont="1" applyFill="1"/>
    <xf numFmtId="0" fontId="4" fillId="0" borderId="0" xfId="0" applyFont="1"/>
    <xf numFmtId="0" fontId="3" fillId="0" borderId="0" xfId="0" applyFont="1"/>
    <xf numFmtId="0" fontId="3" fillId="0" borderId="0" xfId="0" applyFont="1" applyAlignment="1">
      <alignment horizontal="right"/>
    </xf>
    <xf numFmtId="0" fontId="3" fillId="0" borderId="0" xfId="0" applyFont="1" applyAlignment="1">
      <alignment horizontal="left"/>
    </xf>
    <xf numFmtId="17" fontId="3" fillId="0" borderId="0" xfId="0" applyNumberFormat="1" applyFont="1"/>
    <xf numFmtId="2" fontId="3" fillId="0" borderId="0" xfId="0" applyNumberFormat="1" applyFont="1"/>
    <xf numFmtId="165" fontId="3" fillId="0" borderId="0" xfId="1" applyNumberFormat="1" applyFont="1"/>
    <xf numFmtId="164" fontId="3" fillId="0" borderId="0" xfId="0" applyNumberFormat="1" applyFont="1"/>
    <xf numFmtId="166" fontId="3" fillId="0" borderId="0" xfId="0" applyNumberFormat="1" applyFont="1"/>
    <xf numFmtId="167" fontId="3" fillId="0" borderId="0" xfId="0" applyNumberFormat="1" applyFont="1"/>
    <xf numFmtId="0" fontId="4" fillId="0" borderId="0" xfId="0" applyFont="1" applyFill="1"/>
    <xf numFmtId="17" fontId="3" fillId="0" borderId="0" xfId="0" applyNumberFormat="1" applyFont="1" applyFill="1"/>
    <xf numFmtId="164" fontId="3" fillId="0" borderId="0" xfId="0" applyNumberFormat="1" applyFont="1" applyFill="1"/>
    <xf numFmtId="167" fontId="3" fillId="0" borderId="0" xfId="0" applyNumberFormat="1" applyFont="1" applyFill="1"/>
    <xf numFmtId="0" fontId="5"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microsoft.com/office/2006/relationships/vbaProject" Target="vbaProject.bin"/><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Report!$A$4</c:f>
              <c:strCache>
                <c:ptCount val="1"/>
                <c:pt idx="0">
                  <c:v>Production</c:v>
                </c:pt>
              </c:strCache>
            </c:strRef>
          </c:tx>
          <c:invertIfNegative val="0"/>
          <c:cat>
            <c:numRef>
              <c:f>Report!$B$3:$G$3</c:f>
              <c:numCache>
                <c:formatCode>mmm\-yy</c:formatCode>
                <c:ptCount val="6"/>
                <c:pt idx="0">
                  <c:v>42370</c:v>
                </c:pt>
                <c:pt idx="1">
                  <c:v>42401</c:v>
                </c:pt>
                <c:pt idx="2">
                  <c:v>42430</c:v>
                </c:pt>
                <c:pt idx="3">
                  <c:v>42461</c:v>
                </c:pt>
                <c:pt idx="4">
                  <c:v>42491</c:v>
                </c:pt>
                <c:pt idx="5">
                  <c:v>42522</c:v>
                </c:pt>
              </c:numCache>
            </c:numRef>
          </c:cat>
          <c:val>
            <c:numRef>
              <c:f>Report!$B$4:$G$4</c:f>
              <c:numCache>
                <c:formatCode>0.0</c:formatCode>
                <c:ptCount val="6"/>
                <c:pt idx="0">
                  <c:v>464.89859841915069</c:v>
                </c:pt>
                <c:pt idx="1">
                  <c:v>838.43797300287019</c:v>
                </c:pt>
                <c:pt idx="2">
                  <c:v>866.33143956117647</c:v>
                </c:pt>
                <c:pt idx="3">
                  <c:v>860.77714080282237</c:v>
                </c:pt>
                <c:pt idx="4">
                  <c:v>1354.6904072960115</c:v>
                </c:pt>
                <c:pt idx="5">
                  <c:v>947.71589774316783</c:v>
                </c:pt>
              </c:numCache>
            </c:numRef>
          </c:val>
        </c:ser>
        <c:ser>
          <c:idx val="1"/>
          <c:order val="1"/>
          <c:tx>
            <c:strRef>
              <c:f>Report!$A$5</c:f>
              <c:strCache>
                <c:ptCount val="1"/>
                <c:pt idx="0">
                  <c:v>Ending inventory</c:v>
                </c:pt>
              </c:strCache>
            </c:strRef>
          </c:tx>
          <c:invertIfNegative val="0"/>
          <c:val>
            <c:numRef>
              <c:f>Report!$B$5:$G$5</c:f>
              <c:numCache>
                <c:formatCode>0.0</c:formatCode>
                <c:ptCount val="6"/>
                <c:pt idx="0">
                  <c:v>92.97971414180698</c:v>
                </c:pt>
                <c:pt idx="1">
                  <c:v>167.68758460561463</c:v>
                </c:pt>
                <c:pt idx="2">
                  <c:v>173.26627758475976</c:v>
                </c:pt>
                <c:pt idx="3">
                  <c:v>172.15541789930089</c:v>
                </c:pt>
                <c:pt idx="4">
                  <c:v>499.99999999999966</c:v>
                </c:pt>
                <c:pt idx="5">
                  <c:v>189.54316825098013</c:v>
                </c:pt>
              </c:numCache>
            </c:numRef>
          </c:val>
        </c:ser>
        <c:dLbls>
          <c:showLegendKey val="0"/>
          <c:showVal val="0"/>
          <c:showCatName val="0"/>
          <c:showSerName val="0"/>
          <c:showPercent val="0"/>
          <c:showBubbleSize val="0"/>
        </c:dLbls>
        <c:gapWidth val="150"/>
        <c:axId val="613293424"/>
        <c:axId val="613298912"/>
      </c:barChart>
      <c:dateAx>
        <c:axId val="613293424"/>
        <c:scaling>
          <c:orientation val="minMax"/>
        </c:scaling>
        <c:delete val="0"/>
        <c:axPos val="b"/>
        <c:numFmt formatCode="mmm\-yy" sourceLinked="1"/>
        <c:majorTickMark val="out"/>
        <c:minorTickMark val="none"/>
        <c:tickLblPos val="nextTo"/>
        <c:crossAx val="613298912"/>
        <c:crosses val="autoZero"/>
        <c:auto val="1"/>
        <c:lblOffset val="100"/>
        <c:baseTimeUnit val="months"/>
      </c:dateAx>
      <c:valAx>
        <c:axId val="613298912"/>
        <c:scaling>
          <c:orientation val="minMax"/>
        </c:scaling>
        <c:delete val="0"/>
        <c:axPos val="l"/>
        <c:majorGridlines/>
        <c:numFmt formatCode="0.0" sourceLinked="1"/>
        <c:majorTickMark val="out"/>
        <c:minorTickMark val="none"/>
        <c:tickLblPos val="nextTo"/>
        <c:crossAx val="613293424"/>
        <c:crosses val="autoZero"/>
        <c:crossBetween val="between"/>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Time series plot of Demand and Forecasted Demand</a:t>
            </a:r>
          </a:p>
        </c:rich>
      </c:tx>
      <c:layout>
        <c:manualLayout>
          <c:xMode val="edge"/>
          <c:yMode val="edge"/>
          <c:x val="0.30077691453940103"/>
          <c:y val="1.9575856443719432E-2"/>
        </c:manualLayout>
      </c:layout>
      <c:overlay val="0"/>
      <c:spPr>
        <a:noFill/>
        <a:ln w="25400">
          <a:noFill/>
        </a:ln>
      </c:spPr>
    </c:title>
    <c:autoTitleDeleted val="0"/>
    <c:plotArea>
      <c:layout>
        <c:manualLayout>
          <c:layoutTarget val="inner"/>
          <c:xMode val="edge"/>
          <c:yMode val="edge"/>
          <c:x val="5.9933407325194317E-2"/>
          <c:y val="0.1223491027732464"/>
          <c:w val="0.79023307436182022"/>
          <c:h val="0.73735725938009844"/>
        </c:manualLayout>
      </c:layout>
      <c:lineChart>
        <c:grouping val="standard"/>
        <c:varyColors val="0"/>
        <c:ser>
          <c:idx val="0"/>
          <c:order val="0"/>
          <c:tx>
            <c:strRef>
              <c:f>Data!$B$3</c:f>
              <c:strCache>
                <c:ptCount val="1"/>
                <c:pt idx="0">
                  <c:v>Demand</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Data!$A$4:$A$66</c:f>
              <c:numCache>
                <c:formatCode>mmm\-yy</c:formatCode>
                <c:ptCount val="63"/>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numCache>
            </c:numRef>
          </c:cat>
          <c:val>
            <c:numRef>
              <c:f>Data!$B$4:$B$66</c:f>
              <c:numCache>
                <c:formatCode>General</c:formatCode>
                <c:ptCount val="63"/>
                <c:pt idx="0">
                  <c:v>376</c:v>
                </c:pt>
                <c:pt idx="1">
                  <c:v>394</c:v>
                </c:pt>
                <c:pt idx="2">
                  <c:v>416</c:v>
                </c:pt>
                <c:pt idx="3">
                  <c:v>437</c:v>
                </c:pt>
                <c:pt idx="4">
                  <c:v>524</c:v>
                </c:pt>
                <c:pt idx="5">
                  <c:v>672</c:v>
                </c:pt>
                <c:pt idx="6">
                  <c:v>930</c:v>
                </c:pt>
                <c:pt idx="7">
                  <c:v>945</c:v>
                </c:pt>
                <c:pt idx="8">
                  <c:v>719</c:v>
                </c:pt>
                <c:pt idx="9">
                  <c:v>444</c:v>
                </c:pt>
                <c:pt idx="10">
                  <c:v>402</c:v>
                </c:pt>
                <c:pt idx="11">
                  <c:v>870</c:v>
                </c:pt>
                <c:pt idx="12">
                  <c:v>416</c:v>
                </c:pt>
                <c:pt idx="13">
                  <c:v>485</c:v>
                </c:pt>
                <c:pt idx="14">
                  <c:v>509</c:v>
                </c:pt>
                <c:pt idx="15">
                  <c:v>592</c:v>
                </c:pt>
                <c:pt idx="16">
                  <c:v>592</c:v>
                </c:pt>
                <c:pt idx="17">
                  <c:v>814</c:v>
                </c:pt>
                <c:pt idx="18">
                  <c:v>1037</c:v>
                </c:pt>
                <c:pt idx="19">
                  <c:v>1068</c:v>
                </c:pt>
                <c:pt idx="20">
                  <c:v>937</c:v>
                </c:pt>
                <c:pt idx="21">
                  <c:v>501</c:v>
                </c:pt>
                <c:pt idx="22">
                  <c:v>479</c:v>
                </c:pt>
                <c:pt idx="23">
                  <c:v>1105</c:v>
                </c:pt>
                <c:pt idx="24">
                  <c:v>529</c:v>
                </c:pt>
                <c:pt idx="25">
                  <c:v>528</c:v>
                </c:pt>
                <c:pt idx="26">
                  <c:v>700</c:v>
                </c:pt>
                <c:pt idx="27">
                  <c:v>568</c:v>
                </c:pt>
                <c:pt idx="28">
                  <c:v>618</c:v>
                </c:pt>
                <c:pt idx="29">
                  <c:v>929</c:v>
                </c:pt>
                <c:pt idx="30">
                  <c:v>1394</c:v>
                </c:pt>
                <c:pt idx="31">
                  <c:v>1324</c:v>
                </c:pt>
                <c:pt idx="32">
                  <c:v>972</c:v>
                </c:pt>
                <c:pt idx="33">
                  <c:v>498</c:v>
                </c:pt>
                <c:pt idx="34">
                  <c:v>767</c:v>
                </c:pt>
                <c:pt idx="35">
                  <c:v>934</c:v>
                </c:pt>
                <c:pt idx="36">
                  <c:v>736</c:v>
                </c:pt>
                <c:pt idx="37">
                  <c:v>690</c:v>
                </c:pt>
                <c:pt idx="38">
                  <c:v>820</c:v>
                </c:pt>
                <c:pt idx="39">
                  <c:v>822</c:v>
                </c:pt>
                <c:pt idx="40">
                  <c:v>938</c:v>
                </c:pt>
                <c:pt idx="41">
                  <c:v>1135</c:v>
                </c:pt>
                <c:pt idx="42">
                  <c:v>1567</c:v>
                </c:pt>
                <c:pt idx="43">
                  <c:v>1446</c:v>
                </c:pt>
                <c:pt idx="44">
                  <c:v>1040</c:v>
                </c:pt>
                <c:pt idx="45">
                  <c:v>678</c:v>
                </c:pt>
                <c:pt idx="46">
                  <c:v>892</c:v>
                </c:pt>
                <c:pt idx="47">
                  <c:v>1547</c:v>
                </c:pt>
                <c:pt idx="48">
                  <c:v>891</c:v>
                </c:pt>
                <c:pt idx="49">
                  <c:v>695</c:v>
                </c:pt>
                <c:pt idx="50">
                  <c:v>735</c:v>
                </c:pt>
                <c:pt idx="51">
                  <c:v>767</c:v>
                </c:pt>
                <c:pt idx="52">
                  <c:v>1003</c:v>
                </c:pt>
                <c:pt idx="53">
                  <c:v>1149</c:v>
                </c:pt>
                <c:pt idx="54">
                  <c:v>1624</c:v>
                </c:pt>
                <c:pt idx="55">
                  <c:v>1661</c:v>
                </c:pt>
                <c:pt idx="56">
                  <c:v>1208</c:v>
                </c:pt>
                <c:pt idx="57">
                  <c:v>667</c:v>
                </c:pt>
                <c:pt idx="58">
                  <c:v>760</c:v>
                </c:pt>
                <c:pt idx="59">
                  <c:v>1885</c:v>
                </c:pt>
              </c:numCache>
            </c:numRef>
          </c:val>
          <c:smooth val="0"/>
        </c:ser>
        <c:ser>
          <c:idx val="1"/>
          <c:order val="1"/>
          <c:tx>
            <c:strRef>
              <c:f>Data!$G$3</c:f>
              <c:strCache>
                <c:ptCount val="1"/>
                <c:pt idx="0">
                  <c:v>FCastDemand</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Data!$G$4:$G$66</c:f>
              <c:numCache>
                <c:formatCode>0.00</c:formatCode>
                <c:ptCount val="63"/>
                <c:pt idx="0">
                  <c:v>366.09999999999997</c:v>
                </c:pt>
                <c:pt idx="1">
                  <c:v>374.98799999999994</c:v>
                </c:pt>
                <c:pt idx="2">
                  <c:v>440.19136000000003</c:v>
                </c:pt>
                <c:pt idx="3">
                  <c:v>446.74924251428575</c:v>
                </c:pt>
                <c:pt idx="4">
                  <c:v>511.37589591771439</c:v>
                </c:pt>
                <c:pt idx="5">
                  <c:v>697.02743503945146</c:v>
                </c:pt>
                <c:pt idx="6">
                  <c:v>884.41729513280609</c:v>
                </c:pt>
                <c:pt idx="7">
                  <c:v>906.14865043029272</c:v>
                </c:pt>
                <c:pt idx="8">
                  <c:v>680.52152460557829</c:v>
                </c:pt>
                <c:pt idx="9">
                  <c:v>444.37422716558694</c:v>
                </c:pt>
                <c:pt idx="10">
                  <c:v>453.19576479719962</c:v>
                </c:pt>
                <c:pt idx="11">
                  <c:v>911.82246673941393</c:v>
                </c:pt>
                <c:pt idx="12">
                  <c:v>466.83449647769169</c:v>
                </c:pt>
                <c:pt idx="13">
                  <c:v>473.12840072140091</c:v>
                </c:pt>
                <c:pt idx="14">
                  <c:v>524.26717847192867</c:v>
                </c:pt>
                <c:pt idx="15">
                  <c:v>538.0040580802555</c:v>
                </c:pt>
                <c:pt idx="16">
                  <c:v>633.76921697531213</c:v>
                </c:pt>
                <c:pt idx="17">
                  <c:v>828.061922746969</c:v>
                </c:pt>
                <c:pt idx="18">
                  <c:v>1088.8716824656838</c:v>
                </c:pt>
                <c:pt idx="19">
                  <c:v>1092.7895335363316</c:v>
                </c:pt>
                <c:pt idx="20">
                  <c:v>813.70773704613623</c:v>
                </c:pt>
                <c:pt idx="21">
                  <c:v>519.83686538102404</c:v>
                </c:pt>
                <c:pt idx="22">
                  <c:v>498.11907599641546</c:v>
                </c:pt>
                <c:pt idx="23">
                  <c:v>1037.3713701203087</c:v>
                </c:pt>
                <c:pt idx="24">
                  <c:v>519.84015465201185</c:v>
                </c:pt>
                <c:pt idx="25">
                  <c:v>567.55510254466719</c:v>
                </c:pt>
                <c:pt idx="26">
                  <c:v>606.68185195327271</c:v>
                </c:pt>
                <c:pt idx="27">
                  <c:v>672.08321457062311</c:v>
                </c:pt>
                <c:pt idx="28">
                  <c:v>714.20514795350005</c:v>
                </c:pt>
                <c:pt idx="29">
                  <c:v>943.52190996339846</c:v>
                </c:pt>
                <c:pt idx="30">
                  <c:v>1218.0333030433978</c:v>
                </c:pt>
                <c:pt idx="31">
                  <c:v>1259.3710545951203</c:v>
                </c:pt>
                <c:pt idx="32">
                  <c:v>1019.1534774962133</c:v>
                </c:pt>
                <c:pt idx="33">
                  <c:v>586.61667116137266</c:v>
                </c:pt>
                <c:pt idx="34">
                  <c:v>552.19498155368467</c:v>
                </c:pt>
                <c:pt idx="35">
                  <c:v>1259.4690036777395</c:v>
                </c:pt>
                <c:pt idx="36">
                  <c:v>596.20702583922946</c:v>
                </c:pt>
                <c:pt idx="37">
                  <c:v>639.37450144396757</c:v>
                </c:pt>
                <c:pt idx="38">
                  <c:v>767.72660063779335</c:v>
                </c:pt>
                <c:pt idx="39">
                  <c:v>734.84312830432089</c:v>
                </c:pt>
                <c:pt idx="40">
                  <c:v>816.04890408026301</c:v>
                </c:pt>
                <c:pt idx="41">
                  <c:v>1187.2227231871786</c:v>
                </c:pt>
                <c:pt idx="42">
                  <c:v>1655.2898120015152</c:v>
                </c:pt>
                <c:pt idx="43">
                  <c:v>1624.3248335906169</c:v>
                </c:pt>
                <c:pt idx="44">
                  <c:v>1242.5134008604737</c:v>
                </c:pt>
                <c:pt idx="45">
                  <c:v>673.04196344624211</c:v>
                </c:pt>
                <c:pt idx="46">
                  <c:v>811.5554559128376</c:v>
                </c:pt>
                <c:pt idx="47">
                  <c:v>1354.7929163972804</c:v>
                </c:pt>
                <c:pt idx="48">
                  <c:v>841.79202886757378</c:v>
                </c:pt>
                <c:pt idx="49">
                  <c:v>835.27962990716446</c:v>
                </c:pt>
                <c:pt idx="50">
                  <c:v>972.21365782642147</c:v>
                </c:pt>
                <c:pt idx="51">
                  <c:v>914.52231847365886</c:v>
                </c:pt>
                <c:pt idx="52">
                  <c:v>987.86800542381843</c:v>
                </c:pt>
                <c:pt idx="53">
                  <c:v>1284.985461709543</c:v>
                </c:pt>
                <c:pt idx="54">
                  <c:v>1745.8187931187729</c:v>
                </c:pt>
                <c:pt idx="55">
                  <c:v>1639.6738124838212</c:v>
                </c:pt>
                <c:pt idx="56">
                  <c:v>1221.1851261153968</c:v>
                </c:pt>
                <c:pt idx="57">
                  <c:v>721.15882284084648</c:v>
                </c:pt>
                <c:pt idx="58">
                  <c:v>887.48127837884726</c:v>
                </c:pt>
                <c:pt idx="59">
                  <c:v>1448.8421930449836</c:v>
                </c:pt>
              </c:numCache>
            </c:numRef>
          </c:val>
          <c:smooth val="0"/>
        </c:ser>
        <c:dLbls>
          <c:showLegendKey val="0"/>
          <c:showVal val="0"/>
          <c:showCatName val="0"/>
          <c:showSerName val="0"/>
          <c:showPercent val="0"/>
          <c:showBubbleSize val="0"/>
        </c:dLbls>
        <c:marker val="1"/>
        <c:smooth val="0"/>
        <c:axId val="613288720"/>
        <c:axId val="613290288"/>
      </c:lineChart>
      <c:dateAx>
        <c:axId val="6132887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a:t>
                </a:r>
              </a:p>
            </c:rich>
          </c:tx>
          <c:layout>
            <c:manualLayout>
              <c:xMode val="edge"/>
              <c:yMode val="edge"/>
              <c:x val="0.43174250832408462"/>
              <c:y val="0.94453507340946163"/>
            </c:manualLayout>
          </c:layout>
          <c:overlay val="0"/>
          <c:spPr>
            <a:noFill/>
            <a:ln w="25400">
              <a:noFill/>
            </a:ln>
          </c:spPr>
        </c:title>
        <c:numFmt formatCode="mmm\-yy" sourceLinked="0"/>
        <c:majorTickMark val="cross"/>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613290288"/>
        <c:crosses val="autoZero"/>
        <c:auto val="1"/>
        <c:lblOffset val="100"/>
        <c:baseTimeUnit val="months"/>
        <c:majorUnit val="2"/>
        <c:majorTimeUnit val="months"/>
        <c:minorUnit val="1"/>
        <c:minorTimeUnit val="months"/>
      </c:dateAx>
      <c:valAx>
        <c:axId val="613290288"/>
        <c:scaling>
          <c:orientation val="minMax"/>
        </c:scaling>
        <c:delete val="0"/>
        <c:axPos val="l"/>
        <c:numFmt formatCode="0" sourceLinked="0"/>
        <c:majorTickMark val="cross"/>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613288720"/>
        <c:crosses val="autoZero"/>
        <c:crossBetween val="midCat"/>
      </c:valAx>
      <c:spPr>
        <a:noFill/>
        <a:ln w="25400">
          <a:noFill/>
        </a:ln>
      </c:spPr>
    </c:plotArea>
    <c:legend>
      <c:legendPos val="r"/>
      <c:layout>
        <c:manualLayout>
          <c:xMode val="edge"/>
          <c:yMode val="edge"/>
          <c:x val="0.86237513873473914"/>
          <c:y val="0.45840130505709631"/>
          <c:w val="0.13318534961154269"/>
          <c:h val="6.6884176182707977E-2"/>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Time series plot of UnitCost and Forecasted</a:t>
            </a:r>
            <a:r>
              <a:rPr lang="en-US" baseline="0"/>
              <a:t> </a:t>
            </a:r>
            <a:r>
              <a:rPr lang="en-US"/>
              <a:t>UnitCost</a:t>
            </a:r>
          </a:p>
        </c:rich>
      </c:tx>
      <c:layout>
        <c:manualLayout>
          <c:xMode val="edge"/>
          <c:yMode val="edge"/>
          <c:x val="0.29744728079911231"/>
          <c:y val="1.9575856443719432E-2"/>
        </c:manualLayout>
      </c:layout>
      <c:overlay val="0"/>
      <c:spPr>
        <a:noFill/>
        <a:ln w="25400">
          <a:noFill/>
        </a:ln>
      </c:spPr>
    </c:title>
    <c:autoTitleDeleted val="0"/>
    <c:plotArea>
      <c:layout>
        <c:manualLayout>
          <c:layoutTarget val="inner"/>
          <c:xMode val="edge"/>
          <c:yMode val="edge"/>
          <c:x val="5.9933407325194317E-2"/>
          <c:y val="0.1223491027732464"/>
          <c:w val="0.79023307436182022"/>
          <c:h val="0.73735725938009844"/>
        </c:manualLayout>
      </c:layout>
      <c:lineChart>
        <c:grouping val="standard"/>
        <c:varyColors val="0"/>
        <c:ser>
          <c:idx val="0"/>
          <c:order val="0"/>
          <c:tx>
            <c:strRef>
              <c:f>Data!$C$3</c:f>
              <c:strCache>
                <c:ptCount val="1"/>
                <c:pt idx="0">
                  <c:v>UnitCost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Data!$A$4:$A$66</c:f>
              <c:numCache>
                <c:formatCode>mmm\-yy</c:formatCode>
                <c:ptCount val="63"/>
                <c:pt idx="0">
                  <c:v>40544</c:v>
                </c:pt>
                <c:pt idx="1">
                  <c:v>40575</c:v>
                </c:pt>
                <c:pt idx="2">
                  <c:v>40603</c:v>
                </c:pt>
                <c:pt idx="3">
                  <c:v>40634</c:v>
                </c:pt>
                <c:pt idx="4">
                  <c:v>40664</c:v>
                </c:pt>
                <c:pt idx="5">
                  <c:v>40695</c:v>
                </c:pt>
                <c:pt idx="6">
                  <c:v>40725</c:v>
                </c:pt>
                <c:pt idx="7">
                  <c:v>40756</c:v>
                </c:pt>
                <c:pt idx="8">
                  <c:v>40787</c:v>
                </c:pt>
                <c:pt idx="9">
                  <c:v>40817</c:v>
                </c:pt>
                <c:pt idx="10">
                  <c:v>40848</c:v>
                </c:pt>
                <c:pt idx="11">
                  <c:v>40878</c:v>
                </c:pt>
                <c:pt idx="12">
                  <c:v>40909</c:v>
                </c:pt>
                <c:pt idx="13">
                  <c:v>40940</c:v>
                </c:pt>
                <c:pt idx="14">
                  <c:v>40969</c:v>
                </c:pt>
                <c:pt idx="15">
                  <c:v>41000</c:v>
                </c:pt>
                <c:pt idx="16">
                  <c:v>41030</c:v>
                </c:pt>
                <c:pt idx="17">
                  <c:v>41061</c:v>
                </c:pt>
                <c:pt idx="18">
                  <c:v>41091</c:v>
                </c:pt>
                <c:pt idx="19">
                  <c:v>41122</c:v>
                </c:pt>
                <c:pt idx="20">
                  <c:v>41153</c:v>
                </c:pt>
                <c:pt idx="21">
                  <c:v>41183</c:v>
                </c:pt>
                <c:pt idx="22">
                  <c:v>41214</c:v>
                </c:pt>
                <c:pt idx="23">
                  <c:v>41244</c:v>
                </c:pt>
                <c:pt idx="24">
                  <c:v>41275</c:v>
                </c:pt>
                <c:pt idx="25">
                  <c:v>41306</c:v>
                </c:pt>
                <c:pt idx="26">
                  <c:v>41334</c:v>
                </c:pt>
                <c:pt idx="27">
                  <c:v>41365</c:v>
                </c:pt>
                <c:pt idx="28">
                  <c:v>41395</c:v>
                </c:pt>
                <c:pt idx="29">
                  <c:v>41426</c:v>
                </c:pt>
                <c:pt idx="30">
                  <c:v>41456</c:v>
                </c:pt>
                <c:pt idx="31">
                  <c:v>41487</c:v>
                </c:pt>
                <c:pt idx="32">
                  <c:v>41518</c:v>
                </c:pt>
                <c:pt idx="33">
                  <c:v>41548</c:v>
                </c:pt>
                <c:pt idx="34">
                  <c:v>41579</c:v>
                </c:pt>
                <c:pt idx="35">
                  <c:v>41609</c:v>
                </c:pt>
                <c:pt idx="36">
                  <c:v>41640</c:v>
                </c:pt>
                <c:pt idx="37">
                  <c:v>41671</c:v>
                </c:pt>
                <c:pt idx="38">
                  <c:v>41699</c:v>
                </c:pt>
                <c:pt idx="39">
                  <c:v>41730</c:v>
                </c:pt>
                <c:pt idx="40">
                  <c:v>41760</c:v>
                </c:pt>
                <c:pt idx="41">
                  <c:v>41791</c:v>
                </c:pt>
                <c:pt idx="42">
                  <c:v>41821</c:v>
                </c:pt>
                <c:pt idx="43">
                  <c:v>41852</c:v>
                </c:pt>
                <c:pt idx="44">
                  <c:v>41883</c:v>
                </c:pt>
                <c:pt idx="45">
                  <c:v>41913</c:v>
                </c:pt>
                <c:pt idx="46">
                  <c:v>41944</c:v>
                </c:pt>
                <c:pt idx="47">
                  <c:v>41974</c:v>
                </c:pt>
                <c:pt idx="48">
                  <c:v>42005</c:v>
                </c:pt>
                <c:pt idx="49">
                  <c:v>42036</c:v>
                </c:pt>
                <c:pt idx="50">
                  <c:v>42064</c:v>
                </c:pt>
                <c:pt idx="51">
                  <c:v>42095</c:v>
                </c:pt>
                <c:pt idx="52">
                  <c:v>42125</c:v>
                </c:pt>
                <c:pt idx="53">
                  <c:v>42156</c:v>
                </c:pt>
                <c:pt idx="54">
                  <c:v>42186</c:v>
                </c:pt>
                <c:pt idx="55">
                  <c:v>42217</c:v>
                </c:pt>
                <c:pt idx="56">
                  <c:v>42248</c:v>
                </c:pt>
                <c:pt idx="57">
                  <c:v>42278</c:v>
                </c:pt>
                <c:pt idx="58">
                  <c:v>42309</c:v>
                </c:pt>
                <c:pt idx="59">
                  <c:v>42339</c:v>
                </c:pt>
              </c:numCache>
            </c:numRef>
          </c:cat>
          <c:val>
            <c:numRef>
              <c:f>Data!$C$4:$C$66</c:f>
              <c:numCache>
                <c:formatCode>0.00</c:formatCode>
                <c:ptCount val="63"/>
                <c:pt idx="0">
                  <c:v>55.5</c:v>
                </c:pt>
                <c:pt idx="1">
                  <c:v>61</c:v>
                </c:pt>
                <c:pt idx="2">
                  <c:v>63.42</c:v>
                </c:pt>
                <c:pt idx="3">
                  <c:v>57.17</c:v>
                </c:pt>
                <c:pt idx="4">
                  <c:v>62.62</c:v>
                </c:pt>
                <c:pt idx="5">
                  <c:v>65.66</c:v>
                </c:pt>
                <c:pt idx="6">
                  <c:v>64.180000000000007</c:v>
                </c:pt>
                <c:pt idx="7">
                  <c:v>69.37</c:v>
                </c:pt>
                <c:pt idx="8">
                  <c:v>66.959999999999994</c:v>
                </c:pt>
                <c:pt idx="9">
                  <c:v>65.87</c:v>
                </c:pt>
                <c:pt idx="10">
                  <c:v>62.01</c:v>
                </c:pt>
                <c:pt idx="11">
                  <c:v>70.98</c:v>
                </c:pt>
                <c:pt idx="12">
                  <c:v>71.72</c:v>
                </c:pt>
                <c:pt idx="13">
                  <c:v>71.44</c:v>
                </c:pt>
                <c:pt idx="14">
                  <c:v>72.95</c:v>
                </c:pt>
                <c:pt idx="15">
                  <c:v>72.66</c:v>
                </c:pt>
                <c:pt idx="16">
                  <c:v>75.77</c:v>
                </c:pt>
                <c:pt idx="17">
                  <c:v>77.260000000000005</c:v>
                </c:pt>
                <c:pt idx="18">
                  <c:v>73.069999999999993</c:v>
                </c:pt>
                <c:pt idx="19">
                  <c:v>75.459999999999994</c:v>
                </c:pt>
                <c:pt idx="20">
                  <c:v>79.23</c:v>
                </c:pt>
                <c:pt idx="21">
                  <c:v>75.319999999999993</c:v>
                </c:pt>
                <c:pt idx="22">
                  <c:v>81.489999999999995</c:v>
                </c:pt>
                <c:pt idx="23">
                  <c:v>84.66</c:v>
                </c:pt>
                <c:pt idx="24">
                  <c:v>84.58</c:v>
                </c:pt>
                <c:pt idx="25">
                  <c:v>82.76</c:v>
                </c:pt>
                <c:pt idx="26">
                  <c:v>82.86</c:v>
                </c:pt>
                <c:pt idx="27">
                  <c:v>87.81</c:v>
                </c:pt>
                <c:pt idx="28">
                  <c:v>88.5</c:v>
                </c:pt>
                <c:pt idx="29">
                  <c:v>88.19</c:v>
                </c:pt>
                <c:pt idx="30">
                  <c:v>85.47</c:v>
                </c:pt>
                <c:pt idx="31">
                  <c:v>88</c:v>
                </c:pt>
                <c:pt idx="32">
                  <c:v>88.22</c:v>
                </c:pt>
                <c:pt idx="33">
                  <c:v>90.73</c:v>
                </c:pt>
                <c:pt idx="34">
                  <c:v>93.78</c:v>
                </c:pt>
                <c:pt idx="35">
                  <c:v>96.39</c:v>
                </c:pt>
                <c:pt idx="36">
                  <c:v>94.41</c:v>
                </c:pt>
                <c:pt idx="37">
                  <c:v>96.32</c:v>
                </c:pt>
                <c:pt idx="38">
                  <c:v>95.12</c:v>
                </c:pt>
                <c:pt idx="39">
                  <c:v>99.36</c:v>
                </c:pt>
                <c:pt idx="40">
                  <c:v>97.93</c:v>
                </c:pt>
                <c:pt idx="41">
                  <c:v>103.12</c:v>
                </c:pt>
                <c:pt idx="42">
                  <c:v>103.46</c:v>
                </c:pt>
                <c:pt idx="43">
                  <c:v>100.39</c:v>
                </c:pt>
                <c:pt idx="44">
                  <c:v>101.11</c:v>
                </c:pt>
                <c:pt idx="45">
                  <c:v>100.83</c:v>
                </c:pt>
                <c:pt idx="46">
                  <c:v>104.22</c:v>
                </c:pt>
                <c:pt idx="47">
                  <c:v>103.91</c:v>
                </c:pt>
                <c:pt idx="48">
                  <c:v>107</c:v>
                </c:pt>
                <c:pt idx="49">
                  <c:v>107.66</c:v>
                </c:pt>
                <c:pt idx="50">
                  <c:v>106.07</c:v>
                </c:pt>
                <c:pt idx="51">
                  <c:v>108.19</c:v>
                </c:pt>
                <c:pt idx="52">
                  <c:v>111.71</c:v>
                </c:pt>
                <c:pt idx="53">
                  <c:v>108.53</c:v>
                </c:pt>
                <c:pt idx="54">
                  <c:v>112.37</c:v>
                </c:pt>
                <c:pt idx="55">
                  <c:v>107.38</c:v>
                </c:pt>
                <c:pt idx="56">
                  <c:v>115.17</c:v>
                </c:pt>
                <c:pt idx="57">
                  <c:v>114.29</c:v>
                </c:pt>
                <c:pt idx="58">
                  <c:v>113.09</c:v>
                </c:pt>
                <c:pt idx="59">
                  <c:v>120.58</c:v>
                </c:pt>
              </c:numCache>
            </c:numRef>
          </c:val>
          <c:smooth val="0"/>
        </c:ser>
        <c:ser>
          <c:idx val="1"/>
          <c:order val="1"/>
          <c:tx>
            <c:strRef>
              <c:f>Data!$J$3</c:f>
              <c:strCache>
                <c:ptCount val="1"/>
                <c:pt idx="0">
                  <c:v>FCastUnitCost</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Data!$J$4:$J$66</c:f>
              <c:numCache>
                <c:formatCode>0.00</c:formatCode>
                <c:ptCount val="63"/>
                <c:pt idx="0">
                  <c:v>57.2</c:v>
                </c:pt>
                <c:pt idx="1">
                  <c:v>58.496000000000002</c:v>
                </c:pt>
                <c:pt idx="2">
                  <c:v>60.262480000000004</c:v>
                </c:pt>
                <c:pt idx="3">
                  <c:v>62.1574624</c:v>
                </c:pt>
                <c:pt idx="4">
                  <c:v>63.138197311999996</c:v>
                </c:pt>
                <c:pt idx="5">
                  <c:v>64.55549478655999</c:v>
                </c:pt>
                <c:pt idx="6">
                  <c:v>66.157152617932795</c:v>
                </c:pt>
                <c:pt idx="7">
                  <c:v>67.411101613809663</c:v>
                </c:pt>
                <c:pt idx="8">
                  <c:v>69.097833677822649</c:v>
                </c:pt>
                <c:pt idx="9">
                  <c:v>70.332135861877887</c:v>
                </c:pt>
                <c:pt idx="10">
                  <c:v>71.244765110290047</c:v>
                </c:pt>
                <c:pt idx="11">
                  <c:v>71.495436131655183</c:v>
                </c:pt>
                <c:pt idx="12">
                  <c:v>72.607731328250694</c:v>
                </c:pt>
                <c:pt idx="13">
                  <c:v>73.665042378621649</c:v>
                </c:pt>
                <c:pt idx="14">
                  <c:v>74.544121476383083</c:v>
                </c:pt>
                <c:pt idx="15">
                  <c:v>75.454410234840708</c:v>
                </c:pt>
                <c:pt idx="16">
                  <c:v>76.188781912755758</c:v>
                </c:pt>
                <c:pt idx="17">
                  <c:v>77.152340784624187</c:v>
                </c:pt>
                <c:pt idx="18">
                  <c:v>78.170696953613287</c:v>
                </c:pt>
                <c:pt idx="19">
                  <c:v>78.566203566631216</c:v>
                </c:pt>
                <c:pt idx="20">
                  <c:v>79.099035447014742</c:v>
                </c:pt>
                <c:pt idx="21">
                  <c:v>79.958203430419601</c:v>
                </c:pt>
                <c:pt idx="22">
                  <c:v>80.247690546875589</c:v>
                </c:pt>
                <c:pt idx="23">
                  <c:v>81.15007514074847</c:v>
                </c:pt>
                <c:pt idx="24">
                  <c:v>82.349419772419083</c:v>
                </c:pt>
                <c:pt idx="25">
                  <c:v>83.465441545474263</c:v>
                </c:pt>
                <c:pt idx="26">
                  <c:v>84.273752310314421</c:v>
                </c:pt>
                <c:pt idx="27">
                  <c:v>84.982956952464292</c:v>
                </c:pt>
                <c:pt idx="28">
                  <c:v>86.172781991349893</c:v>
                </c:pt>
                <c:pt idx="29">
                  <c:v>87.359168886519925</c:v>
                </c:pt>
                <c:pt idx="30">
                  <c:v>88.412533714442574</c:v>
                </c:pt>
                <c:pt idx="31">
                  <c:v>89.029711385284102</c:v>
                </c:pt>
                <c:pt idx="32">
                  <c:v>89.817577061335783</c:v>
                </c:pt>
                <c:pt idx="33">
                  <c:v>90.516704628555587</c:v>
                </c:pt>
                <c:pt idx="34">
                  <c:v>91.401185346482293</c:v>
                </c:pt>
                <c:pt idx="35">
                  <c:v>92.549794285686687</c:v>
                </c:pt>
                <c:pt idx="36">
                  <c:v>93.921346445256916</c:v>
                </c:pt>
                <c:pt idx="37">
                  <c:v>94.967516459964983</c:v>
                </c:pt>
                <c:pt idx="38">
                  <c:v>96.127119144002947</c:v>
                </c:pt>
                <c:pt idx="39">
                  <c:v>97.030619176757057</c:v>
                </c:pt>
                <c:pt idx="40">
                  <c:v>98.314356822700603</c:v>
                </c:pt>
                <c:pt idx="41">
                  <c:v>99.319033567595795</c:v>
                </c:pt>
                <c:pt idx="42">
                  <c:v>100.81826196664954</c:v>
                </c:pt>
                <c:pt idx="43">
                  <c:v>102.25440228646494</c:v>
                </c:pt>
                <c:pt idx="44">
                  <c:v>103.20264052856949</c:v>
                </c:pt>
                <c:pt idx="45">
                  <c:v>104.08620213589221</c:v>
                </c:pt>
                <c:pt idx="46">
                  <c:v>104.78828353976481</c:v>
                </c:pt>
                <c:pt idx="47">
                  <c:v>105.74779113245484</c:v>
                </c:pt>
                <c:pt idx="48">
                  <c:v>106.54359214322677</c:v>
                </c:pt>
                <c:pt idx="49">
                  <c:v>107.57794121005698</c:v>
                </c:pt>
                <c:pt idx="50">
                  <c:v>108.57649654600303</c:v>
                </c:pt>
                <c:pt idx="51">
                  <c:v>109.26606641743442</c:v>
                </c:pt>
                <c:pt idx="52">
                  <c:v>110.07715797337399</c:v>
                </c:pt>
                <c:pt idx="53">
                  <c:v>111.19179721425212</c:v>
                </c:pt>
                <c:pt idx="54">
                  <c:v>111.82373658675739</c:v>
                </c:pt>
                <c:pt idx="55">
                  <c:v>112.78740729027699</c:v>
                </c:pt>
                <c:pt idx="56">
                  <c:v>113.04756277763907</c:v>
                </c:pt>
                <c:pt idx="57">
                  <c:v>114.10315146071218</c:v>
                </c:pt>
                <c:pt idx="58">
                  <c:v>114.96891824626374</c:v>
                </c:pt>
                <c:pt idx="59">
                  <c:v>115.59052998833485</c:v>
                </c:pt>
              </c:numCache>
            </c:numRef>
          </c:val>
          <c:smooth val="0"/>
        </c:ser>
        <c:dLbls>
          <c:showLegendKey val="0"/>
          <c:showVal val="0"/>
          <c:showCatName val="0"/>
          <c:showSerName val="0"/>
          <c:showPercent val="0"/>
          <c:showBubbleSize val="0"/>
        </c:dLbls>
        <c:marker val="1"/>
        <c:smooth val="0"/>
        <c:axId val="613291464"/>
        <c:axId val="563942120"/>
      </c:lineChart>
      <c:dateAx>
        <c:axId val="6132914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a:t>
                </a:r>
              </a:p>
            </c:rich>
          </c:tx>
          <c:layout>
            <c:manualLayout>
              <c:xMode val="edge"/>
              <c:yMode val="edge"/>
              <c:x val="0.43174250832408462"/>
              <c:y val="0.94453507340946163"/>
            </c:manualLayout>
          </c:layout>
          <c:overlay val="0"/>
          <c:spPr>
            <a:noFill/>
            <a:ln w="25400">
              <a:noFill/>
            </a:ln>
          </c:spPr>
        </c:title>
        <c:numFmt formatCode="mmm\-yy" sourceLinked="0"/>
        <c:majorTickMark val="cross"/>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563942120"/>
        <c:crosses val="autoZero"/>
        <c:auto val="1"/>
        <c:lblOffset val="100"/>
        <c:baseTimeUnit val="months"/>
        <c:majorUnit val="2"/>
        <c:majorTimeUnit val="months"/>
        <c:minorUnit val="1"/>
        <c:minorTimeUnit val="months"/>
      </c:dateAx>
      <c:valAx>
        <c:axId val="563942120"/>
        <c:scaling>
          <c:orientation val="minMax"/>
        </c:scaling>
        <c:delete val="0"/>
        <c:axPos val="l"/>
        <c:numFmt formatCode="0" sourceLinked="0"/>
        <c:majorTickMark val="cross"/>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613291464"/>
        <c:crosses val="autoZero"/>
        <c:crossBetween val="midCat"/>
      </c:valAx>
      <c:spPr>
        <a:noFill/>
        <a:ln w="25400">
          <a:noFill/>
        </a:ln>
      </c:spPr>
    </c:plotArea>
    <c:legend>
      <c:legendPos val="r"/>
      <c:layout>
        <c:manualLayout>
          <c:xMode val="edge"/>
          <c:yMode val="edge"/>
          <c:x val="0.86237513873473914"/>
          <c:y val="0.45840130505709631"/>
          <c:w val="0.13318534961154269"/>
          <c:h val="6.6884176182707977E-2"/>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DemandForecast"/>
  <sheetViews>
    <sheetView zoomScale="88"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CostForecast"/>
  <sheetViews>
    <sheetView zoomScale="108" workbookViewId="0" zoomToFit="1"/>
  </sheetViews>
  <pageMargins left="0.75" right="0.75" top="1" bottom="1" header="0.5" footer="0.5"/>
  <headerFooter alignWithMargins="0"/>
  <drawing r:id="rId1"/>
  <legacy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368300</xdr:colOff>
      <xdr:row>5</xdr:row>
      <xdr:rowOff>12701</xdr:rowOff>
    </xdr:from>
    <xdr:to>
      <xdr:col>12</xdr:col>
      <xdr:colOff>66675</xdr:colOff>
      <xdr:row>36</xdr:row>
      <xdr:rowOff>9525</xdr:rowOff>
    </xdr:to>
    <xdr:sp macro="" textlink="">
      <xdr:nvSpPr>
        <xdr:cNvPr id="3" name="TextBox 2"/>
        <xdr:cNvSpPr txBox="1"/>
      </xdr:nvSpPr>
      <xdr:spPr>
        <a:xfrm>
          <a:off x="368300" y="965201"/>
          <a:ext cx="7013575" cy="5902324"/>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This application uses exponential smoothing to forecast future demands and unit production costs from historical data. The future forecasts are inputs to a production planning optimization model, where the production quantities are the changing cells, total cost is the target, and the constraints are that demand must be met from available inventory, production cannot exceed production capacity, and ending inventory cannot exceed storage capacity.
There are four basic options:
1. Find an optimal production plan, with demand and unit cost forecasts based on all observed data so far.
2. View the demand and unit cost data, along with their forecasts.
3. Enter new observed demand and unit cost data, as would be done in a rolling planning horizon procedure.
4. Change the smoothing constants for forecasting.
Some other information about the model:
1. The Data sheet currently includes several years of monthly data on demands and unit production costs in columns B and C. Demand is assumed to be seasonal, with an upward trend. Unit production costs are not seasonal, but they are trending upward through time. To the right on the Data sheet (starting in column AA), parameters for the Winters' and Holt's exponential smoothing methods are listed (smoothing constants and initialization constants). If you like, you can enter new demand and unit cost data, as well as new smoothing constants and appropriate initilization constants, in place of the data here.
2. The unit holding cost is assumed to be a percentage of the unit production cost, where this percentage is a user input.  The holding cost can be based on ending inventory or on the average of beginning and ending inventories.
3. Only a percentage of a month's production can be used to meet that month's demand.  The rest goes into ending inventory. (This percentage can be 100%.)
4. Production capacity and storage capacity are assumed to be constant through time.
5. The planning horizon for the optimization model can be from 3 to 12 months.
</a:t>
          </a:r>
        </a:p>
      </xdr:txBody>
    </xdr:sp>
    <xdr:clientData/>
  </xdr:twoCellAnchor>
  <mc:AlternateContent xmlns:mc="http://schemas.openxmlformats.org/markup-compatibility/2006">
    <mc:Choice xmlns:a14="http://schemas.microsoft.com/office/drawing/2010/main" Requires="a14">
      <xdr:twoCellAnchor>
        <xdr:from>
          <xdr:col>5</xdr:col>
          <xdr:colOff>180975</xdr:colOff>
          <xdr:row>2</xdr:row>
          <xdr:rowOff>66675</xdr:rowOff>
        </xdr:from>
        <xdr:to>
          <xdr:col>7</xdr:col>
          <xdr:colOff>314325</xdr:colOff>
          <xdr:row>4</xdr:row>
          <xdr:rowOff>57150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349249</xdr:colOff>
      <xdr:row>6</xdr:row>
      <xdr:rowOff>69849</xdr:rowOff>
    </xdr:from>
    <xdr:to>
      <xdr:col>17</xdr:col>
      <xdr:colOff>161924</xdr:colOff>
      <xdr:row>12</xdr:row>
      <xdr:rowOff>66674</xdr:rowOff>
    </xdr:to>
    <xdr:sp macro="" textlink="">
      <xdr:nvSpPr>
        <xdr:cNvPr id="3" name="TextBox 2"/>
        <xdr:cNvSpPr txBox="1"/>
      </xdr:nvSpPr>
      <xdr:spPr>
        <a:xfrm>
          <a:off x="3949699" y="1993899"/>
          <a:ext cx="2974975" cy="1139825"/>
        </a:xfrm>
        <a:prstGeom prst="roundRect">
          <a:avLst/>
        </a:prstGeom>
        <a:solidFill>
          <a:schemeClr val="bg1">
            <a:lumMod val="85000"/>
          </a:schemeClr>
        </a:solidFill>
        <a:ln>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The exponential smoothing calculations and the absolute percentage errors are hidden in columns D-F, H-I, and K-M. Unhide them if you like.  Smoothing constants and initialization constants are out in column AA.</a:t>
          </a:r>
        </a:p>
      </xdr:txBody>
    </xdr:sp>
    <xdr:clientData/>
  </xdr:twoCellAnchor>
  <mc:AlternateContent xmlns:mc="http://schemas.openxmlformats.org/markup-compatibility/2006">
    <mc:Choice xmlns:a14="http://schemas.microsoft.com/office/drawing/2010/main" Requires="a14">
      <xdr:twoCellAnchor>
        <xdr:from>
          <xdr:col>0</xdr:col>
          <xdr:colOff>228600</xdr:colOff>
          <xdr:row>1</xdr:row>
          <xdr:rowOff>190500</xdr:rowOff>
        </xdr:from>
        <xdr:to>
          <xdr:col>2</xdr:col>
          <xdr:colOff>314325</xdr:colOff>
          <xdr:row>1</xdr:row>
          <xdr:rowOff>809625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Demand Forecast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428625</xdr:colOff>
          <xdr:row>1</xdr:row>
          <xdr:rowOff>190500</xdr:rowOff>
        </xdr:from>
        <xdr:to>
          <xdr:col>9</xdr:col>
          <xdr:colOff>133350</xdr:colOff>
          <xdr:row>1</xdr:row>
          <xdr:rowOff>809625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Unit Cost Forecast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266700</xdr:colOff>
          <xdr:row>1</xdr:row>
          <xdr:rowOff>180975</xdr:rowOff>
        </xdr:from>
        <xdr:to>
          <xdr:col>12</xdr:col>
          <xdr:colOff>485775</xdr:colOff>
          <xdr:row>1</xdr:row>
          <xdr:rowOff>800100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Explanation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xdr:row>
          <xdr:rowOff>180975</xdr:rowOff>
        </xdr:from>
        <xdr:to>
          <xdr:col>14</xdr:col>
          <xdr:colOff>428625</xdr:colOff>
          <xdr:row>1</xdr:row>
          <xdr:rowOff>790575</xdr:rowOff>
        </xdr:to>
        <xdr:sp macro="" textlink="">
          <xdr:nvSpPr>
            <xdr:cNvPr id="8199" name="Button 7" hidden="1">
              <a:extLst>
                <a:ext uri="{63B3BB69-23CF-44E3-9099-C40C66FF867C}">
                  <a14:compatExt spid="_x0000_s81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Optimal Production Plan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85725</xdr:colOff>
      <xdr:row>6</xdr:row>
      <xdr:rowOff>38100</xdr:rowOff>
    </xdr:from>
    <xdr:to>
      <xdr:col>10</xdr:col>
      <xdr:colOff>390525</xdr:colOff>
      <xdr:row>20</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381000</xdr:colOff>
          <xdr:row>11</xdr:row>
          <xdr:rowOff>152400</xdr:rowOff>
        </xdr:from>
        <xdr:to>
          <xdr:col>2</xdr:col>
          <xdr:colOff>95250</xdr:colOff>
          <xdr:row>13</xdr:row>
          <xdr:rowOff>114300</xdr:rowOff>
        </xdr:to>
        <xdr:sp macro="" textlink="">
          <xdr:nvSpPr>
            <xdr:cNvPr id="32771" name="Button 3" hidden="1">
              <a:extLst>
                <a:ext uri="{63B3BB69-23CF-44E3-9099-C40C66FF867C}">
                  <a14:compatExt spid="_x0000_s32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Explanation Sheet</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583324" cy="5834062"/>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78333" cy="62970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B2:K2"/>
  <sheetViews>
    <sheetView showGridLines="0" showRowColHeaders="0" tabSelected="1" workbookViewId="0"/>
  </sheetViews>
  <sheetFormatPr defaultRowHeight="15" customHeight="1" x14ac:dyDescent="0.25"/>
  <cols>
    <col min="1" max="16384" width="9.140625" style="1"/>
  </cols>
  <sheetData>
    <row r="2" spans="2:11" ht="15" customHeight="1" x14ac:dyDescent="0.3">
      <c r="B2" s="16" t="s">
        <v>54</v>
      </c>
      <c r="C2" s="16"/>
      <c r="D2" s="16"/>
      <c r="E2" s="16"/>
      <c r="F2" s="16"/>
      <c r="G2" s="16"/>
      <c r="H2" s="16"/>
      <c r="I2" s="16"/>
      <c r="J2" s="16"/>
      <c r="K2" s="16"/>
    </row>
  </sheetData>
  <mergeCells count="1">
    <mergeCell ref="B2:K2"/>
  </mergeCells>
  <phoneticPr fontId="0" type="noConversion"/>
  <pageMargins left="0.75" right="0.75" top="1" bottom="1" header="0.5" footer="0.5"/>
  <pageSetup scale="83"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autoFill="0" autoPict="0" macro="[0]!MainProductionPlanning">
                <anchor moveWithCells="1" sizeWithCells="1">
                  <from>
                    <xdr:col>5</xdr:col>
                    <xdr:colOff>180975</xdr:colOff>
                    <xdr:row>2</xdr:row>
                    <xdr:rowOff>66675</xdr:rowOff>
                  </from>
                  <to>
                    <xdr:col>7</xdr:col>
                    <xdr:colOff>314325</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Data">
    <pageSetUpPr fitToPage="1"/>
  </sheetPr>
  <dimension ref="A1:AE66"/>
  <sheetViews>
    <sheetView workbookViewId="0"/>
  </sheetViews>
  <sheetFormatPr defaultRowHeight="15" x14ac:dyDescent="0.25"/>
  <cols>
    <col min="1" max="3" width="9.140625" style="3"/>
    <col min="4" max="6" width="9.140625" style="3" hidden="1" customWidth="1"/>
    <col min="7" max="7" width="13.140625" style="3" bestFit="1" customWidth="1"/>
    <col min="8" max="8" width="9.140625" style="3" hidden="1" customWidth="1"/>
    <col min="9" max="9" width="9.42578125" style="3" hidden="1" customWidth="1"/>
    <col min="10" max="10" width="13.42578125" style="3" bestFit="1" customWidth="1"/>
    <col min="11" max="12" width="10.5703125" style="3" hidden="1" customWidth="1"/>
    <col min="13" max="13" width="9.140625" style="3"/>
    <col min="14" max="14" width="10.85546875" style="3" customWidth="1"/>
    <col min="15" max="26" width="9.140625" style="3"/>
    <col min="27" max="27" width="11.28515625" style="3" customWidth="1"/>
    <col min="28" max="28" width="9.140625" style="3"/>
    <col min="29" max="29" width="16.42578125" style="3" customWidth="1"/>
    <col min="30" max="16384" width="9.140625" style="3"/>
  </cols>
  <sheetData>
    <row r="1" spans="1:31" x14ac:dyDescent="0.25">
      <c r="A1" s="2" t="s">
        <v>0</v>
      </c>
    </row>
    <row r="2" spans="1:31" ht="76.5" customHeight="1" x14ac:dyDescent="0.25"/>
    <row r="3" spans="1:31" x14ac:dyDescent="0.25">
      <c r="A3" s="4" t="s">
        <v>1</v>
      </c>
      <c r="B3" s="4" t="s">
        <v>2</v>
      </c>
      <c r="C3" s="4" t="s">
        <v>3</v>
      </c>
      <c r="D3" s="4" t="s">
        <v>27</v>
      </c>
      <c r="E3" s="4" t="s">
        <v>28</v>
      </c>
      <c r="F3" s="4" t="s">
        <v>29</v>
      </c>
      <c r="G3" s="4" t="s">
        <v>23</v>
      </c>
      <c r="H3" s="4" t="s">
        <v>26</v>
      </c>
      <c r="I3" s="4" t="s">
        <v>25</v>
      </c>
      <c r="J3" s="4" t="s">
        <v>24</v>
      </c>
      <c r="K3" s="4" t="s">
        <v>30</v>
      </c>
      <c r="L3" s="4" t="s">
        <v>31</v>
      </c>
      <c r="N3" s="5" t="s">
        <v>55</v>
      </c>
      <c r="AA3" s="5" t="s">
        <v>20</v>
      </c>
    </row>
    <row r="4" spans="1:31" x14ac:dyDescent="0.25">
      <c r="A4" s="6">
        <v>40544</v>
      </c>
      <c r="B4" s="3">
        <v>376</v>
      </c>
      <c r="C4" s="7">
        <v>55.5</v>
      </c>
      <c r="D4" s="7">
        <f>Alpha1*B4/AB15+(1-Alpha1)*(AB11+AB12)</f>
        <v>524.41428571428571</v>
      </c>
      <c r="E4" s="7">
        <f>Beta1*(D4-AB11)+(1-Beta1)*AB12</f>
        <v>11.282857142857143</v>
      </c>
      <c r="F4" s="7">
        <f t="shared" ref="F4:F15" si="0">Gamma1*B4/D4+(1-Gamma1)*AB15</f>
        <v>0.70849519191478927</v>
      </c>
      <c r="G4" s="7">
        <f>(AB11+AB12)*AB15</f>
        <v>366.09999999999997</v>
      </c>
      <c r="H4" s="7">
        <f>Alpha2*C4+(1-Alpha2)*(AE11+AE12)</f>
        <v>57.03</v>
      </c>
      <c r="I4" s="7">
        <f>Beta2*(H4-AE11)+(1-Beta2)*AE12</f>
        <v>1.4659999999999997</v>
      </c>
      <c r="J4" s="7">
        <f>AE11+AE12</f>
        <v>57.2</v>
      </c>
      <c r="K4" s="7">
        <f>ABS((G4-B4)/B4)</f>
        <v>2.6329787234042643E-2</v>
      </c>
      <c r="L4" s="7">
        <f>ABS((J4-C4)/C4)</f>
        <v>3.0630630630630682E-2</v>
      </c>
      <c r="N4" s="3" t="s">
        <v>56</v>
      </c>
      <c r="O4" s="8">
        <f>AVERAGE(_APE1)</f>
        <v>9.2259318375939842E-2</v>
      </c>
    </row>
    <row r="5" spans="1:31" x14ac:dyDescent="0.25">
      <c r="A5" s="6">
        <v>40575</v>
      </c>
      <c r="B5" s="3">
        <v>394</v>
      </c>
      <c r="C5" s="7">
        <v>61</v>
      </c>
      <c r="D5" s="7">
        <f t="shared" ref="D5:D15" si="1">Alpha1*B5/AB16+(1-Alpha1)*(D4+E4)</f>
        <v>538.41314285714282</v>
      </c>
      <c r="E5" s="7">
        <f>Beta1*(D5-D4)+(1-Beta1)*E4</f>
        <v>11.826057142857136</v>
      </c>
      <c r="F5" s="7">
        <f t="shared" si="0"/>
        <v>0.71589002815681635</v>
      </c>
      <c r="G5" s="7">
        <f t="shared" ref="G5:G15" si="2">(D4+E4)*AB16</f>
        <v>374.98799999999994</v>
      </c>
      <c r="H5" s="7">
        <f>Alpha2*C5+(1-Alpha2)*(H4+I4)</f>
        <v>58.746400000000001</v>
      </c>
      <c r="I5" s="7">
        <f>Beta2*(H5-H4)+(1-Beta2)*I4</f>
        <v>1.5160799999999999</v>
      </c>
      <c r="J5" s="7">
        <f>H4+I4</f>
        <v>58.496000000000002</v>
      </c>
      <c r="K5" s="7">
        <f t="shared" ref="K5:K63" si="3">ABS((G5-B5)/B5)</f>
        <v>4.8253807106599128E-2</v>
      </c>
      <c r="L5" s="7">
        <f t="shared" ref="L5:L63" si="4">ABS((J5-C5)/C5)</f>
        <v>4.1049180327868813E-2</v>
      </c>
      <c r="N5" s="3" t="s">
        <v>57</v>
      </c>
      <c r="O5" s="8">
        <f>AVERAGE(_APE2)</f>
        <v>2.6122006259497784E-2</v>
      </c>
      <c r="AA5" s="3" t="s">
        <v>21</v>
      </c>
      <c r="AD5" s="3" t="s">
        <v>22</v>
      </c>
    </row>
    <row r="6" spans="1:31" x14ac:dyDescent="0.25">
      <c r="A6" s="6">
        <v>40603</v>
      </c>
      <c r="B6" s="3">
        <v>416</v>
      </c>
      <c r="C6" s="7">
        <v>63.42</v>
      </c>
      <c r="D6" s="7">
        <f t="shared" si="1"/>
        <v>547.21528000000001</v>
      </c>
      <c r="E6" s="7">
        <f t="shared" ref="E6:E13" si="5">Beta1*(D6-D5)+(1-Beta1)*E5</f>
        <v>11.221273142857147</v>
      </c>
      <c r="F6" s="7">
        <f t="shared" si="0"/>
        <v>0.78010634498364162</v>
      </c>
      <c r="G6" s="7">
        <f t="shared" si="2"/>
        <v>440.19136000000003</v>
      </c>
      <c r="H6" s="7">
        <f t="shared" ref="H6:H63" si="6">Alpha2*C6+(1-Alpha2)*(H5+I5)</f>
        <v>60.578232</v>
      </c>
      <c r="I6" s="7">
        <f t="shared" ref="I6:I63" si="7">Beta2*(H6-H5)+(1-Beta2)*I5</f>
        <v>1.5792303999999997</v>
      </c>
      <c r="J6" s="7">
        <f t="shared" ref="J6:J63" si="8">H5+I5</f>
        <v>60.262480000000004</v>
      </c>
      <c r="K6" s="7">
        <f t="shared" si="3"/>
        <v>5.8152307692307767E-2</v>
      </c>
      <c r="L6" s="7">
        <f t="shared" si="4"/>
        <v>4.978744875433614E-2</v>
      </c>
      <c r="AA6" s="3" t="s">
        <v>4</v>
      </c>
      <c r="AB6" s="3">
        <v>0.1</v>
      </c>
      <c r="AD6" s="3" t="s">
        <v>4</v>
      </c>
      <c r="AE6" s="3">
        <v>0.1</v>
      </c>
    </row>
    <row r="7" spans="1:31" x14ac:dyDescent="0.25">
      <c r="A7" s="6">
        <v>40634</v>
      </c>
      <c r="B7" s="3">
        <v>437</v>
      </c>
      <c r="C7" s="7">
        <v>57.17</v>
      </c>
      <c r="D7" s="7">
        <f t="shared" si="1"/>
        <v>557.21789782857149</v>
      </c>
      <c r="E7" s="7">
        <f t="shared" si="5"/>
        <v>10.977542080000015</v>
      </c>
      <c r="F7" s="7">
        <f t="shared" si="0"/>
        <v>0.79212667226138112</v>
      </c>
      <c r="G7" s="7">
        <f t="shared" si="2"/>
        <v>446.74924251428575</v>
      </c>
      <c r="H7" s="7">
        <f t="shared" si="6"/>
        <v>61.658716159999997</v>
      </c>
      <c r="I7" s="7">
        <f t="shared" si="7"/>
        <v>1.4794811519999995</v>
      </c>
      <c r="J7" s="7">
        <f t="shared" si="8"/>
        <v>62.1574624</v>
      </c>
      <c r="K7" s="7">
        <f t="shared" si="3"/>
        <v>2.2309479437724839E-2</v>
      </c>
      <c r="L7" s="7">
        <f t="shared" si="4"/>
        <v>8.7239153402133951E-2</v>
      </c>
      <c r="AA7" s="3" t="s">
        <v>5</v>
      </c>
      <c r="AB7" s="3">
        <v>0.2</v>
      </c>
      <c r="AD7" s="3" t="s">
        <v>5</v>
      </c>
      <c r="AE7" s="3">
        <v>0.2</v>
      </c>
    </row>
    <row r="8" spans="1:31" x14ac:dyDescent="0.25">
      <c r="A8" s="6">
        <v>40664</v>
      </c>
      <c r="B8" s="3">
        <v>524</v>
      </c>
      <c r="C8" s="7">
        <v>62.62</v>
      </c>
      <c r="D8" s="7">
        <f t="shared" si="1"/>
        <v>569.59811813993656</v>
      </c>
      <c r="E8" s="7">
        <f t="shared" si="5"/>
        <v>11.258077726273026</v>
      </c>
      <c r="F8" s="7">
        <f t="shared" si="0"/>
        <v>0.90997342978516116</v>
      </c>
      <c r="G8" s="7">
        <f t="shared" si="2"/>
        <v>511.37589591771439</v>
      </c>
      <c r="H8" s="7">
        <f t="shared" si="6"/>
        <v>63.086377580799997</v>
      </c>
      <c r="I8" s="7">
        <f t="shared" si="7"/>
        <v>1.4691172057599995</v>
      </c>
      <c r="J8" s="7">
        <f t="shared" si="8"/>
        <v>63.138197311999996</v>
      </c>
      <c r="K8" s="7">
        <f t="shared" si="3"/>
        <v>2.409180168375117E-2</v>
      </c>
      <c r="L8" s="7">
        <f t="shared" si="4"/>
        <v>8.2752684765250422E-3</v>
      </c>
      <c r="AA8" s="3" t="s">
        <v>19</v>
      </c>
      <c r="AB8" s="3">
        <v>0.5</v>
      </c>
    </row>
    <row r="9" spans="1:31" x14ac:dyDescent="0.25">
      <c r="A9" s="6">
        <v>40695</v>
      </c>
      <c r="B9" s="3">
        <v>672</v>
      </c>
      <c r="C9" s="7">
        <v>65.66</v>
      </c>
      <c r="D9" s="7">
        <f t="shared" si="1"/>
        <v>578.77057627958857</v>
      </c>
      <c r="E9" s="7">
        <f t="shared" si="5"/>
        <v>10.840953808948822</v>
      </c>
      <c r="F9" s="7">
        <f t="shared" si="0"/>
        <v>1.1805409151236592</v>
      </c>
      <c r="G9" s="7">
        <f t="shared" si="2"/>
        <v>697.02743503945146</v>
      </c>
      <c r="H9" s="7">
        <f t="shared" si="6"/>
        <v>64.665945307903996</v>
      </c>
      <c r="I9" s="7">
        <f t="shared" si="7"/>
        <v>1.4912073100287997</v>
      </c>
      <c r="J9" s="7">
        <f t="shared" si="8"/>
        <v>64.55549478655999</v>
      </c>
      <c r="K9" s="7">
        <f t="shared" si="3"/>
        <v>3.7243206903945628E-2</v>
      </c>
      <c r="L9" s="7">
        <f t="shared" si="4"/>
        <v>1.6821584121839882E-2</v>
      </c>
    </row>
    <row r="10" spans="1:31" x14ac:dyDescent="0.25">
      <c r="A10" s="6">
        <v>40725</v>
      </c>
      <c r="B10" s="3">
        <v>930</v>
      </c>
      <c r="C10" s="7">
        <v>64.180000000000007</v>
      </c>
      <c r="D10" s="7">
        <f t="shared" si="1"/>
        <v>592.65037707968372</v>
      </c>
      <c r="E10" s="7">
        <f t="shared" si="5"/>
        <v>11.448723207178087</v>
      </c>
      <c r="F10" s="7">
        <f t="shared" si="0"/>
        <v>1.534610991544985</v>
      </c>
      <c r="G10" s="7">
        <f t="shared" si="2"/>
        <v>884.41729513280609</v>
      </c>
      <c r="H10" s="7">
        <f t="shared" si="6"/>
        <v>65.959437356139517</v>
      </c>
      <c r="I10" s="7">
        <f t="shared" si="7"/>
        <v>1.451664257670144</v>
      </c>
      <c r="J10" s="7">
        <f t="shared" si="8"/>
        <v>66.157152617932795</v>
      </c>
      <c r="K10" s="7">
        <f t="shared" si="3"/>
        <v>4.9013661147520336E-2</v>
      </c>
      <c r="L10" s="7">
        <f t="shared" si="4"/>
        <v>3.0806366748719033E-2</v>
      </c>
      <c r="AA10" s="5" t="s">
        <v>58</v>
      </c>
      <c r="AD10" s="3" t="s">
        <v>59</v>
      </c>
    </row>
    <row r="11" spans="1:31" x14ac:dyDescent="0.25">
      <c r="A11" s="6">
        <v>40756</v>
      </c>
      <c r="B11" s="3">
        <v>945</v>
      </c>
      <c r="C11" s="7">
        <v>69.37</v>
      </c>
      <c r="D11" s="7">
        <f t="shared" si="1"/>
        <v>606.6891902581757</v>
      </c>
      <c r="E11" s="7">
        <f t="shared" si="5"/>
        <v>11.966741201440867</v>
      </c>
      <c r="F11" s="7">
        <f t="shared" si="0"/>
        <v>1.5288172388549206</v>
      </c>
      <c r="G11" s="7">
        <f t="shared" si="2"/>
        <v>906.14865043029272</v>
      </c>
      <c r="H11" s="7">
        <f t="shared" si="6"/>
        <v>67.606991452428701</v>
      </c>
      <c r="I11" s="7">
        <f t="shared" si="7"/>
        <v>1.4908422253939522</v>
      </c>
      <c r="J11" s="7">
        <f t="shared" si="8"/>
        <v>67.411101613809663</v>
      </c>
      <c r="K11" s="7">
        <f t="shared" si="3"/>
        <v>4.1112539227203475E-2</v>
      </c>
      <c r="L11" s="7">
        <f t="shared" si="4"/>
        <v>2.8238408334875904E-2</v>
      </c>
      <c r="AA11" s="3" t="s">
        <v>4</v>
      </c>
      <c r="AB11" s="3">
        <v>512</v>
      </c>
      <c r="AD11" s="3" t="s">
        <v>4</v>
      </c>
      <c r="AE11" s="3">
        <v>55.7</v>
      </c>
    </row>
    <row r="12" spans="1:31" x14ac:dyDescent="0.25">
      <c r="A12" s="6">
        <v>40787</v>
      </c>
      <c r="B12" s="3">
        <v>719</v>
      </c>
      <c r="C12" s="7">
        <v>66.959999999999994</v>
      </c>
      <c r="D12" s="7">
        <f t="shared" si="1"/>
        <v>622.15397467729133</v>
      </c>
      <c r="E12" s="7">
        <f t="shared" si="5"/>
        <v>12.666349844975819</v>
      </c>
      <c r="F12" s="7">
        <f t="shared" si="0"/>
        <v>1.127831235726608</v>
      </c>
      <c r="G12" s="7">
        <f t="shared" si="2"/>
        <v>680.52152460557829</v>
      </c>
      <c r="H12" s="7">
        <f t="shared" si="6"/>
        <v>68.884050310040394</v>
      </c>
      <c r="I12" s="7">
        <f t="shared" si="7"/>
        <v>1.4480855518375002</v>
      </c>
      <c r="J12" s="7">
        <f t="shared" si="8"/>
        <v>69.097833677822649</v>
      </c>
      <c r="K12" s="7">
        <f t="shared" si="3"/>
        <v>5.3516655625064961E-2</v>
      </c>
      <c r="L12" s="7">
        <f t="shared" si="4"/>
        <v>3.1927026251831775E-2</v>
      </c>
      <c r="AA12" s="3" t="s">
        <v>5</v>
      </c>
      <c r="AB12" s="3">
        <v>11</v>
      </c>
      <c r="AD12" s="3" t="s">
        <v>5</v>
      </c>
      <c r="AE12" s="3">
        <v>1.5</v>
      </c>
    </row>
    <row r="13" spans="1:31" x14ac:dyDescent="0.25">
      <c r="A13" s="6">
        <v>40817</v>
      </c>
      <c r="B13" s="3">
        <v>444</v>
      </c>
      <c r="C13" s="7">
        <v>65.87</v>
      </c>
      <c r="D13" s="7">
        <f t="shared" si="1"/>
        <v>634.76686349861188</v>
      </c>
      <c r="E13" s="7">
        <f t="shared" si="5"/>
        <v>12.655657640244765</v>
      </c>
      <c r="F13" s="7">
        <f t="shared" si="0"/>
        <v>0.69973470224392931</v>
      </c>
      <c r="G13" s="7">
        <f t="shared" si="2"/>
        <v>444.37422716558694</v>
      </c>
      <c r="H13" s="7">
        <f t="shared" si="6"/>
        <v>69.885922275690106</v>
      </c>
      <c r="I13" s="7">
        <f t="shared" si="7"/>
        <v>1.3588428345999426</v>
      </c>
      <c r="J13" s="7">
        <f t="shared" si="8"/>
        <v>70.332135861877887</v>
      </c>
      <c r="K13" s="7">
        <f t="shared" si="3"/>
        <v>8.4285397654717219E-4</v>
      </c>
      <c r="L13" s="7">
        <f t="shared" si="4"/>
        <v>6.7741549444024329E-2</v>
      </c>
    </row>
    <row r="14" spans="1:31" x14ac:dyDescent="0.25">
      <c r="A14" s="6">
        <v>40848</v>
      </c>
      <c r="B14" s="3">
        <v>402</v>
      </c>
      <c r="C14" s="7">
        <v>62.01</v>
      </c>
      <c r="D14" s="7">
        <f t="shared" si="1"/>
        <v>640.10884045354237</v>
      </c>
      <c r="E14" s="7">
        <f>Beta1*(D14-D13)+(1-Beta1)*E13</f>
        <v>11.19292150318191</v>
      </c>
      <c r="F14" s="7">
        <f t="shared" si="0"/>
        <v>0.66400909860514279</v>
      </c>
      <c r="G14" s="7">
        <f t="shared" si="2"/>
        <v>453.19576479719962</v>
      </c>
      <c r="H14" s="7">
        <f t="shared" si="6"/>
        <v>70.321288599261038</v>
      </c>
      <c r="I14" s="7">
        <f t="shared" si="7"/>
        <v>1.1741475323941404</v>
      </c>
      <c r="J14" s="7">
        <f t="shared" si="8"/>
        <v>71.244765110290047</v>
      </c>
      <c r="K14" s="7">
        <f t="shared" si="3"/>
        <v>0.12735264874925278</v>
      </c>
      <c r="L14" s="7">
        <f t="shared" si="4"/>
        <v>0.14892380439106676</v>
      </c>
      <c r="AA14" s="3" t="s">
        <v>6</v>
      </c>
    </row>
    <row r="15" spans="1:31" x14ac:dyDescent="0.25">
      <c r="A15" s="6">
        <v>40878</v>
      </c>
      <c r="B15" s="3">
        <v>870</v>
      </c>
      <c r="C15" s="7">
        <v>70.98</v>
      </c>
      <c r="D15" s="7">
        <f t="shared" si="1"/>
        <v>648.31444290390891</v>
      </c>
      <c r="E15" s="7">
        <f>Beta1*(D15-D14)+(1-Beta1)*E14</f>
        <v>10.595457692618838</v>
      </c>
      <c r="F15" s="7">
        <f t="shared" si="0"/>
        <v>1.3709707068248582</v>
      </c>
      <c r="G15" s="7">
        <f t="shared" si="2"/>
        <v>911.82246673941393</v>
      </c>
      <c r="H15" s="7">
        <f t="shared" si="6"/>
        <v>71.443892518489662</v>
      </c>
      <c r="I15" s="7">
        <f t="shared" si="7"/>
        <v>1.163838809761037</v>
      </c>
      <c r="J15" s="7">
        <f t="shared" si="8"/>
        <v>71.495436131655183</v>
      </c>
      <c r="K15" s="7">
        <f t="shared" si="3"/>
        <v>4.8071800849901064E-2</v>
      </c>
      <c r="L15" s="7">
        <f t="shared" si="4"/>
        <v>7.2617093780667583E-3</v>
      </c>
      <c r="AA15" s="3" t="s">
        <v>7</v>
      </c>
      <c r="AB15" s="3">
        <v>0.7</v>
      </c>
    </row>
    <row r="16" spans="1:31" x14ac:dyDescent="0.25">
      <c r="A16" s="6">
        <v>40909</v>
      </c>
      <c r="B16" s="3">
        <v>416</v>
      </c>
      <c r="C16" s="7">
        <v>71.72</v>
      </c>
      <c r="D16" s="7">
        <f>Alpha1*B16/F4+(1-Alpha1)*(D15+E15)</f>
        <v>651.73490533081463</v>
      </c>
      <c r="E16" s="7">
        <f>Beta1*(D16-D15)+(1-Beta1)*E15</f>
        <v>9.1604586394762144</v>
      </c>
      <c r="F16" s="7">
        <f>Gamma1*B16/D16+(1-Gamma1)*F4</f>
        <v>0.6733957623340614</v>
      </c>
      <c r="G16" s="7">
        <f>(D15+E15)*F4</f>
        <v>466.83449647769169</v>
      </c>
      <c r="H16" s="7">
        <f t="shared" si="6"/>
        <v>72.518958195425625</v>
      </c>
      <c r="I16" s="7">
        <f t="shared" si="7"/>
        <v>1.1460841831960225</v>
      </c>
      <c r="J16" s="7">
        <f t="shared" si="8"/>
        <v>72.607731328250694</v>
      </c>
      <c r="K16" s="7">
        <f t="shared" si="3"/>
        <v>0.12219830884060502</v>
      </c>
      <c r="L16" s="7">
        <f t="shared" si="4"/>
        <v>1.2377737426808347E-2</v>
      </c>
      <c r="AA16" s="3" t="s">
        <v>8</v>
      </c>
      <c r="AB16" s="3">
        <v>0.7</v>
      </c>
    </row>
    <row r="17" spans="1:28" x14ac:dyDescent="0.25">
      <c r="A17" s="6">
        <v>40940</v>
      </c>
      <c r="B17" s="3">
        <v>485</v>
      </c>
      <c r="C17" s="7">
        <v>71.44</v>
      </c>
      <c r="D17" s="7">
        <f t="shared" ref="D17:D63" si="9">Alpha1*B17/F5+(1-Alpha1)*(D16+E16)</f>
        <v>662.55366326371234</v>
      </c>
      <c r="E17" s="7">
        <f t="shared" ref="E17:E63" si="10">Beta1*(D17-D16)+(1-Beta1)*E16</f>
        <v>9.4921184981605133</v>
      </c>
      <c r="F17" s="7">
        <f t="shared" ref="F17:F63" si="11">Gamma1*B17/D17+(1-Gamma1)*F5</f>
        <v>0.72395310285034986</v>
      </c>
      <c r="G17" s="7">
        <f t="shared" ref="G17:G63" si="12">(D16+E16)*F5</f>
        <v>473.12840072140091</v>
      </c>
      <c r="H17" s="7">
        <f t="shared" si="6"/>
        <v>73.442538140759495</v>
      </c>
      <c r="I17" s="7">
        <f t="shared" si="7"/>
        <v>1.101583335623592</v>
      </c>
      <c r="J17" s="7">
        <f t="shared" si="8"/>
        <v>73.665042378621649</v>
      </c>
      <c r="K17" s="7">
        <f t="shared" si="3"/>
        <v>2.4477524285771324E-2</v>
      </c>
      <c r="L17" s="7">
        <f t="shared" si="4"/>
        <v>3.1145610003102626E-2</v>
      </c>
      <c r="AA17" s="3" t="s">
        <v>9</v>
      </c>
      <c r="AB17" s="3">
        <v>0.8</v>
      </c>
    </row>
    <row r="18" spans="1:28" x14ac:dyDescent="0.25">
      <c r="A18" s="6">
        <v>40969</v>
      </c>
      <c r="B18" s="3">
        <v>509</v>
      </c>
      <c r="C18" s="7">
        <v>72.95</v>
      </c>
      <c r="D18" s="7">
        <f t="shared" si="9"/>
        <v>670.08871801407713</v>
      </c>
      <c r="E18" s="7">
        <f t="shared" si="10"/>
        <v>9.1007057486013689</v>
      </c>
      <c r="F18" s="7">
        <f t="shared" si="11"/>
        <v>0.76985362750359054</v>
      </c>
      <c r="G18" s="7">
        <f t="shared" si="12"/>
        <v>524.26717847192867</v>
      </c>
      <c r="H18" s="7">
        <f t="shared" si="6"/>
        <v>74.384709328744776</v>
      </c>
      <c r="I18" s="7">
        <f t="shared" si="7"/>
        <v>1.0697009060959299</v>
      </c>
      <c r="J18" s="7">
        <f t="shared" si="8"/>
        <v>74.544121476383083</v>
      </c>
      <c r="K18" s="7">
        <f t="shared" si="3"/>
        <v>2.9994456722846115E-2</v>
      </c>
      <c r="L18" s="7">
        <f t="shared" si="4"/>
        <v>2.1852247791406168E-2</v>
      </c>
      <c r="AA18" s="3" t="s">
        <v>10</v>
      </c>
      <c r="AB18" s="3">
        <v>0.8</v>
      </c>
    </row>
    <row r="19" spans="1:28" x14ac:dyDescent="0.25">
      <c r="A19" s="6">
        <v>41000</v>
      </c>
      <c r="B19" s="3">
        <v>592</v>
      </c>
      <c r="C19" s="7">
        <v>72.66</v>
      </c>
      <c r="D19" s="7">
        <f t="shared" si="9"/>
        <v>686.0060029551953</v>
      </c>
      <c r="E19" s="7">
        <f t="shared" si="10"/>
        <v>10.46402158710473</v>
      </c>
      <c r="F19" s="7">
        <f t="shared" si="11"/>
        <v>0.82754644083368611</v>
      </c>
      <c r="G19" s="7">
        <f t="shared" si="12"/>
        <v>538.0040580802555</v>
      </c>
      <c r="H19" s="7">
        <f t="shared" si="6"/>
        <v>75.17496921135664</v>
      </c>
      <c r="I19" s="7">
        <f t="shared" si="7"/>
        <v>1.0138127013991167</v>
      </c>
      <c r="J19" s="7">
        <f t="shared" si="8"/>
        <v>75.454410234840708</v>
      </c>
      <c r="K19" s="7">
        <f t="shared" si="3"/>
        <v>9.1209361350919754E-2</v>
      </c>
      <c r="L19" s="7">
        <f t="shared" si="4"/>
        <v>3.845871504047222E-2</v>
      </c>
      <c r="AA19" s="3" t="s">
        <v>11</v>
      </c>
      <c r="AB19" s="3">
        <v>0.9</v>
      </c>
    </row>
    <row r="20" spans="1:28" x14ac:dyDescent="0.25">
      <c r="A20" s="6">
        <v>41030</v>
      </c>
      <c r="B20" s="3">
        <v>592</v>
      </c>
      <c r="C20" s="7">
        <v>75.77</v>
      </c>
      <c r="D20" s="7">
        <f t="shared" si="9"/>
        <v>691.87986667525399</v>
      </c>
      <c r="E20" s="7">
        <f t="shared" si="10"/>
        <v>9.5459900136955227</v>
      </c>
      <c r="F20" s="7">
        <f t="shared" si="11"/>
        <v>0.88280665048688056</v>
      </c>
      <c r="G20" s="7">
        <f t="shared" si="12"/>
        <v>633.76921697531213</v>
      </c>
      <c r="H20" s="7">
        <f t="shared" si="6"/>
        <v>76.146903721480186</v>
      </c>
      <c r="I20" s="7">
        <f t="shared" si="7"/>
        <v>1.0054370631440026</v>
      </c>
      <c r="J20" s="7">
        <f t="shared" si="8"/>
        <v>76.188781912755758</v>
      </c>
      <c r="K20" s="7">
        <f t="shared" si="3"/>
        <v>7.0556109755594815E-2</v>
      </c>
      <c r="L20" s="7">
        <f t="shared" si="4"/>
        <v>5.5270148179459118E-3</v>
      </c>
      <c r="AA20" s="3" t="s">
        <v>12</v>
      </c>
      <c r="AB20" s="3">
        <v>1.2</v>
      </c>
    </row>
    <row r="21" spans="1:28" x14ac:dyDescent="0.25">
      <c r="A21" s="6">
        <v>41061</v>
      </c>
      <c r="B21" s="3">
        <v>814</v>
      </c>
      <c r="C21" s="7">
        <v>77.260000000000005</v>
      </c>
      <c r="D21" s="7">
        <f t="shared" si="9"/>
        <v>700.23471434336659</v>
      </c>
      <c r="E21" s="7">
        <f t="shared" si="10"/>
        <v>9.3077615445789377</v>
      </c>
      <c r="F21" s="7">
        <f t="shared" si="11"/>
        <v>1.171504137730996</v>
      </c>
      <c r="G21" s="7">
        <f t="shared" si="12"/>
        <v>828.061922746969</v>
      </c>
      <c r="H21" s="7">
        <f t="shared" si="6"/>
        <v>77.16310670616177</v>
      </c>
      <c r="I21" s="7">
        <f t="shared" si="7"/>
        <v>1.007590247451519</v>
      </c>
      <c r="J21" s="7">
        <f t="shared" si="8"/>
        <v>77.152340784624187</v>
      </c>
      <c r="K21" s="7">
        <f t="shared" si="3"/>
        <v>1.727508936974079E-2</v>
      </c>
      <c r="L21" s="7">
        <f t="shared" si="4"/>
        <v>1.3934664169792707E-3</v>
      </c>
      <c r="AA21" s="3" t="s">
        <v>13</v>
      </c>
      <c r="AB21" s="3">
        <v>1.5</v>
      </c>
    </row>
    <row r="22" spans="1:28" x14ac:dyDescent="0.25">
      <c r="A22" s="6">
        <v>41091</v>
      </c>
      <c r="B22" s="3">
        <v>1037</v>
      </c>
      <c r="C22" s="7">
        <v>73.069999999999993</v>
      </c>
      <c r="D22" s="7">
        <f t="shared" si="9"/>
        <v>706.16235657748371</v>
      </c>
      <c r="E22" s="7">
        <f t="shared" si="10"/>
        <v>8.6317376824865732</v>
      </c>
      <c r="F22" s="7">
        <f t="shared" si="11"/>
        <v>1.5015559059939947</v>
      </c>
      <c r="G22" s="7">
        <f t="shared" si="12"/>
        <v>1088.8716824656838</v>
      </c>
      <c r="H22" s="7">
        <f t="shared" si="6"/>
        <v>77.660627258251964</v>
      </c>
      <c r="I22" s="7">
        <f t="shared" si="7"/>
        <v>0.90557630837925407</v>
      </c>
      <c r="J22" s="7">
        <f t="shared" si="8"/>
        <v>78.170696953613287</v>
      </c>
      <c r="K22" s="7">
        <f t="shared" si="3"/>
        <v>5.002090883865358E-2</v>
      </c>
      <c r="L22" s="7">
        <f t="shared" si="4"/>
        <v>6.9805624108571163E-2</v>
      </c>
      <c r="AA22" s="3" t="s">
        <v>14</v>
      </c>
      <c r="AB22" s="3">
        <v>1.5</v>
      </c>
    </row>
    <row r="23" spans="1:28" x14ac:dyDescent="0.25">
      <c r="A23" s="6">
        <v>41122</v>
      </c>
      <c r="B23" s="3">
        <v>1068</v>
      </c>
      <c r="C23" s="7">
        <v>75.459999999999994</v>
      </c>
      <c r="D23" s="7">
        <f t="shared" si="9"/>
        <v>713.17260982701748</v>
      </c>
      <c r="E23" s="7">
        <f t="shared" si="10"/>
        <v>8.3074407958960137</v>
      </c>
      <c r="F23" s="7">
        <f t="shared" si="11"/>
        <v>1.5131754574157048</v>
      </c>
      <c r="G23" s="7">
        <f t="shared" si="12"/>
        <v>1092.7895335363316</v>
      </c>
      <c r="H23" s="7">
        <f t="shared" si="6"/>
        <v>78.255583209968108</v>
      </c>
      <c r="I23" s="7">
        <f t="shared" si="7"/>
        <v>0.84345223704663219</v>
      </c>
      <c r="J23" s="7">
        <f t="shared" si="8"/>
        <v>78.566203566631216</v>
      </c>
      <c r="K23" s="7">
        <f t="shared" si="3"/>
        <v>2.3211173723156973E-2</v>
      </c>
      <c r="L23" s="7">
        <f t="shared" si="4"/>
        <v>4.1163577612393622E-2</v>
      </c>
      <c r="AA23" s="3" t="s">
        <v>15</v>
      </c>
      <c r="AB23" s="3">
        <v>1.1000000000000001</v>
      </c>
    </row>
    <row r="24" spans="1:28" x14ac:dyDescent="0.25">
      <c r="A24" s="6">
        <v>41153</v>
      </c>
      <c r="B24" s="3">
        <v>937</v>
      </c>
      <c r="C24" s="7">
        <v>79.23</v>
      </c>
      <c r="D24" s="7">
        <f t="shared" si="9"/>
        <v>732.4118513257406</v>
      </c>
      <c r="E24" s="7">
        <f t="shared" si="10"/>
        <v>10.493800936461435</v>
      </c>
      <c r="F24" s="7">
        <f t="shared" si="11"/>
        <v>1.2035830387986248</v>
      </c>
      <c r="G24" s="7">
        <f t="shared" si="12"/>
        <v>813.70773704613623</v>
      </c>
      <c r="H24" s="7">
        <f t="shared" si="6"/>
        <v>79.112131902313266</v>
      </c>
      <c r="I24" s="7">
        <f t="shared" si="7"/>
        <v>0.84607152810633734</v>
      </c>
      <c r="J24" s="7">
        <f t="shared" si="8"/>
        <v>79.099035447014742</v>
      </c>
      <c r="K24" s="7">
        <f t="shared" si="3"/>
        <v>0.13158192417701575</v>
      </c>
      <c r="L24" s="7">
        <f t="shared" si="4"/>
        <v>1.6529667169665741E-3</v>
      </c>
      <c r="AA24" s="3" t="s">
        <v>16</v>
      </c>
      <c r="AB24" s="3">
        <v>0.7</v>
      </c>
    </row>
    <row r="25" spans="1:28" x14ac:dyDescent="0.25">
      <c r="A25" s="6">
        <v>41183</v>
      </c>
      <c r="B25" s="3">
        <v>501</v>
      </c>
      <c r="C25" s="7">
        <v>75.319999999999993</v>
      </c>
      <c r="D25" s="7">
        <f t="shared" si="9"/>
        <v>740.21365123372402</v>
      </c>
      <c r="E25" s="7">
        <f t="shared" si="10"/>
        <v>9.9554007307658328</v>
      </c>
      <c r="F25" s="7">
        <f t="shared" si="11"/>
        <v>0.68828315794002082</v>
      </c>
      <c r="G25" s="7">
        <f t="shared" si="12"/>
        <v>519.83686538102404</v>
      </c>
      <c r="H25" s="7">
        <f t="shared" si="6"/>
        <v>79.494383087377642</v>
      </c>
      <c r="I25" s="7">
        <f t="shared" si="7"/>
        <v>0.7533074594979452</v>
      </c>
      <c r="J25" s="7">
        <f t="shared" si="8"/>
        <v>79.958203430419601</v>
      </c>
      <c r="K25" s="7">
        <f t="shared" si="3"/>
        <v>3.7598533694658764E-2</v>
      </c>
      <c r="L25" s="7">
        <f t="shared" si="4"/>
        <v>6.1579971195162092E-2</v>
      </c>
      <c r="AA25" s="3" t="s">
        <v>17</v>
      </c>
      <c r="AB25" s="3">
        <v>0.7</v>
      </c>
    </row>
    <row r="26" spans="1:28" x14ac:dyDescent="0.25">
      <c r="A26" s="6">
        <v>41214</v>
      </c>
      <c r="B26" s="3">
        <v>479</v>
      </c>
      <c r="C26" s="7">
        <v>81.489999999999995</v>
      </c>
      <c r="D26" s="7">
        <f t="shared" si="9"/>
        <v>747.28971250414543</v>
      </c>
      <c r="E26" s="7">
        <f t="shared" si="10"/>
        <v>9.3795328386969476</v>
      </c>
      <c r="F26" s="7">
        <f t="shared" si="11"/>
        <v>0.65249604810488016</v>
      </c>
      <c r="G26" s="7">
        <f t="shared" si="12"/>
        <v>498.11907599641546</v>
      </c>
      <c r="H26" s="7">
        <f t="shared" si="6"/>
        <v>80.371921492188036</v>
      </c>
      <c r="I26" s="7">
        <f t="shared" si="7"/>
        <v>0.77815364856043512</v>
      </c>
      <c r="J26" s="7">
        <f t="shared" si="8"/>
        <v>80.247690546875589</v>
      </c>
      <c r="K26" s="7">
        <f t="shared" si="3"/>
        <v>3.991456366683812E-2</v>
      </c>
      <c r="L26" s="7">
        <f t="shared" si="4"/>
        <v>1.5244931318252622E-2</v>
      </c>
      <c r="AA26" s="3" t="s">
        <v>18</v>
      </c>
      <c r="AB26" s="3">
        <v>1.4</v>
      </c>
    </row>
    <row r="27" spans="1:28" x14ac:dyDescent="0.25">
      <c r="A27" s="6">
        <v>41244</v>
      </c>
      <c r="B27" s="3">
        <v>1105</v>
      </c>
      <c r="C27" s="7">
        <v>84.66</v>
      </c>
      <c r="D27" s="7">
        <f t="shared" si="9"/>
        <v>761.60214650134469</v>
      </c>
      <c r="E27" s="7">
        <f t="shared" si="10"/>
        <v>10.366113070397411</v>
      </c>
      <c r="F27" s="7">
        <f t="shared" si="11"/>
        <v>1.4109297373838765</v>
      </c>
      <c r="G27" s="7">
        <f t="shared" si="12"/>
        <v>1037.3713701203087</v>
      </c>
      <c r="H27" s="7">
        <f t="shared" si="6"/>
        <v>81.501067626673617</v>
      </c>
      <c r="I27" s="7">
        <f t="shared" si="7"/>
        <v>0.84835214574546414</v>
      </c>
      <c r="J27" s="7">
        <f t="shared" si="8"/>
        <v>81.15007514074847</v>
      </c>
      <c r="K27" s="7">
        <f t="shared" si="3"/>
        <v>6.1202379981621077E-2</v>
      </c>
      <c r="L27" s="7">
        <f t="shared" si="4"/>
        <v>4.1459069917924959E-2</v>
      </c>
    </row>
    <row r="28" spans="1:28" x14ac:dyDescent="0.25">
      <c r="A28" s="6">
        <v>41275</v>
      </c>
      <c r="B28" s="3">
        <v>529</v>
      </c>
      <c r="C28" s="7">
        <v>84.58</v>
      </c>
      <c r="D28" s="7">
        <f t="shared" si="9"/>
        <v>773.32850652610955</v>
      </c>
      <c r="E28" s="7">
        <f t="shared" si="10"/>
        <v>10.638162461270902</v>
      </c>
      <c r="F28" s="7">
        <f t="shared" si="11"/>
        <v>0.67872587802462458</v>
      </c>
      <c r="G28" s="7">
        <f t="shared" si="12"/>
        <v>519.84015465201185</v>
      </c>
      <c r="H28" s="7">
        <f t="shared" si="6"/>
        <v>82.572477795177178</v>
      </c>
      <c r="I28" s="7">
        <f t="shared" si="7"/>
        <v>0.89296375029708364</v>
      </c>
      <c r="J28" s="7">
        <f t="shared" si="8"/>
        <v>82.349419772419083</v>
      </c>
      <c r="K28" s="7">
        <f t="shared" si="3"/>
        <v>1.7315397633247926E-2</v>
      </c>
      <c r="L28" s="7">
        <f t="shared" si="4"/>
        <v>2.637243116080534E-2</v>
      </c>
    </row>
    <row r="29" spans="1:28" x14ac:dyDescent="0.25">
      <c r="A29" s="6">
        <v>41306</v>
      </c>
      <c r="B29" s="3">
        <v>528</v>
      </c>
      <c r="C29" s="7">
        <v>82.76</v>
      </c>
      <c r="D29" s="7">
        <f t="shared" si="9"/>
        <v>778.50290311788831</v>
      </c>
      <c r="E29" s="7">
        <f t="shared" si="10"/>
        <v>9.5454092873724736</v>
      </c>
      <c r="F29" s="7">
        <f t="shared" si="11"/>
        <v>0.70108896698931145</v>
      </c>
      <c r="G29" s="7">
        <f t="shared" si="12"/>
        <v>567.55510254466719</v>
      </c>
      <c r="H29" s="7">
        <f t="shared" si="6"/>
        <v>83.394897390926829</v>
      </c>
      <c r="I29" s="7">
        <f t="shared" si="7"/>
        <v>0.87885491938759708</v>
      </c>
      <c r="J29" s="7">
        <f t="shared" si="8"/>
        <v>83.465441545474263</v>
      </c>
      <c r="K29" s="7">
        <f t="shared" si="3"/>
        <v>7.4914966940657565E-2</v>
      </c>
      <c r="L29" s="7">
        <f t="shared" si="4"/>
        <v>8.5239432754260283E-3</v>
      </c>
    </row>
    <row r="30" spans="1:28" x14ac:dyDescent="0.25">
      <c r="A30" s="6">
        <v>41334</v>
      </c>
      <c r="B30" s="3">
        <v>700</v>
      </c>
      <c r="C30" s="7">
        <v>82.86</v>
      </c>
      <c r="D30" s="7">
        <f t="shared" si="9"/>
        <v>800.1698566459927</v>
      </c>
      <c r="E30" s="7">
        <f t="shared" si="10"/>
        <v>11.969718135518857</v>
      </c>
      <c r="F30" s="7">
        <f t="shared" si="11"/>
        <v>0.82233394311688623</v>
      </c>
      <c r="G30" s="7">
        <f t="shared" si="12"/>
        <v>606.68185195327271</v>
      </c>
      <c r="H30" s="7">
        <f t="shared" si="6"/>
        <v>84.132377079282989</v>
      </c>
      <c r="I30" s="7">
        <f t="shared" si="7"/>
        <v>0.85057987318130979</v>
      </c>
      <c r="J30" s="7">
        <f t="shared" si="8"/>
        <v>84.273752310314421</v>
      </c>
      <c r="K30" s="7">
        <f t="shared" si="3"/>
        <v>0.13331164006675328</v>
      </c>
      <c r="L30" s="7">
        <f t="shared" si="4"/>
        <v>1.7061939540362319E-2</v>
      </c>
    </row>
    <row r="31" spans="1:28" x14ac:dyDescent="0.25">
      <c r="A31" s="6">
        <v>41365</v>
      </c>
      <c r="B31" s="3">
        <v>568</v>
      </c>
      <c r="C31" s="7">
        <v>87.81</v>
      </c>
      <c r="D31" s="7">
        <f t="shared" si="9"/>
        <v>799.56224867208289</v>
      </c>
      <c r="E31" s="7">
        <f t="shared" si="10"/>
        <v>9.4542529136331233</v>
      </c>
      <c r="F31" s="7">
        <f t="shared" si="11"/>
        <v>0.76896757891947209</v>
      </c>
      <c r="G31" s="7">
        <f t="shared" si="12"/>
        <v>672.08321457062311</v>
      </c>
      <c r="H31" s="7">
        <f t="shared" si="6"/>
        <v>85.265661257217872</v>
      </c>
      <c r="I31" s="7">
        <f t="shared" si="7"/>
        <v>0.90712073413202443</v>
      </c>
      <c r="J31" s="7">
        <f t="shared" si="8"/>
        <v>84.982956952464292</v>
      </c>
      <c r="K31" s="7">
        <f t="shared" si="3"/>
        <v>0.18324509607504069</v>
      </c>
      <c r="L31" s="7">
        <f t="shared" si="4"/>
        <v>3.219500111075857E-2</v>
      </c>
    </row>
    <row r="32" spans="1:28" x14ac:dyDescent="0.25">
      <c r="A32" s="6">
        <v>41395</v>
      </c>
      <c r="B32" s="3">
        <v>618</v>
      </c>
      <c r="C32" s="7">
        <v>88.5</v>
      </c>
      <c r="D32" s="7">
        <f t="shared" si="9"/>
        <v>798.118855096483</v>
      </c>
      <c r="E32" s="7">
        <f t="shared" si="10"/>
        <v>7.274723615786522</v>
      </c>
      <c r="F32" s="7">
        <f t="shared" si="11"/>
        <v>0.82856370621532649</v>
      </c>
      <c r="G32" s="7">
        <f t="shared" si="12"/>
        <v>714.20514795350005</v>
      </c>
      <c r="H32" s="7">
        <f t="shared" si="6"/>
        <v>86.405503792214901</v>
      </c>
      <c r="I32" s="7">
        <f t="shared" si="7"/>
        <v>0.95366509430502555</v>
      </c>
      <c r="J32" s="7">
        <f t="shared" si="8"/>
        <v>86.172781991349893</v>
      </c>
      <c r="K32" s="7">
        <f t="shared" si="3"/>
        <v>0.15567176044255671</v>
      </c>
      <c r="L32" s="7">
        <f t="shared" si="4"/>
        <v>2.629624868531194E-2</v>
      </c>
    </row>
    <row r="33" spans="1:12" x14ac:dyDescent="0.25">
      <c r="A33" s="6">
        <v>41426</v>
      </c>
      <c r="B33" s="3">
        <v>929</v>
      </c>
      <c r="C33" s="7">
        <v>88.19</v>
      </c>
      <c r="D33" s="7">
        <f t="shared" si="9"/>
        <v>804.15398343507968</v>
      </c>
      <c r="E33" s="7">
        <f t="shared" si="10"/>
        <v>7.0268045603485536</v>
      </c>
      <c r="F33" s="7">
        <f t="shared" si="11"/>
        <v>1.1633777594276584</v>
      </c>
      <c r="G33" s="7">
        <f t="shared" si="12"/>
        <v>943.52190996339846</v>
      </c>
      <c r="H33" s="7">
        <f t="shared" si="6"/>
        <v>87.442251997867942</v>
      </c>
      <c r="I33" s="7">
        <f t="shared" si="7"/>
        <v>0.97028171657462869</v>
      </c>
      <c r="J33" s="7">
        <f t="shared" si="8"/>
        <v>87.359168886519925</v>
      </c>
      <c r="K33" s="7">
        <f t="shared" si="3"/>
        <v>1.5631765299675412E-2</v>
      </c>
      <c r="L33" s="7">
        <f t="shared" si="4"/>
        <v>9.4209220260808857E-3</v>
      </c>
    </row>
    <row r="34" spans="1:12" x14ac:dyDescent="0.25">
      <c r="A34" s="6">
        <v>41456</v>
      </c>
      <c r="B34" s="3">
        <v>1394</v>
      </c>
      <c r="C34" s="7">
        <v>85.47</v>
      </c>
      <c r="D34" s="7">
        <f t="shared" si="9"/>
        <v>822.89974539516061</v>
      </c>
      <c r="E34" s="7">
        <f t="shared" si="10"/>
        <v>9.3705960402950286</v>
      </c>
      <c r="F34" s="7">
        <f t="shared" si="11"/>
        <v>1.5977827113534324</v>
      </c>
      <c r="G34" s="7">
        <f t="shared" si="12"/>
        <v>1218.0333030433978</v>
      </c>
      <c r="H34" s="7">
        <f t="shared" si="6"/>
        <v>88.118280342998318</v>
      </c>
      <c r="I34" s="7">
        <f t="shared" si="7"/>
        <v>0.91143104228577831</v>
      </c>
      <c r="J34" s="7">
        <f t="shared" si="8"/>
        <v>88.412533714442574</v>
      </c>
      <c r="K34" s="7">
        <f t="shared" si="3"/>
        <v>0.12623148992582653</v>
      </c>
      <c r="L34" s="7">
        <f t="shared" si="4"/>
        <v>3.4427678886657022E-2</v>
      </c>
    </row>
    <row r="35" spans="1:12" x14ac:dyDescent="0.25">
      <c r="A35" s="6">
        <v>41487</v>
      </c>
      <c r="B35" s="3">
        <v>1324</v>
      </c>
      <c r="C35" s="7">
        <v>88</v>
      </c>
      <c r="D35" s="7">
        <f t="shared" si="9"/>
        <v>836.54142216757759</v>
      </c>
      <c r="E35" s="7">
        <f t="shared" si="10"/>
        <v>10.22481218671942</v>
      </c>
      <c r="F35" s="7">
        <f t="shared" si="11"/>
        <v>1.5479412498337757</v>
      </c>
      <c r="G35" s="7">
        <f t="shared" si="12"/>
        <v>1259.3710545951203</v>
      </c>
      <c r="H35" s="7">
        <f t="shared" si="6"/>
        <v>88.926740246755685</v>
      </c>
      <c r="I35" s="7">
        <f t="shared" si="7"/>
        <v>0.89083681458009611</v>
      </c>
      <c r="J35" s="7">
        <f t="shared" si="8"/>
        <v>89.029711385284102</v>
      </c>
      <c r="K35" s="7">
        <f t="shared" si="3"/>
        <v>4.8813402873776196E-2</v>
      </c>
      <c r="L35" s="7">
        <f t="shared" si="4"/>
        <v>1.1701265741864798E-2</v>
      </c>
    </row>
    <row r="36" spans="1:12" x14ac:dyDescent="0.25">
      <c r="A36" s="6">
        <v>41518</v>
      </c>
      <c r="B36" s="3">
        <v>972</v>
      </c>
      <c r="C36" s="7">
        <v>88.22</v>
      </c>
      <c r="D36" s="7">
        <f t="shared" si="9"/>
        <v>842.84847579704126</v>
      </c>
      <c r="E36" s="7">
        <f t="shared" si="10"/>
        <v>9.4412604752682707</v>
      </c>
      <c r="F36" s="7">
        <f t="shared" si="11"/>
        <v>1.1784076182068866</v>
      </c>
      <c r="G36" s="7">
        <f t="shared" si="12"/>
        <v>1019.1534774962133</v>
      </c>
      <c r="H36" s="7">
        <f t="shared" si="6"/>
        <v>89.657819355202207</v>
      </c>
      <c r="I36" s="7">
        <f t="shared" si="7"/>
        <v>0.85888527335338138</v>
      </c>
      <c r="J36" s="7">
        <f t="shared" si="8"/>
        <v>89.817577061335783</v>
      </c>
      <c r="K36" s="7">
        <f t="shared" si="3"/>
        <v>4.851180812367626E-2</v>
      </c>
      <c r="L36" s="7">
        <f t="shared" si="4"/>
        <v>1.8109012257263475E-2</v>
      </c>
    </row>
    <row r="37" spans="1:12" x14ac:dyDescent="0.25">
      <c r="A37" s="6">
        <v>41548</v>
      </c>
      <c r="B37" s="3">
        <v>498</v>
      </c>
      <c r="C37" s="7">
        <v>90.73</v>
      </c>
      <c r="D37" s="7">
        <f t="shared" si="9"/>
        <v>839.4147050966817</v>
      </c>
      <c r="E37" s="7">
        <f t="shared" si="10"/>
        <v>6.8662542401427054</v>
      </c>
      <c r="F37" s="7">
        <f t="shared" si="11"/>
        <v>0.6407768398108612</v>
      </c>
      <c r="G37" s="7">
        <f t="shared" si="12"/>
        <v>586.61667116137266</v>
      </c>
      <c r="H37" s="7">
        <f t="shared" si="6"/>
        <v>90.538034165700026</v>
      </c>
      <c r="I37" s="7">
        <f t="shared" si="7"/>
        <v>0.86315118078226882</v>
      </c>
      <c r="J37" s="7">
        <f t="shared" si="8"/>
        <v>90.516704628555587</v>
      </c>
      <c r="K37" s="7">
        <f t="shared" si="3"/>
        <v>0.17794512281400132</v>
      </c>
      <c r="L37" s="7">
        <f t="shared" si="4"/>
        <v>2.350880320119222E-3</v>
      </c>
    </row>
    <row r="38" spans="1:12" x14ac:dyDescent="0.25">
      <c r="A38" s="6">
        <v>41579</v>
      </c>
      <c r="B38" s="3">
        <v>767</v>
      </c>
      <c r="C38" s="7">
        <v>93.78</v>
      </c>
      <c r="D38" s="7">
        <f t="shared" si="9"/>
        <v>879.20146806177354</v>
      </c>
      <c r="E38" s="7">
        <f t="shared" si="10"/>
        <v>13.450355985132532</v>
      </c>
      <c r="F38" s="7">
        <f t="shared" si="11"/>
        <v>0.76243928843401287</v>
      </c>
      <c r="G38" s="7">
        <f t="shared" si="12"/>
        <v>552.19498155368467</v>
      </c>
      <c r="H38" s="7">
        <f t="shared" si="6"/>
        <v>91.63906681183407</v>
      </c>
      <c r="I38" s="7">
        <f t="shared" si="7"/>
        <v>0.91072747385262398</v>
      </c>
      <c r="J38" s="7">
        <f t="shared" si="8"/>
        <v>91.401185346482293</v>
      </c>
      <c r="K38" s="7">
        <f t="shared" si="3"/>
        <v>0.28005869419337071</v>
      </c>
      <c r="L38" s="7">
        <f t="shared" si="4"/>
        <v>2.5365905880973635E-2</v>
      </c>
    </row>
    <row r="39" spans="1:12" x14ac:dyDescent="0.25">
      <c r="A39" s="6">
        <v>41609</v>
      </c>
      <c r="B39" s="3">
        <v>934</v>
      </c>
      <c r="C39" s="7">
        <v>96.39</v>
      </c>
      <c r="D39" s="7">
        <f t="shared" si="9"/>
        <v>869.58412655254199</v>
      </c>
      <c r="E39" s="7">
        <f t="shared" si="10"/>
        <v>8.8368164862597176</v>
      </c>
      <c r="F39" s="7">
        <f t="shared" si="11"/>
        <v>1.2425031905060875</v>
      </c>
      <c r="G39" s="7">
        <f t="shared" si="12"/>
        <v>1259.4690036777395</v>
      </c>
      <c r="H39" s="7">
        <f t="shared" si="6"/>
        <v>92.933814857118023</v>
      </c>
      <c r="I39" s="7">
        <f t="shared" si="7"/>
        <v>0.98753158813888975</v>
      </c>
      <c r="J39" s="7">
        <f t="shared" si="8"/>
        <v>92.549794285686687</v>
      </c>
      <c r="K39" s="7">
        <f t="shared" si="3"/>
        <v>0.34846788402327566</v>
      </c>
      <c r="L39" s="7">
        <f t="shared" si="4"/>
        <v>3.9840291672510776E-2</v>
      </c>
    </row>
    <row r="40" spans="1:12" x14ac:dyDescent="0.25">
      <c r="A40" s="6">
        <v>41640</v>
      </c>
      <c r="B40" s="3">
        <v>736</v>
      </c>
      <c r="C40" s="7">
        <v>94.41</v>
      </c>
      <c r="D40" s="7">
        <f t="shared" si="9"/>
        <v>899.0173249783893</v>
      </c>
      <c r="E40" s="7">
        <f t="shared" si="10"/>
        <v>12.956092874177237</v>
      </c>
      <c r="F40" s="7">
        <f t="shared" si="11"/>
        <v>0.74869876578166406</v>
      </c>
      <c r="G40" s="7">
        <f t="shared" si="12"/>
        <v>596.20702583922946</v>
      </c>
      <c r="H40" s="7">
        <f t="shared" si="6"/>
        <v>93.970211800731235</v>
      </c>
      <c r="I40" s="7">
        <f t="shared" si="7"/>
        <v>0.99730465923375433</v>
      </c>
      <c r="J40" s="7">
        <f t="shared" si="8"/>
        <v>93.921346445256916</v>
      </c>
      <c r="K40" s="7">
        <f t="shared" si="3"/>
        <v>0.18993610619669909</v>
      </c>
      <c r="L40" s="7">
        <f t="shared" si="4"/>
        <v>5.1758664838796849E-3</v>
      </c>
    </row>
    <row r="41" spans="1:12" x14ac:dyDescent="0.25">
      <c r="A41" s="6">
        <v>41671</v>
      </c>
      <c r="B41" s="3">
        <v>690</v>
      </c>
      <c r="C41" s="7">
        <v>96.32</v>
      </c>
      <c r="D41" s="7">
        <f t="shared" si="9"/>
        <v>919.19439848979346</v>
      </c>
      <c r="E41" s="7">
        <f t="shared" si="10"/>
        <v>14.400289001622623</v>
      </c>
      <c r="F41" s="7">
        <f t="shared" si="11"/>
        <v>0.72587314146605308</v>
      </c>
      <c r="G41" s="7">
        <f t="shared" si="12"/>
        <v>639.37450144396757</v>
      </c>
      <c r="H41" s="7">
        <f t="shared" si="6"/>
        <v>95.102764813968491</v>
      </c>
      <c r="I41" s="7">
        <f t="shared" si="7"/>
        <v>1.0243543300344546</v>
      </c>
      <c r="J41" s="7">
        <f t="shared" si="8"/>
        <v>94.967516459964983</v>
      </c>
      <c r="K41" s="7">
        <f t="shared" si="3"/>
        <v>7.3370287762365829E-2</v>
      </c>
      <c r="L41" s="7">
        <f t="shared" si="4"/>
        <v>1.4041564992057828E-2</v>
      </c>
    </row>
    <row r="42" spans="1:12" x14ac:dyDescent="0.25">
      <c r="A42" s="6">
        <v>41699</v>
      </c>
      <c r="B42" s="3">
        <v>820</v>
      </c>
      <c r="C42" s="7">
        <v>95.12</v>
      </c>
      <c r="D42" s="7">
        <f t="shared" si="9"/>
        <v>939.95139936008525</v>
      </c>
      <c r="E42" s="7">
        <f t="shared" si="10"/>
        <v>15.671631375356458</v>
      </c>
      <c r="F42" s="7">
        <f t="shared" si="11"/>
        <v>0.84735973671537157</v>
      </c>
      <c r="G42" s="7">
        <f t="shared" si="12"/>
        <v>767.72660063779335</v>
      </c>
      <c r="H42" s="7">
        <f t="shared" si="6"/>
        <v>96.026407229602654</v>
      </c>
      <c r="I42" s="7">
        <f t="shared" si="7"/>
        <v>1.0042119471543964</v>
      </c>
      <c r="J42" s="7">
        <f t="shared" si="8"/>
        <v>96.127119144002947</v>
      </c>
      <c r="K42" s="7">
        <f t="shared" si="3"/>
        <v>6.374804800269103E-2</v>
      </c>
      <c r="L42" s="7">
        <f t="shared" si="4"/>
        <v>1.0587879983210074E-2</v>
      </c>
    </row>
    <row r="43" spans="1:12" x14ac:dyDescent="0.25">
      <c r="A43" s="6">
        <v>41730</v>
      </c>
      <c r="B43" s="3">
        <v>822</v>
      </c>
      <c r="C43" s="7">
        <v>99.36</v>
      </c>
      <c r="D43" s="7">
        <f t="shared" si="9"/>
        <v>966.95730204739334</v>
      </c>
      <c r="E43" s="7">
        <f t="shared" si="10"/>
        <v>17.938485637746787</v>
      </c>
      <c r="F43" s="7">
        <f t="shared" si="11"/>
        <v>0.80952841048877888</v>
      </c>
      <c r="G43" s="7">
        <f t="shared" si="12"/>
        <v>734.84312830432089</v>
      </c>
      <c r="H43" s="7">
        <f t="shared" si="6"/>
        <v>97.263557259081352</v>
      </c>
      <c r="I43" s="7">
        <f t="shared" si="7"/>
        <v>1.0507995636192569</v>
      </c>
      <c r="J43" s="7">
        <f t="shared" si="8"/>
        <v>97.030619176757057</v>
      </c>
      <c r="K43" s="7">
        <f t="shared" si="3"/>
        <v>0.10603025753732252</v>
      </c>
      <c r="L43" s="7">
        <f t="shared" si="4"/>
        <v>2.3443848865166494E-2</v>
      </c>
    </row>
    <row r="44" spans="1:12" x14ac:dyDescent="0.25">
      <c r="A44" s="6">
        <v>41760</v>
      </c>
      <c r="B44" s="3">
        <v>938</v>
      </c>
      <c r="C44" s="7">
        <v>97.93</v>
      </c>
      <c r="D44" s="7">
        <f t="shared" si="9"/>
        <v>999.61416057607687</v>
      </c>
      <c r="E44" s="7">
        <f t="shared" si="10"/>
        <v>20.882160215934135</v>
      </c>
      <c r="F44" s="7">
        <f t="shared" si="11"/>
        <v>0.88346288164542996</v>
      </c>
      <c r="G44" s="7">
        <f t="shared" si="12"/>
        <v>816.04890408026301</v>
      </c>
      <c r="H44" s="7">
        <f t="shared" si="6"/>
        <v>98.275921140430555</v>
      </c>
      <c r="I44" s="7">
        <f t="shared" si="7"/>
        <v>1.0431124271652459</v>
      </c>
      <c r="J44" s="7">
        <f t="shared" si="8"/>
        <v>98.314356822700603</v>
      </c>
      <c r="K44" s="7">
        <f t="shared" si="3"/>
        <v>0.13001182933873878</v>
      </c>
      <c r="L44" s="7">
        <f t="shared" si="4"/>
        <v>3.9248118319268454E-3</v>
      </c>
    </row>
    <row r="45" spans="1:12" x14ac:dyDescent="0.25">
      <c r="A45" s="6">
        <v>41791</v>
      </c>
      <c r="B45" s="3">
        <v>1135</v>
      </c>
      <c r="C45" s="7">
        <v>103.12</v>
      </c>
      <c r="D45" s="7">
        <f t="shared" si="9"/>
        <v>1016.0074329166858</v>
      </c>
      <c r="E45" s="7">
        <f t="shared" si="10"/>
        <v>19.984382640869107</v>
      </c>
      <c r="F45" s="7">
        <f t="shared" si="11"/>
        <v>1.1402477854994486</v>
      </c>
      <c r="G45" s="7">
        <f t="shared" si="12"/>
        <v>1187.2227231871786</v>
      </c>
      <c r="H45" s="7">
        <f t="shared" si="6"/>
        <v>99.699130210836216</v>
      </c>
      <c r="I45" s="7">
        <f t="shared" si="7"/>
        <v>1.1191317558133291</v>
      </c>
      <c r="J45" s="7">
        <f t="shared" si="8"/>
        <v>99.319033567595795</v>
      </c>
      <c r="K45" s="7">
        <f t="shared" si="3"/>
        <v>4.6011209856545061E-2</v>
      </c>
      <c r="L45" s="7">
        <f t="shared" si="4"/>
        <v>3.6859643448450434E-2</v>
      </c>
    </row>
    <row r="46" spans="1:12" x14ac:dyDescent="0.25">
      <c r="A46" s="6">
        <v>41821</v>
      </c>
      <c r="B46" s="3">
        <v>1567</v>
      </c>
      <c r="C46" s="7">
        <v>103.46</v>
      </c>
      <c r="D46" s="7">
        <f t="shared" si="9"/>
        <v>1030.4660446642945</v>
      </c>
      <c r="E46" s="7">
        <f t="shared" si="10"/>
        <v>18.879228462217014</v>
      </c>
      <c r="F46" s="7">
        <f t="shared" si="11"/>
        <v>1.5592269378697703</v>
      </c>
      <c r="G46" s="7">
        <f t="shared" si="12"/>
        <v>1655.2898120015152</v>
      </c>
      <c r="H46" s="7">
        <f t="shared" si="6"/>
        <v>101.0824357699846</v>
      </c>
      <c r="I46" s="7">
        <f t="shared" si="7"/>
        <v>1.1719665164803399</v>
      </c>
      <c r="J46" s="7">
        <f t="shared" si="8"/>
        <v>100.81826196664954</v>
      </c>
      <c r="K46" s="7">
        <f t="shared" si="3"/>
        <v>5.6343211232619782E-2</v>
      </c>
      <c r="L46" s="7">
        <f t="shared" si="4"/>
        <v>2.5533907146244442E-2</v>
      </c>
    </row>
    <row r="47" spans="1:12" x14ac:dyDescent="0.25">
      <c r="A47" s="6">
        <v>41852</v>
      </c>
      <c r="B47" s="3">
        <v>1446</v>
      </c>
      <c r="C47" s="7">
        <v>100.39</v>
      </c>
      <c r="D47" s="7">
        <f t="shared" si="9"/>
        <v>1037.8251438186476</v>
      </c>
      <c r="E47" s="7">
        <f t="shared" si="10"/>
        <v>16.575202600644229</v>
      </c>
      <c r="F47" s="7">
        <f t="shared" si="11"/>
        <v>1.470619770783351</v>
      </c>
      <c r="G47" s="7">
        <f t="shared" si="12"/>
        <v>1624.3248335906169</v>
      </c>
      <c r="H47" s="7">
        <f t="shared" si="6"/>
        <v>102.06796205781845</v>
      </c>
      <c r="I47" s="7">
        <f t="shared" si="7"/>
        <v>1.1346784707510418</v>
      </c>
      <c r="J47" s="7">
        <f t="shared" si="8"/>
        <v>102.25440228646494</v>
      </c>
      <c r="K47" s="7">
        <f t="shared" si="3"/>
        <v>0.123322844806789</v>
      </c>
      <c r="L47" s="7">
        <f t="shared" si="4"/>
        <v>1.8571593649416646E-2</v>
      </c>
    </row>
    <row r="48" spans="1:12" x14ac:dyDescent="0.25">
      <c r="A48" s="6">
        <v>41883</v>
      </c>
      <c r="B48" s="3">
        <v>1040</v>
      </c>
      <c r="C48" s="7">
        <v>101.11</v>
      </c>
      <c r="D48" s="7">
        <f t="shared" si="9"/>
        <v>1037.2150025933051</v>
      </c>
      <c r="E48" s="7">
        <f t="shared" si="10"/>
        <v>13.138133835446897</v>
      </c>
      <c r="F48" s="7">
        <f t="shared" si="11"/>
        <v>1.0905463453180815</v>
      </c>
      <c r="G48" s="7">
        <f t="shared" si="12"/>
        <v>1242.5134008604737</v>
      </c>
      <c r="H48" s="7">
        <f t="shared" si="6"/>
        <v>102.99337647571255</v>
      </c>
      <c r="I48" s="7">
        <f t="shared" si="7"/>
        <v>1.0928256601796542</v>
      </c>
      <c r="J48" s="7">
        <f t="shared" si="8"/>
        <v>103.20264052856949</v>
      </c>
      <c r="K48" s="7">
        <f t="shared" si="3"/>
        <v>0.19472442390430161</v>
      </c>
      <c r="L48" s="7">
        <f t="shared" si="4"/>
        <v>2.0696672224008405E-2</v>
      </c>
    </row>
    <row r="49" spans="1:12" x14ac:dyDescent="0.25">
      <c r="A49" s="6">
        <v>41913</v>
      </c>
      <c r="B49" s="3">
        <v>678</v>
      </c>
      <c r="C49" s="7">
        <v>100.83</v>
      </c>
      <c r="D49" s="7">
        <f t="shared" si="9"/>
        <v>1051.1268904482047</v>
      </c>
      <c r="E49" s="7">
        <f t="shared" si="10"/>
        <v>13.292884639337426</v>
      </c>
      <c r="F49" s="7">
        <f t="shared" si="11"/>
        <v>0.64289943458934662</v>
      </c>
      <c r="G49" s="7">
        <f t="shared" si="12"/>
        <v>673.04196344624211</v>
      </c>
      <c r="H49" s="7">
        <f t="shared" si="6"/>
        <v>103.76058192230299</v>
      </c>
      <c r="I49" s="7">
        <f t="shared" si="7"/>
        <v>1.027701617461811</v>
      </c>
      <c r="J49" s="7">
        <f t="shared" si="8"/>
        <v>104.08620213589221</v>
      </c>
      <c r="K49" s="7">
        <f t="shared" si="3"/>
        <v>7.3127382798788979E-3</v>
      </c>
      <c r="L49" s="7">
        <f t="shared" si="4"/>
        <v>3.2293981314015764E-2</v>
      </c>
    </row>
    <row r="50" spans="1:12" x14ac:dyDescent="0.25">
      <c r="A50" s="6">
        <v>41944</v>
      </c>
      <c r="B50" s="3">
        <v>892</v>
      </c>
      <c r="C50" s="7">
        <v>104.22</v>
      </c>
      <c r="D50" s="7">
        <f t="shared" si="9"/>
        <v>1074.9707193145098</v>
      </c>
      <c r="E50" s="7">
        <f t="shared" si="10"/>
        <v>15.403073484730964</v>
      </c>
      <c r="F50" s="7">
        <f t="shared" si="11"/>
        <v>0.79611466599434988</v>
      </c>
      <c r="G50" s="7">
        <f t="shared" si="12"/>
        <v>811.5554559128376</v>
      </c>
      <c r="H50" s="7">
        <f t="shared" si="6"/>
        <v>104.73145518578832</v>
      </c>
      <c r="I50" s="7">
        <f t="shared" si="7"/>
        <v>1.0163359466665149</v>
      </c>
      <c r="J50" s="7">
        <f t="shared" si="8"/>
        <v>104.78828353976481</v>
      </c>
      <c r="K50" s="7">
        <f t="shared" si="3"/>
        <v>9.01844664654287E-2</v>
      </c>
      <c r="L50" s="7">
        <f t="shared" si="4"/>
        <v>5.4527301838879893E-3</v>
      </c>
    </row>
    <row r="51" spans="1:12" x14ac:dyDescent="0.25">
      <c r="A51" s="6">
        <v>41974</v>
      </c>
      <c r="B51" s="3">
        <v>1547</v>
      </c>
      <c r="C51" s="7">
        <v>103.91</v>
      </c>
      <c r="D51" s="7">
        <f t="shared" si="9"/>
        <v>1105.8431360630141</v>
      </c>
      <c r="E51" s="7">
        <f t="shared" si="10"/>
        <v>18.496942137485632</v>
      </c>
      <c r="F51" s="7">
        <f t="shared" si="11"/>
        <v>1.320717889137897</v>
      </c>
      <c r="G51" s="7">
        <f t="shared" si="12"/>
        <v>1354.7929163972804</v>
      </c>
      <c r="H51" s="7">
        <f t="shared" si="6"/>
        <v>105.56401201920936</v>
      </c>
      <c r="I51" s="7">
        <f t="shared" si="7"/>
        <v>0.97958012401741956</v>
      </c>
      <c r="J51" s="7">
        <f t="shared" si="8"/>
        <v>105.74779113245484</v>
      </c>
      <c r="K51" s="7">
        <f t="shared" si="3"/>
        <v>0.12424504434564941</v>
      </c>
      <c r="L51" s="7">
        <f t="shared" si="4"/>
        <v>1.7686374097342309E-2</v>
      </c>
    </row>
    <row r="52" spans="1:12" x14ac:dyDescent="0.25">
      <c r="A52" s="6">
        <v>42005</v>
      </c>
      <c r="B52" s="3">
        <v>891</v>
      </c>
      <c r="C52" s="7">
        <v>107</v>
      </c>
      <c r="D52" s="7">
        <f t="shared" si="9"/>
        <v>1130.9125441082072</v>
      </c>
      <c r="E52" s="7">
        <f t="shared" si="10"/>
        <v>19.811435319027122</v>
      </c>
      <c r="F52" s="7">
        <f t="shared" si="11"/>
        <v>0.76827904820487602</v>
      </c>
      <c r="G52" s="7">
        <f t="shared" si="12"/>
        <v>841.79202886757378</v>
      </c>
      <c r="H52" s="7">
        <f t="shared" si="6"/>
        <v>106.5892329289041</v>
      </c>
      <c r="I52" s="7">
        <f t="shared" si="7"/>
        <v>0.98870828115288334</v>
      </c>
      <c r="J52" s="7">
        <f t="shared" si="8"/>
        <v>106.54359214322677</v>
      </c>
      <c r="K52" s="7">
        <f t="shared" si="3"/>
        <v>5.5227801495427858E-2</v>
      </c>
      <c r="L52" s="7">
        <f t="shared" si="4"/>
        <v>4.2654939885348152E-3</v>
      </c>
    </row>
    <row r="53" spans="1:12" x14ac:dyDescent="0.25">
      <c r="A53" s="6">
        <v>42036</v>
      </c>
      <c r="B53" s="3">
        <v>695</v>
      </c>
      <c r="C53" s="7">
        <v>107.66</v>
      </c>
      <c r="D53" s="7">
        <f t="shared" si="9"/>
        <v>1131.3983394643283</v>
      </c>
      <c r="E53" s="7">
        <f t="shared" si="10"/>
        <v>15.946307326445922</v>
      </c>
      <c r="F53" s="7">
        <f t="shared" si="11"/>
        <v>0.67007861600465679</v>
      </c>
      <c r="G53" s="7">
        <f t="shared" si="12"/>
        <v>835.27962990716446</v>
      </c>
      <c r="H53" s="7">
        <f t="shared" si="6"/>
        <v>107.58614708905128</v>
      </c>
      <c r="I53" s="7">
        <f t="shared" si="7"/>
        <v>0.9903494569517437</v>
      </c>
      <c r="J53" s="7">
        <f t="shared" si="8"/>
        <v>107.57794121005698</v>
      </c>
      <c r="K53" s="7">
        <f t="shared" si="3"/>
        <v>0.20184119411102799</v>
      </c>
      <c r="L53" s="7">
        <f t="shared" si="4"/>
        <v>7.6220313898401823E-4</v>
      </c>
    </row>
    <row r="54" spans="1:12" x14ac:dyDescent="0.25">
      <c r="A54" s="6">
        <v>42064</v>
      </c>
      <c r="B54" s="3">
        <v>735</v>
      </c>
      <c r="C54" s="7">
        <v>106.07</v>
      </c>
      <c r="D54" s="7">
        <f t="shared" si="9"/>
        <v>1119.3502015099618</v>
      </c>
      <c r="E54" s="7">
        <f t="shared" si="10"/>
        <v>10.34741827028345</v>
      </c>
      <c r="F54" s="7">
        <f t="shared" si="11"/>
        <v>0.75199534952189706</v>
      </c>
      <c r="G54" s="7">
        <f t="shared" si="12"/>
        <v>972.21365782642147</v>
      </c>
      <c r="H54" s="7">
        <f t="shared" si="6"/>
        <v>108.32584689140273</v>
      </c>
      <c r="I54" s="7">
        <f t="shared" si="7"/>
        <v>0.94021952603168557</v>
      </c>
      <c r="J54" s="7">
        <f t="shared" si="8"/>
        <v>108.57649654600303</v>
      </c>
      <c r="K54" s="7">
        <f t="shared" si="3"/>
        <v>0.32273967051213803</v>
      </c>
      <c r="L54" s="7">
        <f t="shared" si="4"/>
        <v>2.3630588724455882E-2</v>
      </c>
    </row>
    <row r="55" spans="1:12" x14ac:dyDescent="0.25">
      <c r="A55" s="6">
        <v>42095</v>
      </c>
      <c r="B55" s="3">
        <v>767</v>
      </c>
      <c r="C55" s="7">
        <v>108.19</v>
      </c>
      <c r="D55" s="7">
        <f t="shared" si="9"/>
        <v>1111.474378129642</v>
      </c>
      <c r="E55" s="7">
        <f t="shared" si="10"/>
        <v>6.702769940162792</v>
      </c>
      <c r="F55" s="7">
        <f t="shared" si="11"/>
        <v>0.74980139867510354</v>
      </c>
      <c r="G55" s="7">
        <f t="shared" si="12"/>
        <v>914.52231847365886</v>
      </c>
      <c r="H55" s="7">
        <f t="shared" si="6"/>
        <v>109.15845977569099</v>
      </c>
      <c r="I55" s="7">
        <f t="shared" si="7"/>
        <v>0.91869819768299898</v>
      </c>
      <c r="J55" s="7">
        <f t="shared" si="8"/>
        <v>109.26606641743442</v>
      </c>
      <c r="K55" s="7">
        <f t="shared" si="3"/>
        <v>0.19233679070881207</v>
      </c>
      <c r="L55" s="7">
        <f t="shared" si="4"/>
        <v>9.9460802055126966E-3</v>
      </c>
    </row>
    <row r="56" spans="1:12" x14ac:dyDescent="0.25">
      <c r="A56" s="6">
        <v>42125</v>
      </c>
      <c r="B56" s="3">
        <v>1003</v>
      </c>
      <c r="C56" s="7">
        <v>111.71</v>
      </c>
      <c r="D56" s="7">
        <f t="shared" si="9"/>
        <v>1119.8899528622369</v>
      </c>
      <c r="E56" s="7">
        <f t="shared" si="10"/>
        <v>7.0453308986492154</v>
      </c>
      <c r="F56" s="7">
        <f t="shared" si="11"/>
        <v>0.88954329833447887</v>
      </c>
      <c r="G56" s="7">
        <f t="shared" si="12"/>
        <v>987.86800542381843</v>
      </c>
      <c r="H56" s="7">
        <f t="shared" si="6"/>
        <v>110.24044217603659</v>
      </c>
      <c r="I56" s="7">
        <f t="shared" si="7"/>
        <v>0.95135503821552103</v>
      </c>
      <c r="J56" s="7">
        <f t="shared" si="8"/>
        <v>110.07715797337399</v>
      </c>
      <c r="K56" s="7">
        <f t="shared" si="3"/>
        <v>1.5086734373062382E-2</v>
      </c>
      <c r="L56" s="7">
        <f t="shared" si="4"/>
        <v>1.4616793721475323E-2</v>
      </c>
    </row>
    <row r="57" spans="1:12" x14ac:dyDescent="0.25">
      <c r="A57" s="6">
        <v>42156</v>
      </c>
      <c r="B57" s="3">
        <v>1149</v>
      </c>
      <c r="C57" s="7">
        <v>108.53</v>
      </c>
      <c r="D57" s="7">
        <f t="shared" si="9"/>
        <v>1115.0093266628874</v>
      </c>
      <c r="E57" s="7">
        <f t="shared" si="10"/>
        <v>4.6601394790494659</v>
      </c>
      <c r="F57" s="7">
        <f t="shared" si="11"/>
        <v>1.0853662196631877</v>
      </c>
      <c r="G57" s="7">
        <f t="shared" si="12"/>
        <v>1284.985461709543</v>
      </c>
      <c r="H57" s="7">
        <f t="shared" si="6"/>
        <v>110.92561749282692</v>
      </c>
      <c r="I57" s="7">
        <f t="shared" si="7"/>
        <v>0.89811909393048117</v>
      </c>
      <c r="J57" s="7">
        <f t="shared" si="8"/>
        <v>111.19179721425212</v>
      </c>
      <c r="K57" s="7">
        <f t="shared" si="3"/>
        <v>0.11835114160969797</v>
      </c>
      <c r="L57" s="7">
        <f t="shared" si="4"/>
        <v>2.4525911860795339E-2</v>
      </c>
    </row>
    <row r="58" spans="1:12" x14ac:dyDescent="0.25">
      <c r="A58" s="6">
        <v>42186</v>
      </c>
      <c r="B58" s="3">
        <v>1624</v>
      </c>
      <c r="C58" s="7">
        <v>112.37</v>
      </c>
      <c r="D58" s="7">
        <f t="shared" si="9"/>
        <v>1111.8566975089627</v>
      </c>
      <c r="E58" s="7">
        <f t="shared" si="10"/>
        <v>3.0975857524546457</v>
      </c>
      <c r="F58" s="7">
        <f t="shared" si="11"/>
        <v>1.5099234106919743</v>
      </c>
      <c r="G58" s="7">
        <f t="shared" si="12"/>
        <v>1745.8187931187729</v>
      </c>
      <c r="H58" s="7">
        <f t="shared" si="6"/>
        <v>111.87836292808166</v>
      </c>
      <c r="I58" s="7">
        <f t="shared" si="7"/>
        <v>0.90904436219533313</v>
      </c>
      <c r="J58" s="7">
        <f t="shared" si="8"/>
        <v>111.82373658675739</v>
      </c>
      <c r="K58" s="7">
        <f t="shared" si="3"/>
        <v>7.5011572117470976E-2</v>
      </c>
      <c r="L58" s="7">
        <f t="shared" si="4"/>
        <v>4.8612922776774328E-3</v>
      </c>
    </row>
    <row r="59" spans="1:12" x14ac:dyDescent="0.25">
      <c r="A59" s="6">
        <v>42217</v>
      </c>
      <c r="B59" s="3">
        <v>1661</v>
      </c>
      <c r="C59" s="7">
        <v>107.38</v>
      </c>
      <c r="D59" s="7">
        <f t="shared" si="9"/>
        <v>1116.4044329153162</v>
      </c>
      <c r="E59" s="7">
        <f t="shared" si="10"/>
        <v>3.3876156832344102</v>
      </c>
      <c r="F59" s="7">
        <f t="shared" si="11"/>
        <v>1.4792159247391534</v>
      </c>
      <c r="G59" s="7">
        <f t="shared" si="12"/>
        <v>1639.6738124838212</v>
      </c>
      <c r="H59" s="7">
        <f t="shared" si="6"/>
        <v>112.24666656124928</v>
      </c>
      <c r="I59" s="7">
        <f t="shared" si="7"/>
        <v>0.80089621638979203</v>
      </c>
      <c r="J59" s="7">
        <f t="shared" si="8"/>
        <v>112.78740729027699</v>
      </c>
      <c r="K59" s="7">
        <f t="shared" si="3"/>
        <v>1.2839366355315372E-2</v>
      </c>
      <c r="L59" s="7">
        <f t="shared" si="4"/>
        <v>5.0357676385518656E-2</v>
      </c>
    </row>
    <row r="60" spans="1:12" x14ac:dyDescent="0.25">
      <c r="A60" s="6">
        <v>42248</v>
      </c>
      <c r="B60" s="3">
        <v>1208</v>
      </c>
      <c r="C60" s="7">
        <v>115.17</v>
      </c>
      <c r="D60" s="7">
        <f t="shared" si="9"/>
        <v>1118.5830100123408</v>
      </c>
      <c r="E60" s="7">
        <f t="shared" si="10"/>
        <v>3.1458079659924429</v>
      </c>
      <c r="F60" s="7">
        <f t="shared" si="11"/>
        <v>1.0852420391567863</v>
      </c>
      <c r="G60" s="7">
        <f t="shared" si="12"/>
        <v>1221.1851261153968</v>
      </c>
      <c r="H60" s="7">
        <f t="shared" si="6"/>
        <v>113.25980649987517</v>
      </c>
      <c r="I60" s="7">
        <f t="shared" si="7"/>
        <v>0.84334496083701027</v>
      </c>
      <c r="J60" s="7">
        <f t="shared" si="8"/>
        <v>113.04756277763907</v>
      </c>
      <c r="K60" s="7">
        <f t="shared" si="3"/>
        <v>1.0914839499500638E-2</v>
      </c>
      <c r="L60" s="7">
        <f t="shared" si="4"/>
        <v>1.8428733371198484E-2</v>
      </c>
    </row>
    <row r="61" spans="1:12" x14ac:dyDescent="0.25">
      <c r="A61" s="6">
        <v>42278</v>
      </c>
      <c r="B61" s="3">
        <v>667</v>
      </c>
      <c r="C61" s="7">
        <v>114.29</v>
      </c>
      <c r="D61" s="7">
        <f t="shared" si="9"/>
        <v>1113.3046664039209</v>
      </c>
      <c r="E61" s="7">
        <f t="shared" si="10"/>
        <v>1.4609776511099855</v>
      </c>
      <c r="F61" s="7">
        <f t="shared" si="11"/>
        <v>0.62100832875476575</v>
      </c>
      <c r="G61" s="7">
        <f t="shared" si="12"/>
        <v>721.15882284084648</v>
      </c>
      <c r="H61" s="7">
        <f t="shared" si="6"/>
        <v>114.12183631464097</v>
      </c>
      <c r="I61" s="7">
        <f t="shared" si="7"/>
        <v>0.84708193162276912</v>
      </c>
      <c r="J61" s="7">
        <f t="shared" si="8"/>
        <v>114.10315146071218</v>
      </c>
      <c r="K61" s="7">
        <f t="shared" si="3"/>
        <v>8.1197635443547952E-2</v>
      </c>
      <c r="L61" s="7">
        <f t="shared" si="4"/>
        <v>1.6348634113905218E-3</v>
      </c>
    </row>
    <row r="62" spans="1:12" x14ac:dyDescent="0.25">
      <c r="A62" s="6">
        <v>42309</v>
      </c>
      <c r="B62" s="3">
        <v>760</v>
      </c>
      <c r="C62" s="7">
        <v>113.09</v>
      </c>
      <c r="D62" s="7">
        <f t="shared" si="9"/>
        <v>1098.7527147843934</v>
      </c>
      <c r="E62" s="7">
        <f t="shared" si="10"/>
        <v>-1.741608203017506</v>
      </c>
      <c r="F62" s="7">
        <f t="shared" si="11"/>
        <v>0.74390403252006698</v>
      </c>
      <c r="G62" s="7">
        <f t="shared" si="12"/>
        <v>887.48127837884726</v>
      </c>
      <c r="H62" s="7">
        <f t="shared" si="6"/>
        <v>114.78102642163736</v>
      </c>
      <c r="I62" s="7">
        <f t="shared" si="7"/>
        <v>0.80950356669749357</v>
      </c>
      <c r="J62" s="7">
        <f t="shared" si="8"/>
        <v>114.96891824626374</v>
      </c>
      <c r="K62" s="7">
        <f t="shared" si="3"/>
        <v>0.16773852418269378</v>
      </c>
      <c r="L62" s="7">
        <f t="shared" si="4"/>
        <v>1.6614362421644151E-2</v>
      </c>
    </row>
    <row r="63" spans="1:12" x14ac:dyDescent="0.25">
      <c r="A63" s="6">
        <v>42339</v>
      </c>
      <c r="B63" s="3">
        <v>1885</v>
      </c>
      <c r="C63" s="7">
        <v>120.58</v>
      </c>
      <c r="D63" s="7">
        <f t="shared" si="9"/>
        <v>1130.0354042411677</v>
      </c>
      <c r="E63" s="7">
        <f t="shared" si="10"/>
        <v>4.8632513289408514</v>
      </c>
      <c r="F63" s="7">
        <f t="shared" si="11"/>
        <v>1.4944036094198698</v>
      </c>
      <c r="G63" s="7">
        <f t="shared" si="12"/>
        <v>1448.8421930449836</v>
      </c>
      <c r="H63" s="7">
        <f t="shared" si="6"/>
        <v>116.08947698950138</v>
      </c>
      <c r="I63" s="7">
        <f t="shared" si="7"/>
        <v>0.90929296693079786</v>
      </c>
      <c r="J63" s="7">
        <f t="shared" si="8"/>
        <v>115.59052998833485</v>
      </c>
      <c r="K63" s="7">
        <f t="shared" si="3"/>
        <v>0.23138345196552595</v>
      </c>
      <c r="L63" s="7">
        <f t="shared" si="4"/>
        <v>4.13789186570339E-2</v>
      </c>
    </row>
    <row r="64" spans="1:12" x14ac:dyDescent="0.25">
      <c r="A64" s="6"/>
      <c r="D64" s="7"/>
      <c r="E64" s="7"/>
      <c r="F64" s="7"/>
      <c r="G64" s="7"/>
      <c r="H64" s="7"/>
      <c r="I64" s="7"/>
      <c r="J64" s="7"/>
      <c r="K64" s="7"/>
      <c r="L64" s="7"/>
    </row>
    <row r="65" spans="1:12" x14ac:dyDescent="0.25">
      <c r="A65" s="6"/>
      <c r="D65" s="7"/>
      <c r="E65" s="7"/>
      <c r="F65" s="7"/>
      <c r="G65" s="7"/>
      <c r="H65" s="7"/>
      <c r="I65" s="7"/>
      <c r="J65" s="7"/>
      <c r="K65" s="7"/>
      <c r="L65" s="7"/>
    </row>
    <row r="66" spans="1:12" x14ac:dyDescent="0.25">
      <c r="A66" s="6"/>
      <c r="D66" s="7"/>
      <c r="E66" s="7"/>
      <c r="F66" s="7"/>
      <c r="G66" s="7"/>
      <c r="H66" s="7"/>
      <c r="I66" s="7"/>
      <c r="J66" s="7"/>
      <c r="K66" s="7"/>
      <c r="L66" s="7"/>
    </row>
  </sheetData>
  <phoneticPr fontId="0" type="noConversion"/>
  <printOptions headings="1" gridLines="1"/>
  <pageMargins left="0.75" right="0.75" top="1" bottom="1" header="0.5" footer="0.5"/>
  <pageSetup scale="3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autoFill="0" autoPict="0" macro="[0]!ViewDemFCasts">
                <anchor moveWithCells="1" sizeWithCells="1">
                  <from>
                    <xdr:col>0</xdr:col>
                    <xdr:colOff>228600</xdr:colOff>
                    <xdr:row>1</xdr:row>
                    <xdr:rowOff>190500</xdr:rowOff>
                  </from>
                  <to>
                    <xdr:col>2</xdr:col>
                    <xdr:colOff>314325</xdr:colOff>
                    <xdr:row>1</xdr:row>
                    <xdr:rowOff>809625</xdr:rowOff>
                  </to>
                </anchor>
              </controlPr>
            </control>
          </mc:Choice>
        </mc:AlternateContent>
        <mc:AlternateContent xmlns:mc="http://schemas.openxmlformats.org/markup-compatibility/2006">
          <mc:Choice Requires="x14">
            <control shapeId="8195" r:id="rId5" name="Button 3">
              <controlPr defaultSize="0" autoFill="0" autoPict="0" macro="[0]!ViewCostFCasts">
                <anchor moveWithCells="1" sizeWithCells="1">
                  <from>
                    <xdr:col>2</xdr:col>
                    <xdr:colOff>428625</xdr:colOff>
                    <xdr:row>1</xdr:row>
                    <xdr:rowOff>190500</xdr:rowOff>
                  </from>
                  <to>
                    <xdr:col>9</xdr:col>
                    <xdr:colOff>133350</xdr:colOff>
                    <xdr:row>1</xdr:row>
                    <xdr:rowOff>809625</xdr:rowOff>
                  </to>
                </anchor>
              </controlPr>
            </control>
          </mc:Choice>
        </mc:AlternateContent>
        <mc:AlternateContent xmlns:mc="http://schemas.openxmlformats.org/markup-compatibility/2006">
          <mc:Choice Requires="x14">
            <control shapeId="8197" r:id="rId6" name="Button 5">
              <controlPr defaultSize="0" autoFill="0" autoPict="0" macro="[0]!ViewExplanation">
                <anchor moveWithCells="1" sizeWithCells="1">
                  <from>
                    <xdr:col>9</xdr:col>
                    <xdr:colOff>266700</xdr:colOff>
                    <xdr:row>1</xdr:row>
                    <xdr:rowOff>180975</xdr:rowOff>
                  </from>
                  <to>
                    <xdr:col>12</xdr:col>
                    <xdr:colOff>485775</xdr:colOff>
                    <xdr:row>1</xdr:row>
                    <xdr:rowOff>800100</xdr:rowOff>
                  </to>
                </anchor>
              </controlPr>
            </control>
          </mc:Choice>
        </mc:AlternateContent>
        <mc:AlternateContent xmlns:mc="http://schemas.openxmlformats.org/markup-compatibility/2006">
          <mc:Choice Requires="x14">
            <control shapeId="8199" r:id="rId7" name="Button 7">
              <controlPr defaultSize="0" autoFill="0" autoPict="0" macro="[0]!ProdModel">
                <anchor moveWithCells="1" sizeWithCells="1">
                  <from>
                    <xdr:col>13</xdr:col>
                    <xdr:colOff>19050</xdr:colOff>
                    <xdr:row>1</xdr:row>
                    <xdr:rowOff>180975</xdr:rowOff>
                  </from>
                  <to>
                    <xdr:col>14</xdr:col>
                    <xdr:colOff>428625</xdr:colOff>
                    <xdr:row>1</xdr:row>
                    <xdr:rowOff>790575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dimension ref="A1:M34"/>
  <sheetViews>
    <sheetView workbookViewId="0">
      <selection activeCell="B33" sqref="B33"/>
    </sheetView>
  </sheetViews>
  <sheetFormatPr defaultRowHeight="15" x14ac:dyDescent="0.25"/>
  <cols>
    <col min="1" max="1" width="30.42578125" style="3" bestFit="1" customWidth="1"/>
    <col min="2" max="2" width="12.42578125" style="3" customWidth="1"/>
    <col min="3" max="16384" width="9.140625" style="3"/>
  </cols>
  <sheetData>
    <row r="1" spans="1:7" x14ac:dyDescent="0.25">
      <c r="A1" s="2" t="s">
        <v>32</v>
      </c>
    </row>
    <row r="3" spans="1:7" x14ac:dyDescent="0.25">
      <c r="A3" s="2" t="s">
        <v>33</v>
      </c>
    </row>
    <row r="4" spans="1:7" x14ac:dyDescent="0.25">
      <c r="A4" s="3" t="s">
        <v>34</v>
      </c>
      <c r="B4" s="3">
        <v>6</v>
      </c>
    </row>
    <row r="5" spans="1:7" x14ac:dyDescent="0.25">
      <c r="A5" s="3" t="s">
        <v>39</v>
      </c>
      <c r="B5" s="3">
        <v>500</v>
      </c>
    </row>
    <row r="6" spans="1:7" x14ac:dyDescent="0.25">
      <c r="A6" s="3" t="s">
        <v>40</v>
      </c>
      <c r="B6" s="8">
        <v>0.80000001192092896</v>
      </c>
    </row>
    <row r="7" spans="1:7" x14ac:dyDescent="0.25">
      <c r="A7" s="3" t="s">
        <v>35</v>
      </c>
      <c r="B7" s="8">
        <v>0.10000000149011612</v>
      </c>
    </row>
    <row r="8" spans="1:7" x14ac:dyDescent="0.25">
      <c r="A8" s="3" t="s">
        <v>38</v>
      </c>
      <c r="B8" s="3">
        <v>1</v>
      </c>
    </row>
    <row r="9" spans="1:7" x14ac:dyDescent="0.25">
      <c r="A9" s="3" t="s">
        <v>36</v>
      </c>
      <c r="B9" s="3">
        <v>2000</v>
      </c>
    </row>
    <row r="10" spans="1:7" x14ac:dyDescent="0.25">
      <c r="A10" s="3" t="s">
        <v>37</v>
      </c>
      <c r="B10" s="3">
        <v>500</v>
      </c>
    </row>
    <row r="12" spans="1:7" x14ac:dyDescent="0.25">
      <c r="A12" s="2" t="s">
        <v>46</v>
      </c>
    </row>
    <row r="13" spans="1:7" s="6" customFormat="1" x14ac:dyDescent="0.25">
      <c r="A13" s="6" t="s">
        <v>1</v>
      </c>
      <c r="B13" s="6">
        <v>42370</v>
      </c>
      <c r="C13" s="6">
        <v>42401</v>
      </c>
      <c r="D13" s="6">
        <v>42430</v>
      </c>
      <c r="E13" s="6">
        <v>42461</v>
      </c>
      <c r="F13" s="6">
        <v>42491</v>
      </c>
      <c r="G13" s="6">
        <v>42522</v>
      </c>
    </row>
    <row r="14" spans="1:7" s="9" customFormat="1" x14ac:dyDescent="0.25">
      <c r="A14" s="9" t="s">
        <v>39</v>
      </c>
      <c r="B14" s="9">
        <f>InitInv</f>
        <v>500</v>
      </c>
      <c r="C14" s="9">
        <f>B23</f>
        <v>92.97971414180698</v>
      </c>
      <c r="D14" s="9">
        <f>C23</f>
        <v>167.68758460561463</v>
      </c>
      <c r="E14" s="9">
        <f>D23</f>
        <v>173.26627758475976</v>
      </c>
      <c r="F14" s="9">
        <f>E23</f>
        <v>172.15541789930089</v>
      </c>
      <c r="G14" s="9">
        <f>F23</f>
        <v>499.99999999999966</v>
      </c>
    </row>
    <row r="15" spans="1:7" s="9" customFormat="1" x14ac:dyDescent="0.25">
      <c r="A15" s="9" t="s">
        <v>41</v>
      </c>
      <c r="B15" s="9">
        <v>464.89859841915069</v>
      </c>
      <c r="C15" s="9">
        <v>838.43797300287019</v>
      </c>
      <c r="D15" s="9">
        <v>866.33143956117647</v>
      </c>
      <c r="E15" s="9">
        <v>860.77714080282237</v>
      </c>
      <c r="F15" s="9">
        <v>1354.6904072960115</v>
      </c>
      <c r="G15" s="9">
        <v>947.71589774316783</v>
      </c>
    </row>
    <row r="16" spans="1:7" s="4" customFormat="1" x14ac:dyDescent="0.25">
      <c r="B16" s="4" t="s">
        <v>51</v>
      </c>
      <c r="C16" s="4" t="s">
        <v>51</v>
      </c>
      <c r="D16" s="4" t="s">
        <v>51</v>
      </c>
      <c r="E16" s="4" t="s">
        <v>51</v>
      </c>
      <c r="F16" s="4" t="s">
        <v>51</v>
      </c>
      <c r="G16" s="4" t="s">
        <v>51</v>
      </c>
    </row>
    <row r="17" spans="1:13" x14ac:dyDescent="0.25">
      <c r="A17" s="3" t="s">
        <v>36</v>
      </c>
      <c r="B17" s="3">
        <f t="shared" ref="B17:G17" si="0">ProdCap</f>
        <v>2000</v>
      </c>
      <c r="C17" s="3">
        <f t="shared" si="0"/>
        <v>2000</v>
      </c>
      <c r="D17" s="3">
        <f t="shared" si="0"/>
        <v>2000</v>
      </c>
      <c r="E17" s="3">
        <f t="shared" si="0"/>
        <v>2000</v>
      </c>
      <c r="F17" s="3">
        <f t="shared" si="0"/>
        <v>2000</v>
      </c>
      <c r="G17" s="3">
        <f t="shared" si="0"/>
        <v>2000</v>
      </c>
    </row>
    <row r="19" spans="1:13" s="9" customFormat="1" x14ac:dyDescent="0.25">
      <c r="A19" s="9" t="s">
        <v>42</v>
      </c>
      <c r="B19" s="9">
        <f t="shared" ref="B19:G19" si="1">B14+ProdPct*B15</f>
        <v>871.91888427734375</v>
      </c>
      <c r="C19" s="9">
        <f t="shared" si="1"/>
        <v>763.73010253906261</v>
      </c>
      <c r="D19" s="9">
        <f t="shared" si="1"/>
        <v>860.75274658203125</v>
      </c>
      <c r="E19" s="9">
        <f t="shared" si="1"/>
        <v>861.8880004882808</v>
      </c>
      <c r="F19" s="9">
        <f t="shared" si="1"/>
        <v>1255.907759885278</v>
      </c>
      <c r="G19" s="9">
        <f t="shared" si="1"/>
        <v>1258.172729492188</v>
      </c>
    </row>
    <row r="20" spans="1:13" s="4" customFormat="1" x14ac:dyDescent="0.25">
      <c r="B20" s="4" t="s">
        <v>52</v>
      </c>
      <c r="C20" s="4" t="s">
        <v>52</v>
      </c>
      <c r="D20" s="4" t="s">
        <v>52</v>
      </c>
      <c r="E20" s="4" t="s">
        <v>52</v>
      </c>
      <c r="F20" s="4" t="s">
        <v>52</v>
      </c>
      <c r="G20" s="4" t="s">
        <v>52</v>
      </c>
    </row>
    <row r="21" spans="1:13" s="9" customFormat="1" x14ac:dyDescent="0.25">
      <c r="A21" s="9" t="s">
        <v>2</v>
      </c>
      <c r="B21" s="9">
        <v>871.91888427734375</v>
      </c>
      <c r="C21" s="9">
        <v>763.7301025390625</v>
      </c>
      <c r="D21" s="9">
        <v>860.75274658203125</v>
      </c>
      <c r="E21" s="9">
        <v>861.88800048828125</v>
      </c>
      <c r="F21" s="9">
        <v>1026.8458251953125</v>
      </c>
      <c r="G21" s="9">
        <v>1258.1727294921875</v>
      </c>
    </row>
    <row r="23" spans="1:13" s="9" customFormat="1" x14ac:dyDescent="0.25">
      <c r="A23" s="9" t="s">
        <v>43</v>
      </c>
      <c r="B23" s="9">
        <f t="shared" ref="B23:G23" si="2">B19-B21+(1-ProdPct)*B15</f>
        <v>92.97971414180698</v>
      </c>
      <c r="C23" s="9">
        <f t="shared" si="2"/>
        <v>167.68758460561463</v>
      </c>
      <c r="D23" s="9">
        <f t="shared" si="2"/>
        <v>173.26627758475976</v>
      </c>
      <c r="E23" s="9">
        <f t="shared" si="2"/>
        <v>172.15541789930089</v>
      </c>
      <c r="F23" s="9">
        <f t="shared" si="2"/>
        <v>499.99999999999966</v>
      </c>
      <c r="G23" s="9">
        <f t="shared" si="2"/>
        <v>189.54316825098013</v>
      </c>
    </row>
    <row r="25" spans="1:13" x14ac:dyDescent="0.25">
      <c r="A25" s="3" t="s">
        <v>37</v>
      </c>
      <c r="B25" s="3">
        <f t="shared" ref="B25:G25" si="3">InvCap</f>
        <v>500</v>
      </c>
      <c r="C25" s="3">
        <f t="shared" si="3"/>
        <v>500</v>
      </c>
      <c r="D25" s="3">
        <f t="shared" si="3"/>
        <v>500</v>
      </c>
      <c r="E25" s="3">
        <f t="shared" si="3"/>
        <v>500</v>
      </c>
      <c r="F25" s="3">
        <f t="shared" si="3"/>
        <v>500</v>
      </c>
      <c r="G25" s="3">
        <f t="shared" si="3"/>
        <v>500</v>
      </c>
    </row>
    <row r="26" spans="1:13" s="9" customFormat="1" x14ac:dyDescent="0.25">
      <c r="A26" s="9" t="s">
        <v>50</v>
      </c>
      <c r="B26" s="9">
        <f t="shared" ref="B26:G26" si="4">(B14+B23)/2</f>
        <v>296.4898570709035</v>
      </c>
      <c r="C26" s="9">
        <f t="shared" si="4"/>
        <v>130.33364937371081</v>
      </c>
      <c r="D26" s="9">
        <f t="shared" si="4"/>
        <v>170.47693109518718</v>
      </c>
      <c r="E26" s="9">
        <f t="shared" si="4"/>
        <v>172.71084774203032</v>
      </c>
      <c r="F26" s="9">
        <f t="shared" si="4"/>
        <v>336.07770894965029</v>
      </c>
      <c r="G26" s="9">
        <f t="shared" si="4"/>
        <v>344.77158412548988</v>
      </c>
    </row>
    <row r="28" spans="1:13" x14ac:dyDescent="0.25">
      <c r="A28" s="2" t="s">
        <v>44</v>
      </c>
    </row>
    <row r="29" spans="1:13" x14ac:dyDescent="0.25">
      <c r="A29" s="3" t="s">
        <v>1</v>
      </c>
      <c r="B29" s="6">
        <v>42370</v>
      </c>
      <c r="C29" s="6">
        <v>42401</v>
      </c>
      <c r="D29" s="6">
        <v>42430</v>
      </c>
      <c r="E29" s="6">
        <v>42461</v>
      </c>
      <c r="F29" s="6">
        <v>42491</v>
      </c>
      <c r="G29" s="6">
        <v>42522</v>
      </c>
      <c r="H29" s="6"/>
      <c r="I29" s="6"/>
      <c r="J29" s="6"/>
      <c r="K29" s="6"/>
      <c r="L29" s="6"/>
      <c r="M29" s="6"/>
    </row>
    <row r="30" spans="1:13" s="10" customFormat="1" x14ac:dyDescent="0.25">
      <c r="A30" s="10" t="s">
        <v>47</v>
      </c>
      <c r="B30" s="10">
        <v>116.99877166748047</v>
      </c>
      <c r="C30" s="10">
        <v>117.90806579589844</v>
      </c>
      <c r="D30" s="10">
        <v>118.81735992431641</v>
      </c>
      <c r="E30" s="10">
        <v>119.72664642333984</v>
      </c>
      <c r="F30" s="10">
        <v>120.63594055175781</v>
      </c>
      <c r="G30" s="10">
        <v>121.54523468017578</v>
      </c>
    </row>
    <row r="32" spans="1:13" x14ac:dyDescent="0.25">
      <c r="A32" s="3" t="s">
        <v>48</v>
      </c>
      <c r="B32" s="11">
        <f>SUMPRODUCT(Production,FCosts)</f>
        <v>637859.04214778543</v>
      </c>
    </row>
    <row r="33" spans="1:2" x14ac:dyDescent="0.25">
      <c r="A33" s="3" t="s">
        <v>49</v>
      </c>
      <c r="B33" s="11">
        <f>SUMPRODUCT(EndInv,HoldPct*FCosts)</f>
        <v>15520.490507434737</v>
      </c>
    </row>
    <row r="34" spans="1:2" x14ac:dyDescent="0.25">
      <c r="A34" s="3" t="s">
        <v>45</v>
      </c>
      <c r="B34" s="11">
        <f>SUM(B32:B33)</f>
        <v>653379.53265522013</v>
      </c>
    </row>
  </sheetData>
  <phoneticPr fontId="0" type="noConversion"/>
  <printOptions headings="1" gridLines="1"/>
  <pageMargins left="0.75" right="0.75" top="1" bottom="1" header="0.5" footer="0.5"/>
  <pageSetup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A1:M9"/>
  <sheetViews>
    <sheetView showGridLines="0" workbookViewId="0"/>
  </sheetViews>
  <sheetFormatPr defaultRowHeight="15" x14ac:dyDescent="0.25"/>
  <cols>
    <col min="1" max="1" width="19.85546875" style="1" customWidth="1"/>
    <col min="2" max="2" width="11.42578125" style="1" customWidth="1"/>
    <col min="3" max="16384" width="9.140625" style="1"/>
  </cols>
  <sheetData>
    <row r="1" spans="1:13" x14ac:dyDescent="0.25">
      <c r="A1" s="12" t="s">
        <v>53</v>
      </c>
    </row>
    <row r="3" spans="1:13" x14ac:dyDescent="0.25">
      <c r="A3" s="1" t="s">
        <v>1</v>
      </c>
      <c r="B3" s="6">
        <v>42370</v>
      </c>
      <c r="C3" s="6">
        <v>42401</v>
      </c>
      <c r="D3" s="6">
        <v>42430</v>
      </c>
      <c r="E3" s="6">
        <v>42461</v>
      </c>
      <c r="F3" s="6">
        <v>42491</v>
      </c>
      <c r="G3" s="6">
        <v>42522</v>
      </c>
      <c r="H3" s="6"/>
      <c r="I3" s="6"/>
      <c r="J3" s="13"/>
      <c r="K3" s="13"/>
      <c r="L3" s="13"/>
      <c r="M3" s="13"/>
    </row>
    <row r="4" spans="1:13" x14ac:dyDescent="0.25">
      <c r="A4" s="1" t="s">
        <v>41</v>
      </c>
      <c r="B4" s="9">
        <v>464.89859841915069</v>
      </c>
      <c r="C4" s="9">
        <v>838.43797300287019</v>
      </c>
      <c r="D4" s="9">
        <v>866.33143956117647</v>
      </c>
      <c r="E4" s="9">
        <v>860.77714080282237</v>
      </c>
      <c r="F4" s="9">
        <v>1354.6904072960115</v>
      </c>
      <c r="G4" s="9">
        <v>947.71589774316783</v>
      </c>
      <c r="H4" s="9"/>
      <c r="I4" s="9"/>
      <c r="J4" s="14"/>
      <c r="K4" s="14"/>
      <c r="L4" s="14"/>
      <c r="M4" s="14"/>
    </row>
    <row r="5" spans="1:13" x14ac:dyDescent="0.25">
      <c r="A5" s="1" t="s">
        <v>43</v>
      </c>
      <c r="B5" s="14">
        <v>92.97971414180698</v>
      </c>
      <c r="C5" s="14">
        <v>167.68758460561463</v>
      </c>
      <c r="D5" s="14">
        <v>173.26627758475976</v>
      </c>
      <c r="E5" s="14">
        <v>172.15541789930089</v>
      </c>
      <c r="F5" s="14">
        <v>499.99999999999966</v>
      </c>
      <c r="G5" s="14">
        <v>189.54316825098013</v>
      </c>
      <c r="H5" s="14"/>
      <c r="I5" s="14"/>
      <c r="J5" s="14"/>
      <c r="K5" s="14"/>
      <c r="L5" s="14"/>
      <c r="M5" s="14"/>
    </row>
    <row r="7" spans="1:13" x14ac:dyDescent="0.25">
      <c r="A7" s="1" t="s">
        <v>48</v>
      </c>
      <c r="B7" s="15">
        <f>Model!B32</f>
        <v>637859.04214778543</v>
      </c>
    </row>
    <row r="8" spans="1:13" x14ac:dyDescent="0.25">
      <c r="A8" s="1" t="s">
        <v>49</v>
      </c>
      <c r="B8" s="15">
        <f>Model!B33</f>
        <v>15520.490507434737</v>
      </c>
    </row>
    <row r="9" spans="1:13" x14ac:dyDescent="0.25">
      <c r="A9" s="1" t="s">
        <v>45</v>
      </c>
      <c r="B9" s="15">
        <f>Model!B34</f>
        <v>653379.53265522013</v>
      </c>
    </row>
  </sheetData>
  <phoneticPr fontId="0" type="noConversion"/>
  <pageMargins left="0.75" right="0.75" top="1" bottom="1" header="0.5" footer="0.5"/>
  <pageSetup scale="79"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71" r:id="rId4" name="Button 3">
              <controlPr defaultSize="0" autoFill="0" autoPict="0" macro="[0]!ViewExplanation">
                <anchor moveWithCells="1" sizeWithCells="1">
                  <from>
                    <xdr:col>0</xdr:col>
                    <xdr:colOff>381000</xdr:colOff>
                    <xdr:row>11</xdr:row>
                    <xdr:rowOff>152400</xdr:rowOff>
                  </from>
                  <to>
                    <xdr:col>2</xdr:col>
                    <xdr:colOff>95250</xdr:colOff>
                    <xdr:row>13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2</vt:i4>
      </vt:variant>
      <vt:variant>
        <vt:lpstr>Named Ranges</vt:lpstr>
      </vt:variant>
      <vt:variant>
        <vt:i4>36</vt:i4>
      </vt:variant>
    </vt:vector>
  </HeadingPairs>
  <TitlesOfParts>
    <vt:vector size="42" baseType="lpstr">
      <vt:lpstr>Explanation</vt:lpstr>
      <vt:lpstr>Data</vt:lpstr>
      <vt:lpstr>Model</vt:lpstr>
      <vt:lpstr>Report</vt:lpstr>
      <vt:lpstr>Demand_Forecast</vt:lpstr>
      <vt:lpstr>Cost_Forecast</vt:lpstr>
      <vt:lpstr>Data!_APE1</vt:lpstr>
      <vt:lpstr>Data!_APE2</vt:lpstr>
      <vt:lpstr>Data!Alpha1</vt:lpstr>
      <vt:lpstr>Data!Alpha2</vt:lpstr>
      <vt:lpstr>Model!AvgInv</vt:lpstr>
      <vt:lpstr>Data!Beta1</vt:lpstr>
      <vt:lpstr>Data!Beta2</vt:lpstr>
      <vt:lpstr>Data!CostFCasts</vt:lpstr>
      <vt:lpstr>Data!Demands</vt:lpstr>
      <vt:lpstr>Data!DemFCasts</vt:lpstr>
      <vt:lpstr>Model!EndInv</vt:lpstr>
      <vt:lpstr>Model!FCosts</vt:lpstr>
      <vt:lpstr>Model!FDemands</vt:lpstr>
      <vt:lpstr>Data!Gamma1</vt:lpstr>
      <vt:lpstr>Model!HoldOpt</vt:lpstr>
      <vt:lpstr>Model!HoldPct</vt:lpstr>
      <vt:lpstr>Model!InitInv</vt:lpstr>
      <vt:lpstr>Model!InvCap</vt:lpstr>
      <vt:lpstr>Model!InvCaps</vt:lpstr>
      <vt:lpstr>Data!MAPE1</vt:lpstr>
      <vt:lpstr>Data!MAPE2</vt:lpstr>
      <vt:lpstr>Data!Month</vt:lpstr>
      <vt:lpstr>Data!Months</vt:lpstr>
      <vt:lpstr>Model!Months</vt:lpstr>
      <vt:lpstr>Model!NMonths</vt:lpstr>
      <vt:lpstr>Model!Onhand</vt:lpstr>
      <vt:lpstr>Report!Print_Area</vt:lpstr>
      <vt:lpstr>Model!ProdCap</vt:lpstr>
      <vt:lpstr>Model!ProdCaps</vt:lpstr>
      <vt:lpstr>Model!ProdPct</vt:lpstr>
      <vt:lpstr>Model!Production</vt:lpstr>
      <vt:lpstr>Report!RepEndInv</vt:lpstr>
      <vt:lpstr>Report!RepMonths</vt:lpstr>
      <vt:lpstr>Report!RepProd</vt:lpstr>
      <vt:lpstr>Model!TotalCost</vt:lpstr>
      <vt:lpstr>Data!UnitCosts</vt:lpstr>
    </vt:vector>
  </TitlesOfParts>
  <Company>Indiana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2011-01-24T13:42:55Z</cp:lastPrinted>
  <dcterms:created xsi:type="dcterms:W3CDTF">2000-02-20T17:54:34Z</dcterms:created>
  <dcterms:modified xsi:type="dcterms:W3CDTF">2015-02-09T17:39:22Z</dcterms:modified>
</cp:coreProperties>
</file>