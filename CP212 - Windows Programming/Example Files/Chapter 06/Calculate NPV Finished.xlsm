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06\"/>
    </mc:Choice>
  </mc:AlternateContent>
  <bookViews>
    <workbookView xWindow="360" yWindow="60" windowWidth="11340" windowHeight="5265"/>
  </bookViews>
  <sheets>
    <sheet name="Model" sheetId="1" r:id="rId1"/>
  </sheets>
  <definedNames>
    <definedName name="_xlnm.Print_Area" localSheetId="0">Model!$A$1:$L$29</definedName>
  </definedNames>
  <calcPr calcId="152511"/>
</workbook>
</file>

<file path=xl/calcChain.xml><?xml version="1.0" encoding="utf-8"?>
<calcChain xmlns="http://schemas.openxmlformats.org/spreadsheetml/2006/main">
  <c r="B12" i="1" l="1"/>
  <c r="C12" i="1"/>
  <c r="D12" i="1" s="1"/>
  <c r="E12" i="1" l="1"/>
  <c r="F12" i="1" s="1"/>
  <c r="G12" i="1" s="1"/>
  <c r="H12" i="1" s="1"/>
  <c r="I12" i="1" s="1"/>
  <c r="J12" i="1" s="1"/>
  <c r="K12" i="1" s="1"/>
  <c r="B14" i="1" l="1"/>
</calcChain>
</file>

<file path=xl/sharedStrings.xml><?xml version="1.0" encoding="utf-8"?>
<sst xmlns="http://schemas.openxmlformats.org/spreadsheetml/2006/main" count="19" uniqueCount="14">
  <si>
    <t>Inputs</t>
  </si>
  <si>
    <t>Model of cash inflows (all occur at the ends of years)</t>
  </si>
  <si>
    <t>Year</t>
  </si>
  <si>
    <t>Cash inflow</t>
  </si>
  <si>
    <t>NPV</t>
  </si>
  <si>
    <t>Net present value (NPV)</t>
  </si>
  <si>
    <t>Possible values of the inputs to test</t>
  </si>
  <si>
    <t>1. Cash outflow, beginning of year 1</t>
  </si>
  <si>
    <t>2. Cash inflow, end of year 1</t>
  </si>
  <si>
    <t>3. Pct increase in cash inflow per year</t>
  </si>
  <si>
    <t>4. Number of years of cash inflows</t>
  </si>
  <si>
    <t>5. Discount rate</t>
  </si>
  <si>
    <t>Sensitivity table (NPV for combinations of min and max of two selected inputs)</t>
  </si>
  <si>
    <t>Calculating the net present value of a stream of cash flows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</si>
</sst>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quot;$&quot;#,##0"/>
  </numFmts>
  <fonts count="4" x14ac:knownFonts="1">
    <font>
      <sz val="11"/>
      <name val="Calibri"/>
      <family val="2"/>
      <scheme val="minor"/>
    </font>
    <font>
      <sz val="10"/>
      <name val="Arial"/>
      <family val="2"/>
    </font>
    <font>
      <b/>
      <sz val="11"/>
      <name val="Calibri"/>
      <family val="2"/>
      <scheme val="minor"/>
    </font>
    <font>
      <sz val="11"/>
      <color rgb="FF000000"/>
      <name val="Calibri"/>
      <family val="2"/>
    </font>
  </fonts>
  <fills count="4">
    <fill>
      <patternFill patternType="none"/>
    </fill>
    <fill>
      <patternFill patternType="gray125"/>
    </fill>
    <fill>
      <patternFill patternType="solid">
        <fgColor theme="0" tint="-0.24994659260841701"/>
        <bgColor indexed="64"/>
      </patternFill>
    </fill>
    <fill>
      <patternFill patternType="solid">
        <fgColor theme="4" tint="0.599932859279152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9" fontId="0" fillId="0" borderId="0" xfId="1" applyFont="1"/>
    <xf numFmtId="0" fontId="0" fillId="0" borderId="0" xfId="0" applyFont="1"/>
    <xf numFmtId="164" fontId="0" fillId="0" borderId="0" xfId="0" applyNumberFormat="1" applyFont="1"/>
    <xf numFmtId="164" fontId="0" fillId="2" borderId="0" xfId="0" applyNumberFormat="1" applyFont="1" applyFill="1" applyBorder="1"/>
    <xf numFmtId="0" fontId="0" fillId="0" borderId="0" xfId="0" applyFont="1" applyAlignment="1">
      <alignment horizontal="right"/>
    </xf>
    <xf numFmtId="2" fontId="0" fillId="0" borderId="0" xfId="0" applyNumberFormat="1" applyFont="1"/>
    <xf numFmtId="0" fontId="2" fillId="0" borderId="0" xfId="0" applyFont="1"/>
    <xf numFmtId="164" fontId="0" fillId="3" borderId="0" xfId="0" applyNumberFormat="1" applyFont="1" applyFill="1" applyBorder="1"/>
    <xf numFmtId="9" fontId="0" fillId="3" borderId="0" xfId="0" applyNumberFormat="1" applyFont="1" applyFill="1" applyBorder="1"/>
    <xf numFmtId="0" fontId="0" fillId="3" borderId="0" xfId="0" applyFont="1" applyFill="1" applyBorder="1"/>
  </cellXfs>
  <cellStyles count="2">
    <cellStyle name="Normal" xfId="0" builtinId="0" customBuiltin="1"/>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561975</xdr:colOff>
      <xdr:row>12</xdr:row>
      <xdr:rowOff>104775</xdr:rowOff>
    </xdr:from>
    <xdr:to>
      <xdr:col>11</xdr:col>
      <xdr:colOff>180974</xdr:colOff>
      <xdr:row>16</xdr:row>
      <xdr:rowOff>28575</xdr:rowOff>
    </xdr:to>
    <xdr:sp macro="" textlink="">
      <xdr:nvSpPr>
        <xdr:cNvPr id="3" name="TextBox 2"/>
        <xdr:cNvSpPr txBox="1"/>
      </xdr:nvSpPr>
      <xdr:spPr>
        <a:xfrm>
          <a:off x="3495675" y="2390775"/>
          <a:ext cx="5105399" cy="685800"/>
        </a:xfrm>
        <a:prstGeom prst="roundRect">
          <a:avLst/>
        </a:prstGeom>
        <a:solidFill>
          <a:schemeClr val="bg1">
            <a:lumMod val="85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0" i="0">
              <a:solidFill>
                <a:schemeClr val="dk1"/>
              </a:solidFill>
              <a:latin typeface="+mn-lt"/>
              <a:ea typeface="+mn-ea"/>
              <a:cs typeface="+mn-cs"/>
            </a:rPr>
            <a:t>Note that the values in each of rows 18-22 are in increasing order, so that the minimum value is at the left and the maximum value is at the right.  Even if more values are added, you can assume that they will always be placed in increasing order.</a:t>
          </a:r>
          <a:endParaRPr lang="en-US"/>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390525</xdr:colOff>
          <xdr:row>3</xdr:row>
          <xdr:rowOff>66675</xdr:rowOff>
        </xdr:from>
        <xdr:to>
          <xdr:col>8</xdr:col>
          <xdr:colOff>390525</xdr:colOff>
          <xdr:row>5</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Sensitivity Analysis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odel">
    <pageSetUpPr fitToPage="1"/>
  </sheetPr>
  <dimension ref="A1:L29"/>
  <sheetViews>
    <sheetView tabSelected="1" workbookViewId="0"/>
  </sheetViews>
  <sheetFormatPr defaultRowHeight="15" x14ac:dyDescent="0.25"/>
  <cols>
    <col min="1" max="1" width="34.85546875" style="2" customWidth="1"/>
    <col min="2" max="16384" width="9.140625" style="2"/>
  </cols>
  <sheetData>
    <row r="1" spans="1:11" x14ac:dyDescent="0.25">
      <c r="A1" s="7" t="s">
        <v>13</v>
      </c>
    </row>
    <row r="3" spans="1:11" x14ac:dyDescent="0.25">
      <c r="A3" s="7" t="s">
        <v>0</v>
      </c>
    </row>
    <row r="4" spans="1:11" x14ac:dyDescent="0.25">
      <c r="A4" s="2" t="s">
        <v>7</v>
      </c>
      <c r="B4" s="8">
        <v>40000</v>
      </c>
    </row>
    <row r="5" spans="1:11" x14ac:dyDescent="0.25">
      <c r="A5" s="2" t="s">
        <v>8</v>
      </c>
      <c r="B5" s="8">
        <v>12000</v>
      </c>
    </row>
    <row r="6" spans="1:11" x14ac:dyDescent="0.25">
      <c r="A6" s="2" t="s">
        <v>9</v>
      </c>
      <c r="B6" s="9">
        <v>0.11999999731779099</v>
      </c>
    </row>
    <row r="7" spans="1:11" x14ac:dyDescent="0.25">
      <c r="A7" s="2" t="s">
        <v>10</v>
      </c>
      <c r="B7" s="10">
        <v>10</v>
      </c>
    </row>
    <row r="8" spans="1:11" x14ac:dyDescent="0.25">
      <c r="A8" s="2" t="s">
        <v>11</v>
      </c>
      <c r="B8" s="9">
        <v>0.15999999642372131</v>
      </c>
    </row>
    <row r="10" spans="1:11" x14ac:dyDescent="0.25">
      <c r="A10" s="7" t="s">
        <v>1</v>
      </c>
    </row>
    <row r="11" spans="1:11" x14ac:dyDescent="0.25">
      <c r="A11" s="2" t="s">
        <v>2</v>
      </c>
      <c r="B11" s="2">
        <v>1</v>
      </c>
      <c r="C11" s="2">
        <v>2</v>
      </c>
      <c r="D11" s="2">
        <v>3</v>
      </c>
      <c r="E11" s="2">
        <v>4</v>
      </c>
      <c r="F11" s="2">
        <v>5</v>
      </c>
      <c r="G11" s="2">
        <v>6</v>
      </c>
      <c r="H11" s="2">
        <v>7</v>
      </c>
      <c r="I11" s="2">
        <v>8</v>
      </c>
      <c r="J11" s="2">
        <v>9</v>
      </c>
      <c r="K11" s="2">
        <v>10</v>
      </c>
    </row>
    <row r="12" spans="1:11" x14ac:dyDescent="0.25">
      <c r="A12" s="2" t="s">
        <v>3</v>
      </c>
      <c r="B12" s="3">
        <f>B5</f>
        <v>12000</v>
      </c>
      <c r="C12" s="3">
        <f>IF(C11&lt;=$B$7,B12*(1+$B$6),0)</f>
        <v>13439.999967813492</v>
      </c>
      <c r="D12" s="3">
        <f t="shared" ref="D12:K12" si="0">IF(D11&lt;=$B$7,C12*(1+$B$6),0)</f>
        <v>15052.799927902222</v>
      </c>
      <c r="E12" s="3">
        <f t="shared" si="0"/>
        <v>16859.135878875735</v>
      </c>
      <c r="F12" s="3">
        <f t="shared" si="0"/>
        <v>18882.232139121097</v>
      </c>
      <c r="G12" s="3">
        <f t="shared" si="0"/>
        <v>21148.099945169535</v>
      </c>
      <c r="H12" s="3">
        <f t="shared" si="0"/>
        <v>23685.871881866256</v>
      </c>
      <c r="I12" s="3">
        <f t="shared" si="0"/>
        <v>26528.176444159748</v>
      </c>
      <c r="J12" s="3">
        <f t="shared" si="0"/>
        <v>29711.557546304804</v>
      </c>
      <c r="K12" s="3">
        <f t="shared" si="0"/>
        <v>33276.944372168771</v>
      </c>
    </row>
    <row r="14" spans="1:11" x14ac:dyDescent="0.25">
      <c r="A14" s="2" t="s">
        <v>5</v>
      </c>
      <c r="B14" s="4">
        <f>NPV(B8,B12:K12)-B4</f>
        <v>48786.541443147449</v>
      </c>
    </row>
    <row r="16" spans="1:11" x14ac:dyDescent="0.25">
      <c r="A16" s="7" t="s">
        <v>6</v>
      </c>
    </row>
    <row r="18" spans="1:12" x14ac:dyDescent="0.25">
      <c r="A18" s="2" t="s">
        <v>7</v>
      </c>
      <c r="B18" s="3">
        <v>10000</v>
      </c>
      <c r="C18" s="3">
        <v>15000</v>
      </c>
      <c r="D18" s="3">
        <v>20000</v>
      </c>
      <c r="E18" s="3">
        <v>25000</v>
      </c>
      <c r="F18" s="3">
        <v>30000</v>
      </c>
      <c r="G18" s="3">
        <v>35000</v>
      </c>
      <c r="H18" s="3">
        <v>40000</v>
      </c>
      <c r="I18" s="3"/>
      <c r="J18" s="3"/>
      <c r="K18" s="3"/>
      <c r="L18" s="3"/>
    </row>
    <row r="19" spans="1:12" x14ac:dyDescent="0.25">
      <c r="A19" s="2" t="s">
        <v>8</v>
      </c>
      <c r="B19" s="3">
        <v>4000</v>
      </c>
      <c r="C19" s="3">
        <v>5000</v>
      </c>
      <c r="D19" s="3">
        <v>6000</v>
      </c>
      <c r="E19" s="3">
        <v>7000</v>
      </c>
      <c r="F19" s="3">
        <v>8000</v>
      </c>
      <c r="G19" s="3">
        <v>9000</v>
      </c>
      <c r="H19" s="3">
        <v>10000</v>
      </c>
      <c r="I19" s="3">
        <v>11000</v>
      </c>
      <c r="J19" s="3">
        <v>12000</v>
      </c>
      <c r="K19" s="3"/>
      <c r="L19" s="3"/>
    </row>
    <row r="20" spans="1:12" s="1" customFormat="1" x14ac:dyDescent="0.25">
      <c r="A20" s="1" t="s">
        <v>9</v>
      </c>
      <c r="B20" s="1">
        <v>0.02</v>
      </c>
      <c r="C20" s="1">
        <v>0.03</v>
      </c>
      <c r="D20" s="1">
        <v>0.04</v>
      </c>
      <c r="E20" s="1">
        <v>0.05</v>
      </c>
      <c r="F20" s="1">
        <v>0.06</v>
      </c>
      <c r="G20" s="1">
        <v>7.0000000000000007E-2</v>
      </c>
      <c r="H20" s="1">
        <v>0.08</v>
      </c>
      <c r="I20" s="1">
        <v>0.09</v>
      </c>
      <c r="J20" s="1">
        <v>0.1</v>
      </c>
      <c r="K20" s="1">
        <v>0.11</v>
      </c>
      <c r="L20" s="1">
        <v>0.12</v>
      </c>
    </row>
    <row r="21" spans="1:12" x14ac:dyDescent="0.25">
      <c r="A21" s="2" t="s">
        <v>10</v>
      </c>
      <c r="B21" s="2">
        <v>5</v>
      </c>
      <c r="C21" s="2">
        <v>6</v>
      </c>
      <c r="D21" s="2">
        <v>7</v>
      </c>
      <c r="E21" s="2">
        <v>8</v>
      </c>
      <c r="F21" s="2">
        <v>9</v>
      </c>
      <c r="G21" s="2">
        <v>10</v>
      </c>
    </row>
    <row r="22" spans="1:12" s="1" customFormat="1" x14ac:dyDescent="0.25">
      <c r="A22" s="1" t="s">
        <v>11</v>
      </c>
      <c r="B22" s="1">
        <v>0.08</v>
      </c>
      <c r="C22" s="1">
        <v>0.09</v>
      </c>
      <c r="D22" s="1">
        <v>0.1</v>
      </c>
      <c r="E22" s="1">
        <v>0.11</v>
      </c>
      <c r="F22" s="1">
        <v>0.12</v>
      </c>
      <c r="G22" s="1">
        <v>0.13</v>
      </c>
      <c r="H22" s="1">
        <v>0.14000000000000001</v>
      </c>
      <c r="I22" s="1">
        <v>0.15</v>
      </c>
      <c r="J22" s="1">
        <v>0.16</v>
      </c>
    </row>
    <row r="24" spans="1:12" x14ac:dyDescent="0.25">
      <c r="A24" s="7" t="s">
        <v>12</v>
      </c>
    </row>
    <row r="25" spans="1:12" x14ac:dyDescent="0.25">
      <c r="A25" s="5"/>
      <c r="B25" s="5"/>
      <c r="C25" s="5" t="s">
        <v>4</v>
      </c>
    </row>
    <row r="26" spans="1:12" x14ac:dyDescent="0.25">
      <c r="A26" s="6"/>
      <c r="B26" s="6"/>
      <c r="C26" s="3"/>
    </row>
    <row r="27" spans="1:12" x14ac:dyDescent="0.25">
      <c r="A27" s="6"/>
      <c r="B27" s="6"/>
      <c r="C27" s="3"/>
    </row>
    <row r="28" spans="1:12" x14ac:dyDescent="0.25">
      <c r="A28" s="6"/>
      <c r="B28" s="6"/>
      <c r="C28" s="3"/>
    </row>
    <row r="29" spans="1:12" x14ac:dyDescent="0.25">
      <c r="A29" s="6"/>
      <c r="B29" s="6"/>
      <c r="C29" s="3"/>
    </row>
  </sheetData>
  <phoneticPr fontId="0" type="noConversion"/>
  <printOptions headings="1" gridLines="1"/>
  <pageMargins left="0.75" right="0.75" top="1" bottom="1" header="0.5" footer="0.5"/>
  <pageSetup scale="65"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sitivity">
                <anchor moveWithCells="1" sizeWithCells="1">
                  <from>
                    <xdr:col>4</xdr:col>
                    <xdr:colOff>390525</xdr:colOff>
                    <xdr:row>3</xdr:row>
                    <xdr:rowOff>66675</xdr:rowOff>
                  </from>
                  <to>
                    <xdr:col>8</xdr:col>
                    <xdr:colOff>390525</xdr:colOff>
                    <xdr:row>5</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Model</vt:lpstr>
      <vt:lpstr>Model!Print_Area</vt:lpstr>
    </vt:vector>
  </TitlesOfParts>
  <Company>Indiana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2008-10-03T21:09:07Z</cp:lastPrinted>
  <dcterms:created xsi:type="dcterms:W3CDTF">2000-07-14T01:03:53Z</dcterms:created>
  <dcterms:modified xsi:type="dcterms:W3CDTF">2014-08-03T01:21:22Z</dcterms:modified>
</cp:coreProperties>
</file>